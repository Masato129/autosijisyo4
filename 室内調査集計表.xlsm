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LS210DF86\share\室内事前調査\"/>
    </mc:Choice>
  </mc:AlternateContent>
  <xr:revisionPtr revIDLastSave="0" documentId="13_ncr:1_{CB7BCED9-D3B5-47B7-B742-888EFF1E3E67}" xr6:coauthVersionLast="47" xr6:coauthVersionMax="47" xr10:uidLastSave="{00000000-0000-0000-0000-000000000000}"/>
  <bookViews>
    <workbookView xWindow="-120" yWindow="-120" windowWidth="20730" windowHeight="11160" firstSheet="11" activeTab="18" xr2:uid="{C2176B96-AC65-4B06-8E05-6FE0063E29AD}"/>
  </bookViews>
  <sheets>
    <sheet name="1号棟" sheetId="3" r:id="rId1"/>
    <sheet name="2号棟" sheetId="5" r:id="rId2"/>
    <sheet name="3号棟" sheetId="6" r:id="rId3"/>
    <sheet name="4号棟" sheetId="7" r:id="rId4"/>
    <sheet name="5号棟" sheetId="8" r:id="rId5"/>
    <sheet name="6号棟" sheetId="9" r:id="rId6"/>
    <sheet name="7号棟" sheetId="10" r:id="rId7"/>
    <sheet name="8号棟" sheetId="11" r:id="rId8"/>
    <sheet name="9号棟" sheetId="12" r:id="rId9"/>
    <sheet name="10号棟" sheetId="13" r:id="rId10"/>
    <sheet name="11号棟" sheetId="14" r:id="rId11"/>
    <sheet name="12号棟" sheetId="15" r:id="rId12"/>
    <sheet name="13号棟" sheetId="16" r:id="rId13"/>
    <sheet name="14号棟" sheetId="17" r:id="rId14"/>
    <sheet name="15号棟" sheetId="18" r:id="rId15"/>
    <sheet name="16号棟" sheetId="19" r:id="rId16"/>
    <sheet name="17号棟" sheetId="20" r:id="rId17"/>
    <sheet name="18号棟" sheetId="21" r:id="rId18"/>
    <sheet name="19号棟" sheetId="22" r:id="rId19"/>
    <sheet name="20号棟" sheetId="24" r:id="rId20"/>
    <sheet name="21号棟" sheetId="25" r:id="rId21"/>
    <sheet name="22号棟" sheetId="23" r:id="rId22"/>
    <sheet name="23号棟" sheetId="26" r:id="rId23"/>
    <sheet name="24号棟" sheetId="27" r:id="rId24"/>
    <sheet name="25号棟" sheetId="28" r:id="rId25"/>
    <sheet name="26号棟" sheetId="29" r:id="rId26"/>
    <sheet name="27号棟" sheetId="30" r:id="rId27"/>
    <sheet name="28号棟" sheetId="31" r:id="rId28"/>
    <sheet name="Sheet1" sheetId="1" r:id="rId29"/>
    <sheet name="集計" sheetId="32" r:id="rId30"/>
  </sheets>
  <definedNames>
    <definedName name="_xlnm._FilterDatabase" localSheetId="9" hidden="1">'10号棟'!$AI$3:$AK$4</definedName>
    <definedName name="_xlnm._FilterDatabase" localSheetId="10" hidden="1">'11号棟'!$AI$3:$AK$4</definedName>
    <definedName name="_xlnm._FilterDatabase" localSheetId="11" hidden="1">'12号棟'!$AI$3:$AK$4</definedName>
    <definedName name="_xlnm._FilterDatabase" localSheetId="12" hidden="1">'13号棟'!$AI$3:$AK$4</definedName>
    <definedName name="_xlnm._FilterDatabase" localSheetId="13" hidden="1">'14号棟'!$AI$3:$AK$4</definedName>
    <definedName name="_xlnm._FilterDatabase" localSheetId="14" hidden="1">'15号棟'!$AI$3:$AK$4</definedName>
    <definedName name="_xlnm._FilterDatabase" localSheetId="15" hidden="1">'16号棟'!$AI$3:$AK$4</definedName>
    <definedName name="_xlnm._FilterDatabase" localSheetId="16" hidden="1">'17号棟'!$AI$3:$AK$4</definedName>
    <definedName name="_xlnm._FilterDatabase" localSheetId="17" hidden="1">'18号棟'!$AI$3:$AK$4</definedName>
    <definedName name="_xlnm._FilterDatabase" localSheetId="18" hidden="1">'19号棟'!$AI$3:$AK$4</definedName>
    <definedName name="_xlnm._FilterDatabase" localSheetId="0" hidden="1">'1号棟'!$AG$3:$AK$38</definedName>
    <definedName name="_xlnm._FilterDatabase" localSheetId="19" hidden="1">'20号棟'!$AI$3:$AK$4</definedName>
    <definedName name="_xlnm._FilterDatabase" localSheetId="20" hidden="1">'21号棟'!$AI$3:$AK$4</definedName>
    <definedName name="_xlnm._FilterDatabase" localSheetId="21" hidden="1">'22号棟'!$AI$3:$AK$4</definedName>
    <definedName name="_xlnm._FilterDatabase" localSheetId="22" hidden="1">'23号棟'!$AI$3:$AK$4</definedName>
    <definedName name="_xlnm._FilterDatabase" localSheetId="23" hidden="1">'24号棟'!$AI$3:$AK$4</definedName>
    <definedName name="_xlnm._FilterDatabase" localSheetId="24" hidden="1">'25号棟'!$AI$3:$AK$4</definedName>
    <definedName name="_xlnm._FilterDatabase" localSheetId="25" hidden="1">'26号棟'!$AI$3:$AK$4</definedName>
    <definedName name="_xlnm._FilterDatabase" localSheetId="26" hidden="1">'27号棟'!$AI$3:$AK$4</definedName>
    <definedName name="_xlnm._FilterDatabase" localSheetId="27" hidden="1">'28号棟'!$AI$3:$AK$4</definedName>
    <definedName name="_xlnm._FilterDatabase" localSheetId="1" hidden="1">'2号棟'!$AI$3:$AK$28</definedName>
    <definedName name="_xlnm._FilterDatabase" localSheetId="2" hidden="1">'3号棟'!$AI$3:$AK$28</definedName>
    <definedName name="_xlnm._FilterDatabase" localSheetId="3" hidden="1">'4号棟'!$AI$3:$AK$38</definedName>
    <definedName name="_xlnm._FilterDatabase" localSheetId="4" hidden="1">'5号棟'!$AI$3:$AK$4</definedName>
    <definedName name="_xlnm._FilterDatabase" localSheetId="5" hidden="1">'6号棟'!$AI$3:$AK$4</definedName>
    <definedName name="_xlnm._FilterDatabase" localSheetId="6" hidden="1">'7号棟'!$AI$3:$AK$4</definedName>
    <definedName name="_xlnm._FilterDatabase" localSheetId="7" hidden="1">'8号棟'!$AI$3:$AK$4</definedName>
    <definedName name="_xlnm._FilterDatabase" localSheetId="8" hidden="1">'9号棟'!$AI$3:$AK$4</definedName>
    <definedName name="_xlnm.Print_Area" localSheetId="9">'10号棟'!$A$1:$AY$28</definedName>
    <definedName name="_xlnm.Print_Area" localSheetId="10">'11号棟'!$A$1:$AY$28</definedName>
    <definedName name="_xlnm.Print_Area" localSheetId="11">'12号棟'!$A$1:$AW$38</definedName>
    <definedName name="_xlnm.Print_Area" localSheetId="12">'13号棟'!$A$1:$AW$38</definedName>
    <definedName name="_xlnm.Print_Area" localSheetId="13">'14号棟'!$A$1:$AW$38</definedName>
    <definedName name="_xlnm.Print_Area" localSheetId="14">'15号棟'!$A$1:$AW$28</definedName>
    <definedName name="_xlnm.Print_Area" localSheetId="15">'16号棟'!$A$1:$AW$28</definedName>
    <definedName name="_xlnm.Print_Area" localSheetId="16">'17号棟'!$A$1:$AW$28</definedName>
    <definedName name="_xlnm.Print_Area" localSheetId="17">'18号棟'!$A$1:$AW$28</definedName>
    <definedName name="_xlnm.Print_Area" localSheetId="18">'19号棟'!$A$1:$AW$28</definedName>
    <definedName name="_xlnm.Print_Area" localSheetId="0">'1号棟'!$A$1:$AY$38</definedName>
    <definedName name="_xlnm.Print_Area" localSheetId="19">'20号棟'!$A$1:$AW$38</definedName>
    <definedName name="_xlnm.Print_Area" localSheetId="20">'21号棟'!$A$1:$AW$38</definedName>
    <definedName name="_xlnm.Print_Area" localSheetId="21">'22号棟'!$A$1:$AW$28</definedName>
    <definedName name="_xlnm.Print_Area" localSheetId="22">'23号棟'!$A$1:$AZ$28</definedName>
    <definedName name="_xlnm.Print_Area" localSheetId="23">'24号棟'!$A$1:$AY$28</definedName>
    <definedName name="_xlnm.Print_Area" localSheetId="24">'25号棟'!$A$1:$AY$38</definedName>
    <definedName name="_xlnm.Print_Area" localSheetId="26">'27号棟'!$A$1:$AY$38</definedName>
    <definedName name="_xlnm.Print_Area" localSheetId="27">'28号棟'!$A$1:$AY$38</definedName>
    <definedName name="_xlnm.Print_Area" localSheetId="1">'2号棟'!$A$1:$AY$28</definedName>
    <definedName name="_xlnm.Print_Area" localSheetId="2">'3号棟'!$A$1:$AY$28</definedName>
    <definedName name="_xlnm.Print_Area" localSheetId="3">'4号棟'!$A$1:$AY$38</definedName>
    <definedName name="_xlnm.Print_Area" localSheetId="4">'5号棟'!$A$1:$AX$38</definedName>
    <definedName name="_xlnm.Print_Area" localSheetId="6">'7号棟'!$A$1:$AX$38</definedName>
    <definedName name="_xlnm.Print_Area" localSheetId="7">'8号棟'!$A$1:$AX$38</definedName>
    <definedName name="_xlnm.Print_Area" localSheetId="8">'9号棟'!$A$1:$AX$38</definedName>
    <definedName name="Z_3C87C16F_A1BE_4D74_9BF8_8116D4367BC2_.wvu.PrintArea" localSheetId="9" hidden="1">'10号棟'!$A$1:$AY$28</definedName>
    <definedName name="Z_3C87C16F_A1BE_4D74_9BF8_8116D4367BC2_.wvu.PrintArea" localSheetId="10" hidden="1">'11号棟'!$A$1:$AY$28</definedName>
    <definedName name="Z_3C87C16F_A1BE_4D74_9BF8_8116D4367BC2_.wvu.PrintArea" localSheetId="11" hidden="1">'12号棟'!$A$1:$AW$38</definedName>
    <definedName name="Z_3C87C16F_A1BE_4D74_9BF8_8116D4367BC2_.wvu.PrintArea" localSheetId="12" hidden="1">'13号棟'!$A$1:$AW$38</definedName>
    <definedName name="Z_3C87C16F_A1BE_4D74_9BF8_8116D4367BC2_.wvu.PrintArea" localSheetId="13" hidden="1">'14号棟'!$A$1:$AW$38</definedName>
    <definedName name="Z_3C87C16F_A1BE_4D74_9BF8_8116D4367BC2_.wvu.PrintArea" localSheetId="14" hidden="1">'15号棟'!$A$1:$AW$28</definedName>
    <definedName name="Z_3C87C16F_A1BE_4D74_9BF8_8116D4367BC2_.wvu.PrintArea" localSheetId="15" hidden="1">'16号棟'!$A$1:$AW$28</definedName>
    <definedName name="Z_3C87C16F_A1BE_4D74_9BF8_8116D4367BC2_.wvu.PrintArea" localSheetId="16" hidden="1">'17号棟'!$A$1:$AW$28</definedName>
    <definedName name="Z_3C87C16F_A1BE_4D74_9BF8_8116D4367BC2_.wvu.PrintArea" localSheetId="17" hidden="1">'18号棟'!$A$1:$AW$28</definedName>
    <definedName name="Z_3C87C16F_A1BE_4D74_9BF8_8116D4367BC2_.wvu.PrintArea" localSheetId="18" hidden="1">'19号棟'!$A$1:$AW$28</definedName>
    <definedName name="Z_3C87C16F_A1BE_4D74_9BF8_8116D4367BC2_.wvu.PrintArea" localSheetId="0" hidden="1">'1号棟'!$A$1:$AY$38</definedName>
    <definedName name="Z_3C87C16F_A1BE_4D74_9BF8_8116D4367BC2_.wvu.PrintArea" localSheetId="19" hidden="1">'20号棟'!$A$1:$AW$38</definedName>
    <definedName name="Z_3C87C16F_A1BE_4D74_9BF8_8116D4367BC2_.wvu.PrintArea" localSheetId="20" hidden="1">'21号棟'!$A$1:$AW$38</definedName>
    <definedName name="Z_3C87C16F_A1BE_4D74_9BF8_8116D4367BC2_.wvu.PrintArea" localSheetId="21" hidden="1">'22号棟'!$A$1:$AW$28</definedName>
    <definedName name="Z_3C87C16F_A1BE_4D74_9BF8_8116D4367BC2_.wvu.PrintArea" localSheetId="22" hidden="1">'23号棟'!$A$1:$AZ$28</definedName>
    <definedName name="Z_3C87C16F_A1BE_4D74_9BF8_8116D4367BC2_.wvu.PrintArea" localSheetId="23" hidden="1">'24号棟'!$A$1:$AY$28</definedName>
    <definedName name="Z_3C87C16F_A1BE_4D74_9BF8_8116D4367BC2_.wvu.PrintArea" localSheetId="24" hidden="1">'25号棟'!$A$1:$AY$38</definedName>
    <definedName name="Z_3C87C16F_A1BE_4D74_9BF8_8116D4367BC2_.wvu.PrintArea" localSheetId="25" hidden="1">'26号棟'!$A$1:$AY$28</definedName>
    <definedName name="Z_3C87C16F_A1BE_4D74_9BF8_8116D4367BC2_.wvu.PrintArea" localSheetId="26" hidden="1">'27号棟'!$A$1:$AY$38</definedName>
    <definedName name="Z_3C87C16F_A1BE_4D74_9BF8_8116D4367BC2_.wvu.PrintArea" localSheetId="27" hidden="1">'28号棟'!$A$1:$AY$38</definedName>
    <definedName name="Z_3C87C16F_A1BE_4D74_9BF8_8116D4367BC2_.wvu.PrintArea" localSheetId="1" hidden="1">'2号棟'!$A$1:$AY$28</definedName>
    <definedName name="Z_3C87C16F_A1BE_4D74_9BF8_8116D4367BC2_.wvu.PrintArea" localSheetId="2" hidden="1">'3号棟'!$A$1:$AY$28</definedName>
    <definedName name="Z_3C87C16F_A1BE_4D74_9BF8_8116D4367BC2_.wvu.PrintArea" localSheetId="3" hidden="1">'4号棟'!$A$1:$AY$38</definedName>
    <definedName name="Z_3C87C16F_A1BE_4D74_9BF8_8116D4367BC2_.wvu.PrintArea" localSheetId="4" hidden="1">'5号棟'!$A$1:$AX$38</definedName>
    <definedName name="Z_3C87C16F_A1BE_4D74_9BF8_8116D4367BC2_.wvu.PrintArea" localSheetId="5" hidden="1">'6号棟'!$A$1:$AY$28</definedName>
    <definedName name="Z_3C87C16F_A1BE_4D74_9BF8_8116D4367BC2_.wvu.PrintArea" localSheetId="6" hidden="1">'7号棟'!$A$1:$AX$38</definedName>
    <definedName name="Z_3C87C16F_A1BE_4D74_9BF8_8116D4367BC2_.wvu.PrintArea" localSheetId="7" hidden="1">'8号棟'!$A$1:$AX$38</definedName>
    <definedName name="Z_3C87C16F_A1BE_4D74_9BF8_8116D4367BC2_.wvu.PrintArea" localSheetId="8" hidden="1">'9号棟'!$A$1:$AX$38</definedName>
    <definedName name="Z_7B1B64F2_FBDC_41A8_9B60_EEE36C910BD7_.wvu.PrintArea" localSheetId="9" hidden="1">'10号棟'!$A$1:$AY$28</definedName>
    <definedName name="Z_7B1B64F2_FBDC_41A8_9B60_EEE36C910BD7_.wvu.PrintArea" localSheetId="10" hidden="1">'11号棟'!$A$1:$AY$28</definedName>
    <definedName name="Z_7B1B64F2_FBDC_41A8_9B60_EEE36C910BD7_.wvu.PrintArea" localSheetId="11" hidden="1">'12号棟'!$A$1:$AW$38</definedName>
    <definedName name="Z_7B1B64F2_FBDC_41A8_9B60_EEE36C910BD7_.wvu.PrintArea" localSheetId="12" hidden="1">'13号棟'!$A$1:$AW$38</definedName>
    <definedName name="Z_7B1B64F2_FBDC_41A8_9B60_EEE36C910BD7_.wvu.PrintArea" localSheetId="13" hidden="1">'14号棟'!$A$1:$AW$38</definedName>
    <definedName name="Z_7B1B64F2_FBDC_41A8_9B60_EEE36C910BD7_.wvu.PrintArea" localSheetId="14" hidden="1">'15号棟'!$A$1:$AW$28</definedName>
    <definedName name="Z_7B1B64F2_FBDC_41A8_9B60_EEE36C910BD7_.wvu.PrintArea" localSheetId="15" hidden="1">'16号棟'!$A$1:$AW$28</definedName>
    <definedName name="Z_7B1B64F2_FBDC_41A8_9B60_EEE36C910BD7_.wvu.PrintArea" localSheetId="16" hidden="1">'17号棟'!$A$1:$AW$28</definedName>
    <definedName name="Z_7B1B64F2_FBDC_41A8_9B60_EEE36C910BD7_.wvu.PrintArea" localSheetId="17" hidden="1">'18号棟'!$A$1:$AW$28</definedName>
    <definedName name="Z_7B1B64F2_FBDC_41A8_9B60_EEE36C910BD7_.wvu.PrintArea" localSheetId="18" hidden="1">'19号棟'!$A$1:$AW$28</definedName>
    <definedName name="Z_7B1B64F2_FBDC_41A8_9B60_EEE36C910BD7_.wvu.PrintArea" localSheetId="0" hidden="1">'1号棟'!$A$1:$AY$38</definedName>
    <definedName name="Z_7B1B64F2_FBDC_41A8_9B60_EEE36C910BD7_.wvu.PrintArea" localSheetId="19" hidden="1">'20号棟'!$A$1:$AW$38</definedName>
    <definedName name="Z_7B1B64F2_FBDC_41A8_9B60_EEE36C910BD7_.wvu.PrintArea" localSheetId="20" hidden="1">'21号棟'!$A$1:$AW$38</definedName>
    <definedName name="Z_7B1B64F2_FBDC_41A8_9B60_EEE36C910BD7_.wvu.PrintArea" localSheetId="21" hidden="1">'22号棟'!$A$1:$AW$28</definedName>
    <definedName name="Z_7B1B64F2_FBDC_41A8_9B60_EEE36C910BD7_.wvu.PrintArea" localSheetId="22" hidden="1">'23号棟'!$A$1:$AZ$28</definedName>
    <definedName name="Z_7B1B64F2_FBDC_41A8_9B60_EEE36C910BD7_.wvu.PrintArea" localSheetId="23" hidden="1">'24号棟'!$A$1:$AY$28</definedName>
    <definedName name="Z_7B1B64F2_FBDC_41A8_9B60_EEE36C910BD7_.wvu.PrintArea" localSheetId="24" hidden="1">'25号棟'!$A$1:$AY$38</definedName>
    <definedName name="Z_7B1B64F2_FBDC_41A8_9B60_EEE36C910BD7_.wvu.PrintArea" localSheetId="25" hidden="1">'26号棟'!$A$1:$AY$28</definedName>
    <definedName name="Z_7B1B64F2_FBDC_41A8_9B60_EEE36C910BD7_.wvu.PrintArea" localSheetId="26" hidden="1">'27号棟'!$A$1:$AY$38</definedName>
    <definedName name="Z_7B1B64F2_FBDC_41A8_9B60_EEE36C910BD7_.wvu.PrintArea" localSheetId="27" hidden="1">'28号棟'!$A$1:$AY$38</definedName>
    <definedName name="Z_7B1B64F2_FBDC_41A8_9B60_EEE36C910BD7_.wvu.PrintArea" localSheetId="1" hidden="1">'2号棟'!$A$1:$AY$28</definedName>
    <definedName name="Z_7B1B64F2_FBDC_41A8_9B60_EEE36C910BD7_.wvu.PrintArea" localSheetId="2" hidden="1">'3号棟'!$A$1:$AY$28</definedName>
    <definedName name="Z_7B1B64F2_FBDC_41A8_9B60_EEE36C910BD7_.wvu.PrintArea" localSheetId="3" hidden="1">'4号棟'!$A$1:$AY$38</definedName>
    <definedName name="Z_7B1B64F2_FBDC_41A8_9B60_EEE36C910BD7_.wvu.PrintArea" localSheetId="4" hidden="1">'5号棟'!$A$1:$AX$38</definedName>
    <definedName name="Z_7B1B64F2_FBDC_41A8_9B60_EEE36C910BD7_.wvu.PrintArea" localSheetId="5" hidden="1">'6号棟'!$A$1:$AY$28</definedName>
    <definedName name="Z_7B1B64F2_FBDC_41A8_9B60_EEE36C910BD7_.wvu.PrintArea" localSheetId="6" hidden="1">'7号棟'!$A$1:$AX$38</definedName>
    <definedName name="Z_7B1B64F2_FBDC_41A8_9B60_EEE36C910BD7_.wvu.PrintArea" localSheetId="7" hidden="1">'8号棟'!$A$1:$AX$38</definedName>
    <definedName name="Z_7B1B64F2_FBDC_41A8_9B60_EEE36C910BD7_.wvu.PrintArea" localSheetId="8" hidden="1">'9号棟'!$A$1:$AX$38</definedName>
    <definedName name="Z_8FCE669C_9FBD_4904_BC8C_6A972BF916FC_.wvu.PrintArea" localSheetId="9" hidden="1">'10号棟'!$A$1:$AY$28</definedName>
    <definedName name="Z_8FCE669C_9FBD_4904_BC8C_6A972BF916FC_.wvu.PrintArea" localSheetId="10" hidden="1">'11号棟'!$A$1:$AY$28</definedName>
    <definedName name="Z_8FCE669C_9FBD_4904_BC8C_6A972BF916FC_.wvu.PrintArea" localSheetId="11" hidden="1">'12号棟'!$A$1:$AW$38</definedName>
    <definedName name="Z_8FCE669C_9FBD_4904_BC8C_6A972BF916FC_.wvu.PrintArea" localSheetId="12" hidden="1">'13号棟'!$A$1:$AW$38</definedName>
    <definedName name="Z_8FCE669C_9FBD_4904_BC8C_6A972BF916FC_.wvu.PrintArea" localSheetId="13" hidden="1">'14号棟'!$A$1:$AW$38</definedName>
    <definedName name="Z_8FCE669C_9FBD_4904_BC8C_6A972BF916FC_.wvu.PrintArea" localSheetId="14" hidden="1">'15号棟'!$A$1:$AW$28</definedName>
    <definedName name="Z_8FCE669C_9FBD_4904_BC8C_6A972BF916FC_.wvu.PrintArea" localSheetId="15" hidden="1">'16号棟'!$A$1:$AW$28</definedName>
    <definedName name="Z_8FCE669C_9FBD_4904_BC8C_6A972BF916FC_.wvu.PrintArea" localSheetId="16" hidden="1">'17号棟'!$A$1:$AW$28</definedName>
    <definedName name="Z_8FCE669C_9FBD_4904_BC8C_6A972BF916FC_.wvu.PrintArea" localSheetId="17" hidden="1">'18号棟'!$A$1:$AW$28</definedName>
    <definedName name="Z_8FCE669C_9FBD_4904_BC8C_6A972BF916FC_.wvu.PrintArea" localSheetId="18" hidden="1">'19号棟'!$A$1:$AW$28</definedName>
    <definedName name="Z_8FCE669C_9FBD_4904_BC8C_6A972BF916FC_.wvu.PrintArea" localSheetId="0" hidden="1">'1号棟'!$A$1:$AY$38</definedName>
    <definedName name="Z_8FCE669C_9FBD_4904_BC8C_6A972BF916FC_.wvu.PrintArea" localSheetId="19" hidden="1">'20号棟'!$A$1:$AW$38</definedName>
    <definedName name="Z_8FCE669C_9FBD_4904_BC8C_6A972BF916FC_.wvu.PrintArea" localSheetId="20" hidden="1">'21号棟'!$A$1:$AW$38</definedName>
    <definedName name="Z_8FCE669C_9FBD_4904_BC8C_6A972BF916FC_.wvu.PrintArea" localSheetId="21" hidden="1">'22号棟'!$A$1:$AW$28</definedName>
    <definedName name="Z_8FCE669C_9FBD_4904_BC8C_6A972BF916FC_.wvu.PrintArea" localSheetId="22" hidden="1">'23号棟'!$A$1:$AZ$28</definedName>
    <definedName name="Z_8FCE669C_9FBD_4904_BC8C_6A972BF916FC_.wvu.PrintArea" localSheetId="23" hidden="1">'24号棟'!$A$1:$AY$28</definedName>
    <definedName name="Z_8FCE669C_9FBD_4904_BC8C_6A972BF916FC_.wvu.PrintArea" localSheetId="24" hidden="1">'25号棟'!$A$1:$AY$38</definedName>
    <definedName name="Z_8FCE669C_9FBD_4904_BC8C_6A972BF916FC_.wvu.PrintArea" localSheetId="25" hidden="1">'26号棟'!$A$1:$AY$28</definedName>
    <definedName name="Z_8FCE669C_9FBD_4904_BC8C_6A972BF916FC_.wvu.PrintArea" localSheetId="26" hidden="1">'27号棟'!$A$1:$AY$38</definedName>
    <definedName name="Z_8FCE669C_9FBD_4904_BC8C_6A972BF916FC_.wvu.PrintArea" localSheetId="27" hidden="1">'28号棟'!$A$1:$AY$38</definedName>
    <definedName name="Z_8FCE669C_9FBD_4904_BC8C_6A972BF916FC_.wvu.PrintArea" localSheetId="1" hidden="1">'2号棟'!$A$1:$AY$28</definedName>
    <definedName name="Z_8FCE669C_9FBD_4904_BC8C_6A972BF916FC_.wvu.PrintArea" localSheetId="2" hidden="1">'3号棟'!$A$1:$AY$28</definedName>
    <definedName name="Z_8FCE669C_9FBD_4904_BC8C_6A972BF916FC_.wvu.PrintArea" localSheetId="3" hidden="1">'4号棟'!$A$1:$AY$38</definedName>
    <definedName name="Z_8FCE669C_9FBD_4904_BC8C_6A972BF916FC_.wvu.PrintArea" localSheetId="4" hidden="1">'5号棟'!$A$1:$AX$38</definedName>
    <definedName name="Z_8FCE669C_9FBD_4904_BC8C_6A972BF916FC_.wvu.PrintArea" localSheetId="5" hidden="1">'6号棟'!$A$1:$AY$28</definedName>
    <definedName name="Z_8FCE669C_9FBD_4904_BC8C_6A972BF916FC_.wvu.PrintArea" localSheetId="6" hidden="1">'7号棟'!$A$1:$AX$38</definedName>
    <definedName name="Z_8FCE669C_9FBD_4904_BC8C_6A972BF916FC_.wvu.PrintArea" localSheetId="7" hidden="1">'8号棟'!$A$1:$AX$38</definedName>
    <definedName name="Z_8FCE669C_9FBD_4904_BC8C_6A972BF916FC_.wvu.PrintArea" localSheetId="8" hidden="1">'9号棟'!$A$1:$AX$38</definedName>
    <definedName name="Z_9413F020_08D6_45A0_87C9_1F19312FC394_.wvu.PrintArea" localSheetId="9" hidden="1">'10号棟'!$A$1:$AY$28</definedName>
    <definedName name="Z_9413F020_08D6_45A0_87C9_1F19312FC394_.wvu.PrintArea" localSheetId="10" hidden="1">'11号棟'!$A$1:$AY$28</definedName>
    <definedName name="Z_9413F020_08D6_45A0_87C9_1F19312FC394_.wvu.PrintArea" localSheetId="11" hidden="1">'12号棟'!$A$1:$AW$38</definedName>
    <definedName name="Z_9413F020_08D6_45A0_87C9_1F19312FC394_.wvu.PrintArea" localSheetId="12" hidden="1">'13号棟'!$A$1:$AW$38</definedName>
    <definedName name="Z_9413F020_08D6_45A0_87C9_1F19312FC394_.wvu.PrintArea" localSheetId="13" hidden="1">'14号棟'!$A$1:$AW$38</definedName>
    <definedName name="Z_9413F020_08D6_45A0_87C9_1F19312FC394_.wvu.PrintArea" localSheetId="14" hidden="1">'15号棟'!$A$1:$AW$28</definedName>
    <definedName name="Z_9413F020_08D6_45A0_87C9_1F19312FC394_.wvu.PrintArea" localSheetId="15" hidden="1">'16号棟'!$A$1:$AW$28</definedName>
    <definedName name="Z_9413F020_08D6_45A0_87C9_1F19312FC394_.wvu.PrintArea" localSheetId="16" hidden="1">'17号棟'!$A$1:$AW$28</definedName>
    <definedName name="Z_9413F020_08D6_45A0_87C9_1F19312FC394_.wvu.PrintArea" localSheetId="17" hidden="1">'18号棟'!$A$1:$AW$28</definedName>
    <definedName name="Z_9413F020_08D6_45A0_87C9_1F19312FC394_.wvu.PrintArea" localSheetId="18" hidden="1">'19号棟'!$A$1:$AW$28</definedName>
    <definedName name="Z_9413F020_08D6_45A0_87C9_1F19312FC394_.wvu.PrintArea" localSheetId="0" hidden="1">'1号棟'!$A$1:$AY$38</definedName>
    <definedName name="Z_9413F020_08D6_45A0_87C9_1F19312FC394_.wvu.PrintArea" localSheetId="19" hidden="1">'20号棟'!$A$1:$AW$38</definedName>
    <definedName name="Z_9413F020_08D6_45A0_87C9_1F19312FC394_.wvu.PrintArea" localSheetId="20" hidden="1">'21号棟'!$A$1:$AW$38</definedName>
    <definedName name="Z_9413F020_08D6_45A0_87C9_1F19312FC394_.wvu.PrintArea" localSheetId="21" hidden="1">'22号棟'!$A$1:$AW$28</definedName>
    <definedName name="Z_9413F020_08D6_45A0_87C9_1F19312FC394_.wvu.PrintArea" localSheetId="22" hidden="1">'23号棟'!$A$1:$AZ$28</definedName>
    <definedName name="Z_9413F020_08D6_45A0_87C9_1F19312FC394_.wvu.PrintArea" localSheetId="23" hidden="1">'24号棟'!$A$1:$AY$28</definedName>
    <definedName name="Z_9413F020_08D6_45A0_87C9_1F19312FC394_.wvu.PrintArea" localSheetId="24" hidden="1">'25号棟'!$A$1:$AY$38</definedName>
    <definedName name="Z_9413F020_08D6_45A0_87C9_1F19312FC394_.wvu.PrintArea" localSheetId="25" hidden="1">'26号棟'!$A$1:$AY$28</definedName>
    <definedName name="Z_9413F020_08D6_45A0_87C9_1F19312FC394_.wvu.PrintArea" localSheetId="26" hidden="1">'27号棟'!$A$1:$AY$38</definedName>
    <definedName name="Z_9413F020_08D6_45A0_87C9_1F19312FC394_.wvu.PrintArea" localSheetId="27" hidden="1">'28号棟'!$A$1:$AY$38</definedName>
    <definedName name="Z_9413F020_08D6_45A0_87C9_1F19312FC394_.wvu.PrintArea" localSheetId="1" hidden="1">'2号棟'!$A$1:$AY$28</definedName>
    <definedName name="Z_9413F020_08D6_45A0_87C9_1F19312FC394_.wvu.PrintArea" localSheetId="2" hidden="1">'3号棟'!$A$1:$AY$28</definedName>
    <definedName name="Z_9413F020_08D6_45A0_87C9_1F19312FC394_.wvu.PrintArea" localSheetId="3" hidden="1">'4号棟'!$A$1:$AY$38</definedName>
    <definedName name="Z_9413F020_08D6_45A0_87C9_1F19312FC394_.wvu.PrintArea" localSheetId="4" hidden="1">'5号棟'!$A$1:$AX$38</definedName>
    <definedName name="Z_9413F020_08D6_45A0_87C9_1F19312FC394_.wvu.PrintArea" localSheetId="5" hidden="1">'6号棟'!$A$1:$AY$28</definedName>
    <definedName name="Z_9413F020_08D6_45A0_87C9_1F19312FC394_.wvu.PrintArea" localSheetId="6" hidden="1">'7号棟'!$A$1:$AX$38</definedName>
    <definedName name="Z_9413F020_08D6_45A0_87C9_1F19312FC394_.wvu.PrintArea" localSheetId="7" hidden="1">'8号棟'!$A$1:$AX$38</definedName>
    <definedName name="Z_9413F020_08D6_45A0_87C9_1F19312FC394_.wvu.PrintArea" localSheetId="8" hidden="1">'9号棟'!$A$1:$AX$38</definedName>
    <definedName name="Z_E53DBC5F_E6C9_40D1_812D_6F28CD2CC7D8_.wvu.PrintArea" localSheetId="9" hidden="1">'10号棟'!$A$1:$AY$28</definedName>
    <definedName name="Z_E53DBC5F_E6C9_40D1_812D_6F28CD2CC7D8_.wvu.PrintArea" localSheetId="10" hidden="1">'11号棟'!$A$1:$AY$28</definedName>
    <definedName name="Z_E53DBC5F_E6C9_40D1_812D_6F28CD2CC7D8_.wvu.PrintArea" localSheetId="11" hidden="1">'12号棟'!$A$1:$AW$38</definedName>
    <definedName name="Z_E53DBC5F_E6C9_40D1_812D_6F28CD2CC7D8_.wvu.PrintArea" localSheetId="12" hidden="1">'13号棟'!$A$1:$AW$38</definedName>
    <definedName name="Z_E53DBC5F_E6C9_40D1_812D_6F28CD2CC7D8_.wvu.PrintArea" localSheetId="13" hidden="1">'14号棟'!$A$1:$AW$38</definedName>
    <definedName name="Z_E53DBC5F_E6C9_40D1_812D_6F28CD2CC7D8_.wvu.PrintArea" localSheetId="14" hidden="1">'15号棟'!$A$1:$AW$28</definedName>
    <definedName name="Z_E53DBC5F_E6C9_40D1_812D_6F28CD2CC7D8_.wvu.PrintArea" localSheetId="15" hidden="1">'16号棟'!$A$1:$AW$28</definedName>
    <definedName name="Z_E53DBC5F_E6C9_40D1_812D_6F28CD2CC7D8_.wvu.PrintArea" localSheetId="16" hidden="1">'17号棟'!$A$1:$AW$28</definedName>
    <definedName name="Z_E53DBC5F_E6C9_40D1_812D_6F28CD2CC7D8_.wvu.PrintArea" localSheetId="17" hidden="1">'18号棟'!$A$1:$AW$28</definedName>
    <definedName name="Z_E53DBC5F_E6C9_40D1_812D_6F28CD2CC7D8_.wvu.PrintArea" localSheetId="18" hidden="1">'19号棟'!$A$1:$AW$28</definedName>
    <definedName name="Z_E53DBC5F_E6C9_40D1_812D_6F28CD2CC7D8_.wvu.PrintArea" localSheetId="0" hidden="1">'1号棟'!$A$1:$AY$38</definedName>
    <definedName name="Z_E53DBC5F_E6C9_40D1_812D_6F28CD2CC7D8_.wvu.PrintArea" localSheetId="19" hidden="1">'20号棟'!$A$1:$AW$38</definedName>
    <definedName name="Z_E53DBC5F_E6C9_40D1_812D_6F28CD2CC7D8_.wvu.PrintArea" localSheetId="20" hidden="1">'21号棟'!$A$1:$AW$38</definedName>
    <definedName name="Z_E53DBC5F_E6C9_40D1_812D_6F28CD2CC7D8_.wvu.PrintArea" localSheetId="21" hidden="1">'22号棟'!$A$1:$AW$28</definedName>
    <definedName name="Z_E53DBC5F_E6C9_40D1_812D_6F28CD2CC7D8_.wvu.PrintArea" localSheetId="22" hidden="1">'23号棟'!$A$1:$AZ$28</definedName>
    <definedName name="Z_E53DBC5F_E6C9_40D1_812D_6F28CD2CC7D8_.wvu.PrintArea" localSheetId="23" hidden="1">'24号棟'!$A$1:$AY$28</definedName>
    <definedName name="Z_E53DBC5F_E6C9_40D1_812D_6F28CD2CC7D8_.wvu.PrintArea" localSheetId="24" hidden="1">'25号棟'!$A$1:$AY$38</definedName>
    <definedName name="Z_E53DBC5F_E6C9_40D1_812D_6F28CD2CC7D8_.wvu.PrintArea" localSheetId="25" hidden="1">'26号棟'!$A$1:$AY$28</definedName>
    <definedName name="Z_E53DBC5F_E6C9_40D1_812D_6F28CD2CC7D8_.wvu.PrintArea" localSheetId="26" hidden="1">'27号棟'!$A$1:$AY$38</definedName>
    <definedName name="Z_E53DBC5F_E6C9_40D1_812D_6F28CD2CC7D8_.wvu.PrintArea" localSheetId="27" hidden="1">'28号棟'!$A$1:$AY$38</definedName>
    <definedName name="Z_E53DBC5F_E6C9_40D1_812D_6F28CD2CC7D8_.wvu.PrintArea" localSheetId="1" hidden="1">'2号棟'!$A$1:$AY$28</definedName>
    <definedName name="Z_E53DBC5F_E6C9_40D1_812D_6F28CD2CC7D8_.wvu.PrintArea" localSheetId="2" hidden="1">'3号棟'!$A$1:$AY$28</definedName>
    <definedName name="Z_E53DBC5F_E6C9_40D1_812D_6F28CD2CC7D8_.wvu.PrintArea" localSheetId="3" hidden="1">'4号棟'!$A$1:$AY$38</definedName>
    <definedName name="Z_E53DBC5F_E6C9_40D1_812D_6F28CD2CC7D8_.wvu.PrintArea" localSheetId="4" hidden="1">'5号棟'!$A$1:$AX$38</definedName>
    <definedName name="Z_E53DBC5F_E6C9_40D1_812D_6F28CD2CC7D8_.wvu.PrintArea" localSheetId="5" hidden="1">'6号棟'!$A$1:$AY$28</definedName>
    <definedName name="Z_E53DBC5F_E6C9_40D1_812D_6F28CD2CC7D8_.wvu.PrintArea" localSheetId="6" hidden="1">'7号棟'!$A$1:$AX$38</definedName>
    <definedName name="Z_E53DBC5F_E6C9_40D1_812D_6F28CD2CC7D8_.wvu.PrintArea" localSheetId="7" hidden="1">'8号棟'!$A$1:$AX$38</definedName>
    <definedName name="Z_E53DBC5F_E6C9_40D1_812D_6F28CD2CC7D8_.wvu.PrintArea" localSheetId="8" hidden="1">'9号棟'!$A$1:$AX$38</definedName>
    <definedName name="Z_FD3AB252_2F43_407D_A077_7B512805C4D1_.wvu.PrintArea" localSheetId="9" hidden="1">'10号棟'!$A$1:$AY$28</definedName>
    <definedName name="Z_FD3AB252_2F43_407D_A077_7B512805C4D1_.wvu.PrintArea" localSheetId="10" hidden="1">'11号棟'!$A$1:$AY$28</definedName>
    <definedName name="Z_FD3AB252_2F43_407D_A077_7B512805C4D1_.wvu.PrintArea" localSheetId="11" hidden="1">'12号棟'!$A$1:$AW$38</definedName>
    <definedName name="Z_FD3AB252_2F43_407D_A077_7B512805C4D1_.wvu.PrintArea" localSheetId="12" hidden="1">'13号棟'!$A$1:$AW$38</definedName>
    <definedName name="Z_FD3AB252_2F43_407D_A077_7B512805C4D1_.wvu.PrintArea" localSheetId="13" hidden="1">'14号棟'!$A$1:$AW$38</definedName>
    <definedName name="Z_FD3AB252_2F43_407D_A077_7B512805C4D1_.wvu.PrintArea" localSheetId="14" hidden="1">'15号棟'!$A$1:$AW$28</definedName>
    <definedName name="Z_FD3AB252_2F43_407D_A077_7B512805C4D1_.wvu.PrintArea" localSheetId="15" hidden="1">'16号棟'!$A$1:$AW$28</definedName>
    <definedName name="Z_FD3AB252_2F43_407D_A077_7B512805C4D1_.wvu.PrintArea" localSheetId="16" hidden="1">'17号棟'!$A$1:$AW$28</definedName>
    <definedName name="Z_FD3AB252_2F43_407D_A077_7B512805C4D1_.wvu.PrintArea" localSheetId="17" hidden="1">'18号棟'!$A$1:$AW$28</definedName>
    <definedName name="Z_FD3AB252_2F43_407D_A077_7B512805C4D1_.wvu.PrintArea" localSheetId="18" hidden="1">'19号棟'!$A$1:$AW$28</definedName>
    <definedName name="Z_FD3AB252_2F43_407D_A077_7B512805C4D1_.wvu.PrintArea" localSheetId="0" hidden="1">'1号棟'!$A$1:$AY$38</definedName>
    <definedName name="Z_FD3AB252_2F43_407D_A077_7B512805C4D1_.wvu.PrintArea" localSheetId="19" hidden="1">'20号棟'!$A$1:$AW$38</definedName>
    <definedName name="Z_FD3AB252_2F43_407D_A077_7B512805C4D1_.wvu.PrintArea" localSheetId="20" hidden="1">'21号棟'!$A$1:$AW$38</definedName>
    <definedName name="Z_FD3AB252_2F43_407D_A077_7B512805C4D1_.wvu.PrintArea" localSheetId="21" hidden="1">'22号棟'!$A$1:$AW$28</definedName>
    <definedName name="Z_FD3AB252_2F43_407D_A077_7B512805C4D1_.wvu.PrintArea" localSheetId="22" hidden="1">'23号棟'!$A$1:$AZ$28</definedName>
    <definedName name="Z_FD3AB252_2F43_407D_A077_7B512805C4D1_.wvu.PrintArea" localSheetId="23" hidden="1">'24号棟'!$A$1:$AY$28</definedName>
    <definedName name="Z_FD3AB252_2F43_407D_A077_7B512805C4D1_.wvu.PrintArea" localSheetId="24" hidden="1">'25号棟'!$A$1:$AY$38</definedName>
    <definedName name="Z_FD3AB252_2F43_407D_A077_7B512805C4D1_.wvu.PrintArea" localSheetId="25" hidden="1">'26号棟'!$A$1:$AY$28</definedName>
    <definedName name="Z_FD3AB252_2F43_407D_A077_7B512805C4D1_.wvu.PrintArea" localSheetId="26" hidden="1">'27号棟'!$A$1:$AY$38</definedName>
    <definedName name="Z_FD3AB252_2F43_407D_A077_7B512805C4D1_.wvu.PrintArea" localSheetId="27" hidden="1">'28号棟'!$A$1:$AY$38</definedName>
    <definedName name="Z_FD3AB252_2F43_407D_A077_7B512805C4D1_.wvu.PrintArea" localSheetId="1" hidden="1">'2号棟'!$A$1:$AY$28</definedName>
    <definedName name="Z_FD3AB252_2F43_407D_A077_7B512805C4D1_.wvu.PrintArea" localSheetId="2" hidden="1">'3号棟'!$A$1:$AY$28</definedName>
    <definedName name="Z_FD3AB252_2F43_407D_A077_7B512805C4D1_.wvu.PrintArea" localSheetId="3" hidden="1">'4号棟'!$A$1:$AY$38</definedName>
    <definedName name="Z_FD3AB252_2F43_407D_A077_7B512805C4D1_.wvu.PrintArea" localSheetId="4" hidden="1">'5号棟'!$A$1:$AX$38</definedName>
    <definedName name="Z_FD3AB252_2F43_407D_A077_7B512805C4D1_.wvu.PrintArea" localSheetId="5" hidden="1">'6号棟'!$A$1:$AY$28</definedName>
    <definedName name="Z_FD3AB252_2F43_407D_A077_7B512805C4D1_.wvu.PrintArea" localSheetId="6" hidden="1">'7号棟'!$A$1:$AX$38</definedName>
    <definedName name="Z_FD3AB252_2F43_407D_A077_7B512805C4D1_.wvu.PrintArea" localSheetId="7" hidden="1">'8号棟'!$A$1:$AX$38</definedName>
    <definedName name="Z_FD3AB252_2F43_407D_A077_7B512805C4D1_.wvu.PrintArea" localSheetId="8" hidden="1">'9号棟'!$A$1:$AX$38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5" i="14" l="1"/>
  <c r="G31" i="32" l="1"/>
  <c r="G30" i="32"/>
  <c r="G29" i="32"/>
  <c r="G28" i="32"/>
  <c r="G27" i="32"/>
  <c r="G26" i="32"/>
  <c r="G25" i="32"/>
  <c r="G24" i="32"/>
  <c r="G23" i="32"/>
  <c r="G22" i="32"/>
  <c r="G21" i="32"/>
  <c r="G20" i="32"/>
  <c r="G19" i="32"/>
  <c r="G18" i="32"/>
  <c r="G17" i="32"/>
  <c r="G16" i="32"/>
  <c r="G15" i="32"/>
  <c r="G14" i="32"/>
  <c r="G13" i="32"/>
  <c r="G12" i="32"/>
  <c r="G11" i="32"/>
  <c r="F11" i="32"/>
  <c r="G10" i="32"/>
  <c r="G9" i="32"/>
  <c r="G8" i="32"/>
  <c r="F8" i="32"/>
  <c r="G7" i="32"/>
  <c r="G6" i="32" l="1"/>
  <c r="G5" i="32"/>
  <c r="AD35" i="31"/>
  <c r="AD35" i="30"/>
  <c r="AD25" i="29" l="1"/>
  <c r="AD35" i="28"/>
  <c r="AD25" i="27" l="1"/>
  <c r="AD25" i="26"/>
  <c r="AD25" i="23"/>
  <c r="AD35" i="25"/>
  <c r="AD35" i="24"/>
  <c r="AD25" i="22"/>
  <c r="AD25" i="21"/>
  <c r="AD25" i="20"/>
  <c r="AD25" i="19"/>
  <c r="AD25" i="18"/>
  <c r="AD35" i="17"/>
  <c r="AD35" i="16"/>
  <c r="AD35" i="15" l="1"/>
  <c r="AE35" i="15"/>
  <c r="AE36" i="15"/>
  <c r="AE37" i="15"/>
  <c r="AE38" i="15"/>
  <c r="AD25" i="14"/>
  <c r="AD25" i="13"/>
  <c r="AD35" i="12"/>
  <c r="AD35" i="11"/>
  <c r="AD35" i="10"/>
  <c r="AD25" i="9"/>
  <c r="AD35" i="8"/>
  <c r="AD35" i="7"/>
  <c r="AC35" i="7"/>
  <c r="AD25" i="6"/>
  <c r="AD25" i="5"/>
  <c r="G4" i="32"/>
  <c r="G32" i="32" s="1"/>
  <c r="AD35" i="3"/>
  <c r="F31" i="32"/>
  <c r="F30" i="32"/>
  <c r="F29" i="32"/>
  <c r="F28" i="32"/>
  <c r="F27" i="32"/>
  <c r="F26" i="32"/>
  <c r="F25" i="32"/>
  <c r="F24" i="32"/>
  <c r="F23" i="32"/>
  <c r="F22" i="32"/>
  <c r="F21" i="32"/>
  <c r="F20" i="32"/>
  <c r="F19" i="32"/>
  <c r="F18" i="32"/>
  <c r="F17" i="32"/>
  <c r="F16" i="32"/>
  <c r="F15" i="32"/>
  <c r="E31" i="32"/>
  <c r="E30" i="32"/>
  <c r="E29" i="32"/>
  <c r="E28" i="32"/>
  <c r="E27" i="32"/>
  <c r="E26" i="32"/>
  <c r="E25" i="32"/>
  <c r="E24" i="32"/>
  <c r="E23" i="32"/>
  <c r="E22" i="32"/>
  <c r="E21" i="32"/>
  <c r="E20" i="32"/>
  <c r="E19" i="32"/>
  <c r="E18" i="32"/>
  <c r="E16" i="32"/>
  <c r="E17" i="32"/>
  <c r="E15" i="32"/>
  <c r="F14" i="32"/>
  <c r="F13" i="32"/>
  <c r="E13" i="32"/>
  <c r="E14" i="32"/>
  <c r="D12" i="32"/>
  <c r="Y25" i="23"/>
  <c r="F12" i="32" l="1"/>
  <c r="E12" i="32"/>
  <c r="E11" i="32"/>
  <c r="F10" i="32"/>
  <c r="E10" i="32"/>
  <c r="F9" i="32"/>
  <c r="E9" i="32"/>
  <c r="E8" i="32"/>
  <c r="F7" i="32"/>
  <c r="E7" i="32"/>
  <c r="F6" i="32"/>
  <c r="F5" i="32"/>
  <c r="E6" i="32"/>
  <c r="F4" i="32"/>
  <c r="E4" i="32"/>
  <c r="C31" i="32"/>
  <c r="D31" i="32"/>
  <c r="B31" i="32"/>
  <c r="C30" i="32"/>
  <c r="D30" i="32"/>
  <c r="B30" i="32"/>
  <c r="C29" i="32"/>
  <c r="D29" i="32"/>
  <c r="B29" i="32"/>
  <c r="C28" i="32"/>
  <c r="D28" i="32"/>
  <c r="B28" i="32"/>
  <c r="C27" i="32"/>
  <c r="D27" i="32"/>
  <c r="B27" i="32"/>
  <c r="D26" i="32"/>
  <c r="C26" i="32"/>
  <c r="B26" i="32"/>
  <c r="C25" i="32"/>
  <c r="D25" i="32"/>
  <c r="B25" i="32"/>
  <c r="C24" i="32"/>
  <c r="D24" i="32"/>
  <c r="B24" i="32"/>
  <c r="C23" i="32"/>
  <c r="D23" i="32"/>
  <c r="B23" i="32"/>
  <c r="C22" i="32"/>
  <c r="D22" i="32"/>
  <c r="B22" i="32"/>
  <c r="C21" i="32"/>
  <c r="D21" i="32"/>
  <c r="B21" i="32"/>
  <c r="D20" i="32"/>
  <c r="C20" i="32"/>
  <c r="B20" i="32"/>
  <c r="C19" i="32"/>
  <c r="D19" i="32"/>
  <c r="B19" i="32"/>
  <c r="C18" i="32"/>
  <c r="D18" i="32"/>
  <c r="B18" i="32"/>
  <c r="C17" i="32"/>
  <c r="D17" i="32"/>
  <c r="B17" i="32"/>
  <c r="C16" i="32"/>
  <c r="D16" i="32"/>
  <c r="B16" i="32"/>
  <c r="C15" i="32"/>
  <c r="D15" i="32"/>
  <c r="B15" i="32"/>
  <c r="C14" i="32"/>
  <c r="D14" i="32"/>
  <c r="B14" i="32"/>
  <c r="C13" i="32"/>
  <c r="D13" i="32"/>
  <c r="O26" i="23"/>
  <c r="O25" i="23"/>
  <c r="O36" i="25"/>
  <c r="O35" i="25"/>
  <c r="O36" i="24"/>
  <c r="O35" i="24"/>
  <c r="O26" i="22"/>
  <c r="O25" i="22"/>
  <c r="O26" i="21"/>
  <c r="O25" i="21"/>
  <c r="O26" i="20"/>
  <c r="O25" i="20"/>
  <c r="O26" i="19"/>
  <c r="O25" i="19"/>
  <c r="O26" i="18"/>
  <c r="O25" i="18"/>
  <c r="O36" i="17"/>
  <c r="O35" i="17"/>
  <c r="O36" i="16"/>
  <c r="O35" i="16"/>
  <c r="O36" i="15"/>
  <c r="O35" i="15"/>
  <c r="N35" i="15"/>
  <c r="O26" i="14"/>
  <c r="O25" i="14"/>
  <c r="O26" i="13"/>
  <c r="O25" i="13"/>
  <c r="O36" i="12"/>
  <c r="O35" i="12"/>
  <c r="B13" i="32"/>
  <c r="C12" i="32"/>
  <c r="B12" i="32"/>
  <c r="C11" i="32"/>
  <c r="D11" i="32"/>
  <c r="B11" i="32"/>
  <c r="C10" i="32"/>
  <c r="D10" i="32"/>
  <c r="B10" i="32"/>
  <c r="C9" i="32"/>
  <c r="D9" i="32"/>
  <c r="B9" i="32"/>
  <c r="D8" i="32"/>
  <c r="C8" i="32"/>
  <c r="B8" i="32"/>
  <c r="C7" i="32"/>
  <c r="D7" i="32"/>
  <c r="B7" i="32"/>
  <c r="C6" i="32"/>
  <c r="D6" i="32"/>
  <c r="B6" i="32"/>
  <c r="C5" i="32"/>
  <c r="B5" i="32"/>
  <c r="D4" i="32"/>
  <c r="C4" i="32"/>
  <c r="B4" i="32"/>
  <c r="O36" i="8"/>
  <c r="O35" i="8"/>
  <c r="O26" i="9"/>
  <c r="O25" i="9"/>
  <c r="F32" i="32" l="1"/>
  <c r="C32" i="32"/>
  <c r="B32" i="32"/>
  <c r="Z25" i="27"/>
  <c r="O36" i="10" l="1"/>
  <c r="O35" i="10"/>
  <c r="O36" i="7"/>
  <c r="O35" i="7"/>
  <c r="O26" i="6"/>
  <c r="O25" i="6"/>
  <c r="O26" i="27" l="1"/>
  <c r="O25" i="27"/>
  <c r="O26" i="5"/>
  <c r="O25" i="5"/>
  <c r="D5" i="32" s="1"/>
  <c r="D32" i="32" s="1"/>
  <c r="O26" i="26"/>
  <c r="O25" i="26"/>
  <c r="Y37" i="28"/>
  <c r="O36" i="3"/>
  <c r="O35" i="3"/>
  <c r="O36" i="11"/>
  <c r="O35" i="11"/>
  <c r="O36" i="28"/>
  <c r="O35" i="28"/>
  <c r="O26" i="29"/>
  <c r="O25" i="29"/>
  <c r="O36" i="30" l="1"/>
  <c r="O35" i="30"/>
  <c r="O36" i="31" l="1"/>
  <c r="O35" i="31"/>
  <c r="N26" i="26"/>
  <c r="N25" i="26"/>
  <c r="N36" i="25"/>
  <c r="N35" i="25"/>
  <c r="N36" i="24" l="1"/>
  <c r="N35" i="24"/>
  <c r="N36" i="17"/>
  <c r="N35" i="17"/>
  <c r="N36" i="16"/>
  <c r="N35" i="16"/>
  <c r="N36" i="15"/>
  <c r="N36" i="12"/>
  <c r="N35" i="12"/>
  <c r="N36" i="11"/>
  <c r="N35" i="11"/>
  <c r="N36" i="10"/>
  <c r="N35" i="10"/>
  <c r="N36" i="8"/>
  <c r="N35" i="8"/>
  <c r="N36" i="7"/>
  <c r="N35" i="7"/>
  <c r="N35" i="3"/>
  <c r="N36" i="3"/>
  <c r="N26" i="5"/>
  <c r="N25" i="5"/>
  <c r="N26" i="6"/>
  <c r="N25" i="6"/>
  <c r="N26" i="9"/>
  <c r="N25" i="9"/>
  <c r="N26" i="13"/>
  <c r="N25" i="13"/>
  <c r="N26" i="14"/>
  <c r="N25" i="14"/>
  <c r="N26" i="18"/>
  <c r="N25" i="18"/>
  <c r="N26" i="19"/>
  <c r="N25" i="19"/>
  <c r="N26" i="20"/>
  <c r="N25" i="20"/>
  <c r="N26" i="21"/>
  <c r="N25" i="21"/>
  <c r="N26" i="22"/>
  <c r="N25" i="22"/>
  <c r="N26" i="23"/>
  <c r="N25" i="23"/>
  <c r="N26" i="27" l="1"/>
  <c r="N25" i="27"/>
  <c r="N36" i="28"/>
  <c r="N35" i="28"/>
  <c r="N36" i="31"/>
  <c r="N35" i="31"/>
  <c r="N36" i="30"/>
  <c r="N35" i="30"/>
  <c r="N26" i="29"/>
  <c r="N25" i="29"/>
  <c r="T38" i="31"/>
  <c r="T37" i="31"/>
  <c r="T36" i="31"/>
  <c r="T35" i="31"/>
  <c r="R38" i="31"/>
  <c r="T38" i="30"/>
  <c r="T37" i="30"/>
  <c r="T36" i="30"/>
  <c r="T35" i="30"/>
  <c r="R38" i="30"/>
  <c r="T28" i="29"/>
  <c r="T27" i="29"/>
  <c r="T26" i="29"/>
  <c r="T25" i="29"/>
  <c r="R28" i="29"/>
  <c r="T38" i="28"/>
  <c r="T37" i="28"/>
  <c r="T36" i="28"/>
  <c r="T35" i="28"/>
  <c r="R38" i="28"/>
  <c r="T28" i="27"/>
  <c r="T27" i="27"/>
  <c r="T26" i="27"/>
  <c r="T25" i="27"/>
  <c r="R28" i="27"/>
  <c r="T28" i="26"/>
  <c r="T27" i="26"/>
  <c r="T26" i="26"/>
  <c r="T25" i="26"/>
  <c r="R28" i="26"/>
  <c r="T28" i="23"/>
  <c r="T27" i="23"/>
  <c r="T26" i="23"/>
  <c r="T25" i="23"/>
  <c r="R28" i="23"/>
  <c r="T38" i="25"/>
  <c r="T37" i="25"/>
  <c r="T36" i="25"/>
  <c r="T35" i="25"/>
  <c r="R38" i="25"/>
  <c r="T38" i="24"/>
  <c r="T37" i="24"/>
  <c r="T36" i="24"/>
  <c r="T35" i="24"/>
  <c r="R38" i="24"/>
  <c r="T28" i="22"/>
  <c r="T27" i="22"/>
  <c r="T26" i="22"/>
  <c r="T25" i="22"/>
  <c r="R28" i="22"/>
  <c r="T28" i="21"/>
  <c r="T27" i="21"/>
  <c r="T26" i="21"/>
  <c r="T25" i="21"/>
  <c r="R28" i="21"/>
  <c r="T28" i="20"/>
  <c r="T27" i="20"/>
  <c r="T26" i="20"/>
  <c r="T25" i="20"/>
  <c r="R28" i="20"/>
  <c r="T28" i="19"/>
  <c r="T27" i="19"/>
  <c r="T26" i="19"/>
  <c r="T25" i="19"/>
  <c r="R28" i="19"/>
  <c r="T28" i="18"/>
  <c r="T27" i="18"/>
  <c r="T26" i="18"/>
  <c r="T25" i="18"/>
  <c r="R28" i="18"/>
  <c r="T38" i="17"/>
  <c r="T37" i="17"/>
  <c r="T36" i="17"/>
  <c r="T35" i="17"/>
  <c r="R38" i="17"/>
  <c r="R35" i="17"/>
  <c r="T38" i="16"/>
  <c r="T37" i="16"/>
  <c r="T36" i="16"/>
  <c r="T35" i="16"/>
  <c r="R38" i="16"/>
  <c r="T38" i="15"/>
  <c r="T37" i="15"/>
  <c r="T36" i="15"/>
  <c r="T35" i="15"/>
  <c r="R38" i="15"/>
  <c r="T28" i="14"/>
  <c r="T27" i="14"/>
  <c r="T26" i="14"/>
  <c r="T25" i="14"/>
  <c r="R28" i="14"/>
  <c r="T28" i="13"/>
  <c r="T27" i="13"/>
  <c r="T26" i="13"/>
  <c r="T25" i="13"/>
  <c r="R28" i="13"/>
  <c r="T38" i="12"/>
  <c r="T37" i="12"/>
  <c r="T36" i="12"/>
  <c r="T35" i="12"/>
  <c r="R38" i="12"/>
  <c r="T38" i="11"/>
  <c r="T37" i="11"/>
  <c r="T36" i="11"/>
  <c r="T35" i="11"/>
  <c r="R38" i="11"/>
  <c r="T38" i="10"/>
  <c r="T37" i="10"/>
  <c r="T36" i="10"/>
  <c r="T35" i="10"/>
  <c r="R38" i="10"/>
  <c r="R28" i="9"/>
  <c r="T26" i="9"/>
  <c r="T27" i="9"/>
  <c r="T28" i="9"/>
  <c r="T36" i="8"/>
  <c r="T35" i="8"/>
  <c r="T38" i="8"/>
  <c r="T37" i="8"/>
  <c r="R38" i="7"/>
  <c r="T36" i="7"/>
  <c r="T35" i="7"/>
  <c r="T38" i="7"/>
  <c r="T37" i="7"/>
  <c r="R28" i="6"/>
  <c r="T28" i="6"/>
  <c r="T27" i="6"/>
  <c r="T26" i="6"/>
  <c r="T25" i="6"/>
  <c r="T38" i="3"/>
  <c r="T36" i="3"/>
  <c r="T37" i="3"/>
  <c r="T26" i="5"/>
  <c r="T25" i="5"/>
  <c r="T28" i="5"/>
  <c r="T27" i="5"/>
  <c r="T35" i="3"/>
  <c r="R36" i="3"/>
  <c r="R35" i="3"/>
  <c r="T25" i="9" l="1"/>
  <c r="Z25" i="9"/>
  <c r="Y27" i="9"/>
  <c r="Y37" i="8" l="1"/>
  <c r="Y37" i="30"/>
  <c r="Y27" i="5" l="1"/>
  <c r="Y27" i="6"/>
  <c r="Y28" i="6"/>
  <c r="Y25" i="5"/>
  <c r="Z25" i="5"/>
  <c r="Y26" i="5"/>
  <c r="Y35" i="3"/>
  <c r="Y37" i="3" s="1"/>
  <c r="Z35" i="3"/>
  <c r="Y36" i="3"/>
  <c r="Y25" i="6"/>
  <c r="Z25" i="6"/>
  <c r="Y26" i="6"/>
  <c r="AI25" i="6"/>
  <c r="K36" i="3"/>
  <c r="Y37" i="31"/>
  <c r="Y36" i="31"/>
  <c r="X36" i="31"/>
  <c r="Z35" i="31"/>
  <c r="Y35" i="31"/>
  <c r="X35" i="31"/>
  <c r="U36" i="31"/>
  <c r="U35" i="31"/>
  <c r="U36" i="30"/>
  <c r="U35" i="30"/>
  <c r="Y36" i="30"/>
  <c r="X36" i="30"/>
  <c r="Z35" i="30"/>
  <c r="Y35" i="30"/>
  <c r="X35" i="30"/>
  <c r="U26" i="29"/>
  <c r="U25" i="29"/>
  <c r="Y27" i="29"/>
  <c r="Y26" i="29"/>
  <c r="X26" i="29"/>
  <c r="Z25" i="29"/>
  <c r="Y25" i="29"/>
  <c r="X25" i="29"/>
  <c r="U36" i="28"/>
  <c r="U35" i="28"/>
  <c r="Y36" i="28"/>
  <c r="X36" i="28"/>
  <c r="Z35" i="28"/>
  <c r="Y35" i="28"/>
  <c r="X35" i="28"/>
  <c r="U26" i="27"/>
  <c r="U25" i="27"/>
  <c r="Y27" i="27"/>
  <c r="Y26" i="27"/>
  <c r="Y25" i="27"/>
  <c r="X26" i="27"/>
  <c r="X25" i="27"/>
  <c r="X26" i="26"/>
  <c r="X25" i="26"/>
  <c r="U26" i="26"/>
  <c r="U25" i="26"/>
  <c r="Y27" i="26"/>
  <c r="Y26" i="26"/>
  <c r="Z25" i="26"/>
  <c r="Y25" i="26"/>
  <c r="U26" i="23"/>
  <c r="U25" i="23"/>
  <c r="AF28" i="23"/>
  <c r="AE28" i="23"/>
  <c r="AF27" i="23"/>
  <c r="AE27" i="23"/>
  <c r="AB27" i="23"/>
  <c r="Y27" i="23"/>
  <c r="AH26" i="23"/>
  <c r="AG26" i="23"/>
  <c r="AF26" i="23"/>
  <c r="AE26" i="23"/>
  <c r="AB26" i="23"/>
  <c r="AA26" i="23"/>
  <c r="Y26" i="23"/>
  <c r="X26" i="23"/>
  <c r="AK25" i="23"/>
  <c r="AJ25" i="23"/>
  <c r="AI25" i="23"/>
  <c r="AH25" i="23"/>
  <c r="AG25" i="23"/>
  <c r="AF25" i="23"/>
  <c r="AE25" i="23"/>
  <c r="AC25" i="23"/>
  <c r="AB25" i="23"/>
  <c r="AA25" i="23"/>
  <c r="Z25" i="23"/>
  <c r="X25" i="23"/>
  <c r="U36" i="25"/>
  <c r="U35" i="25"/>
  <c r="AF38" i="25"/>
  <c r="AE38" i="25"/>
  <c r="AF37" i="25"/>
  <c r="AE37" i="25"/>
  <c r="AB37" i="25"/>
  <c r="Y37" i="25"/>
  <c r="AH36" i="25"/>
  <c r="AG36" i="25"/>
  <c r="AF36" i="25"/>
  <c r="AE36" i="25"/>
  <c r="AB36" i="25"/>
  <c r="AA36" i="25"/>
  <c r="Y36" i="25"/>
  <c r="X36" i="25"/>
  <c r="AK35" i="25"/>
  <c r="AJ35" i="25"/>
  <c r="AI35" i="25"/>
  <c r="AH35" i="25"/>
  <c r="AG35" i="25"/>
  <c r="AF35" i="25"/>
  <c r="AE35" i="25"/>
  <c r="AC35" i="25"/>
  <c r="AB35" i="25"/>
  <c r="AA35" i="25"/>
  <c r="Z35" i="25"/>
  <c r="Y35" i="25"/>
  <c r="X35" i="25"/>
  <c r="U36" i="24"/>
  <c r="U35" i="24"/>
  <c r="AF38" i="24"/>
  <c r="AE38" i="24"/>
  <c r="AF37" i="24"/>
  <c r="AE37" i="24"/>
  <c r="AB37" i="24"/>
  <c r="Y37" i="24"/>
  <c r="AH36" i="24"/>
  <c r="AG36" i="24"/>
  <c r="AF36" i="24"/>
  <c r="AE36" i="24"/>
  <c r="AB36" i="24"/>
  <c r="AA36" i="24"/>
  <c r="Y36" i="24"/>
  <c r="X36" i="24"/>
  <c r="AK35" i="24"/>
  <c r="AJ35" i="24"/>
  <c r="AI35" i="24"/>
  <c r="AH35" i="24"/>
  <c r="AG35" i="24"/>
  <c r="AF35" i="24"/>
  <c r="AE35" i="24"/>
  <c r="AC35" i="24"/>
  <c r="AB35" i="24"/>
  <c r="AA35" i="24"/>
  <c r="Z35" i="24"/>
  <c r="Y35" i="24"/>
  <c r="X35" i="24"/>
  <c r="U26" i="22"/>
  <c r="U25" i="22"/>
  <c r="U26" i="21"/>
  <c r="U25" i="21"/>
  <c r="U26" i="20"/>
  <c r="U25" i="20"/>
  <c r="U26" i="19"/>
  <c r="U25" i="19"/>
  <c r="U26" i="18"/>
  <c r="U25" i="18"/>
  <c r="AF28" i="22"/>
  <c r="AE28" i="22"/>
  <c r="AF27" i="22"/>
  <c r="AE27" i="22"/>
  <c r="AB27" i="22"/>
  <c r="Y27" i="22"/>
  <c r="AH26" i="22"/>
  <c r="AG26" i="22"/>
  <c r="AF26" i="22"/>
  <c r="AE26" i="22"/>
  <c r="AB26" i="22"/>
  <c r="AA26" i="22"/>
  <c r="Y26" i="22"/>
  <c r="X26" i="22"/>
  <c r="AK25" i="22"/>
  <c r="AJ25" i="22"/>
  <c r="AI25" i="22"/>
  <c r="AH25" i="22"/>
  <c r="AG25" i="22"/>
  <c r="AF25" i="22"/>
  <c r="AE25" i="22"/>
  <c r="AC25" i="22"/>
  <c r="AB25" i="22"/>
  <c r="AA25" i="22"/>
  <c r="Z25" i="22"/>
  <c r="Y25" i="22"/>
  <c r="X25" i="22"/>
  <c r="AF28" i="21"/>
  <c r="AE28" i="21"/>
  <c r="AF27" i="21"/>
  <c r="AE27" i="21"/>
  <c r="AB27" i="21"/>
  <c r="Y27" i="21"/>
  <c r="AH26" i="21"/>
  <c r="AG26" i="21"/>
  <c r="AF26" i="21"/>
  <c r="AE26" i="21"/>
  <c r="AB26" i="21"/>
  <c r="AA26" i="21"/>
  <c r="Y26" i="21"/>
  <c r="X26" i="21"/>
  <c r="AK25" i="21"/>
  <c r="AJ25" i="21"/>
  <c r="AI25" i="21"/>
  <c r="AH25" i="21"/>
  <c r="AG25" i="21"/>
  <c r="AF25" i="21"/>
  <c r="AE25" i="21"/>
  <c r="AC25" i="21"/>
  <c r="AB25" i="21"/>
  <c r="AA25" i="21"/>
  <c r="Z25" i="21"/>
  <c r="Y25" i="21"/>
  <c r="X25" i="21"/>
  <c r="AF28" i="20"/>
  <c r="AE28" i="20"/>
  <c r="AF27" i="20"/>
  <c r="AE27" i="20"/>
  <c r="AB27" i="20"/>
  <c r="Y27" i="20"/>
  <c r="AH26" i="20"/>
  <c r="AG26" i="20"/>
  <c r="AF26" i="20"/>
  <c r="AE26" i="20"/>
  <c r="AB26" i="20"/>
  <c r="AA26" i="20"/>
  <c r="Y26" i="20"/>
  <c r="X26" i="20"/>
  <c r="AK25" i="20"/>
  <c r="AJ25" i="20"/>
  <c r="AI25" i="20"/>
  <c r="AH25" i="20"/>
  <c r="AG25" i="20"/>
  <c r="AF25" i="20"/>
  <c r="AE25" i="20"/>
  <c r="AC25" i="20"/>
  <c r="AB25" i="20"/>
  <c r="AA25" i="20"/>
  <c r="Z25" i="20"/>
  <c r="Y25" i="20"/>
  <c r="X25" i="20"/>
  <c r="AF28" i="19"/>
  <c r="AE28" i="19"/>
  <c r="AF27" i="19"/>
  <c r="AE27" i="19"/>
  <c r="AB27" i="19"/>
  <c r="Y27" i="19"/>
  <c r="AH26" i="19"/>
  <c r="AG26" i="19"/>
  <c r="AF26" i="19"/>
  <c r="AE26" i="19"/>
  <c r="AB26" i="19"/>
  <c r="AA26" i="19"/>
  <c r="Y26" i="19"/>
  <c r="X26" i="19"/>
  <c r="AK25" i="19"/>
  <c r="AJ25" i="19"/>
  <c r="AI25" i="19"/>
  <c r="AH25" i="19"/>
  <c r="AG25" i="19"/>
  <c r="AF25" i="19"/>
  <c r="AE25" i="19"/>
  <c r="AC25" i="19"/>
  <c r="AB25" i="19"/>
  <c r="AA25" i="19"/>
  <c r="Z25" i="19"/>
  <c r="Y25" i="19"/>
  <c r="X25" i="19"/>
  <c r="AF28" i="18"/>
  <c r="AE28" i="18"/>
  <c r="AF27" i="18"/>
  <c r="AE27" i="18"/>
  <c r="AB27" i="18"/>
  <c r="Y27" i="18"/>
  <c r="AH26" i="18"/>
  <c r="AG26" i="18"/>
  <c r="AF26" i="18"/>
  <c r="AE26" i="18"/>
  <c r="AB26" i="18"/>
  <c r="AA26" i="18"/>
  <c r="Y26" i="18"/>
  <c r="X26" i="18"/>
  <c r="AK25" i="18"/>
  <c r="AJ25" i="18"/>
  <c r="AI25" i="18"/>
  <c r="AH25" i="18"/>
  <c r="AG25" i="18"/>
  <c r="AF25" i="18"/>
  <c r="AE25" i="18"/>
  <c r="AC25" i="18"/>
  <c r="AB25" i="18"/>
  <c r="AA25" i="18"/>
  <c r="Z25" i="18"/>
  <c r="Y25" i="18"/>
  <c r="X25" i="18"/>
  <c r="U36" i="17"/>
  <c r="U35" i="17"/>
  <c r="U36" i="16"/>
  <c r="U35" i="16"/>
  <c r="AF38" i="17"/>
  <c r="AE38" i="17"/>
  <c r="AF37" i="17"/>
  <c r="AE37" i="17"/>
  <c r="AB37" i="17"/>
  <c r="Y37" i="17"/>
  <c r="AH36" i="17"/>
  <c r="AG36" i="17"/>
  <c r="AF36" i="17"/>
  <c r="AE36" i="17"/>
  <c r="AB36" i="17"/>
  <c r="AA36" i="17"/>
  <c r="Y36" i="17"/>
  <c r="X36" i="17"/>
  <c r="AK35" i="17"/>
  <c r="AJ35" i="17"/>
  <c r="AI35" i="17"/>
  <c r="AH35" i="17"/>
  <c r="AG35" i="17"/>
  <c r="AF35" i="17"/>
  <c r="AE35" i="17"/>
  <c r="AC35" i="17"/>
  <c r="AB35" i="17"/>
  <c r="AA35" i="17"/>
  <c r="Z35" i="17"/>
  <c r="Y35" i="17"/>
  <c r="X35" i="17"/>
  <c r="AF38" i="16"/>
  <c r="AE38" i="16"/>
  <c r="AF37" i="16"/>
  <c r="AE37" i="16"/>
  <c r="AB37" i="16"/>
  <c r="Y37" i="16"/>
  <c r="AH36" i="16"/>
  <c r="AG36" i="16"/>
  <c r="AF36" i="16"/>
  <c r="AE36" i="16"/>
  <c r="AB36" i="16"/>
  <c r="AA36" i="16"/>
  <c r="Y36" i="16"/>
  <c r="X36" i="16"/>
  <c r="AK35" i="16"/>
  <c r="AJ35" i="16"/>
  <c r="AI35" i="16"/>
  <c r="AH35" i="16"/>
  <c r="AG35" i="16"/>
  <c r="AF35" i="16"/>
  <c r="AE35" i="16"/>
  <c r="AC35" i="16"/>
  <c r="AB35" i="16"/>
  <c r="AA35" i="16"/>
  <c r="Z35" i="16"/>
  <c r="Y35" i="16"/>
  <c r="X35" i="16"/>
  <c r="AF38" i="15"/>
  <c r="AF37" i="15"/>
  <c r="AB37" i="15"/>
  <c r="Y37" i="15"/>
  <c r="AH36" i="15"/>
  <c r="AG36" i="15"/>
  <c r="AF36" i="15"/>
  <c r="AB36" i="15"/>
  <c r="AA36" i="15"/>
  <c r="Y36" i="15"/>
  <c r="X36" i="15"/>
  <c r="AK35" i="15"/>
  <c r="AJ35" i="15"/>
  <c r="AI35" i="15"/>
  <c r="AH35" i="15"/>
  <c r="AG35" i="15"/>
  <c r="AF35" i="15"/>
  <c r="AC35" i="15"/>
  <c r="AB35" i="15"/>
  <c r="AA35" i="15"/>
  <c r="Z35" i="15"/>
  <c r="Y35" i="15"/>
  <c r="X35" i="15"/>
  <c r="U36" i="15"/>
  <c r="U35" i="15"/>
  <c r="X26" i="14"/>
  <c r="X26" i="13"/>
  <c r="X36" i="12"/>
  <c r="X36" i="11"/>
  <c r="X36" i="10"/>
  <c r="X26" i="9"/>
  <c r="X36" i="8"/>
  <c r="X36" i="7"/>
  <c r="AF38" i="12"/>
  <c r="AE38" i="12"/>
  <c r="AF37" i="12"/>
  <c r="AE37" i="12"/>
  <c r="AB37" i="12"/>
  <c r="Y37" i="12"/>
  <c r="AH36" i="12"/>
  <c r="AG36" i="12"/>
  <c r="AF36" i="12"/>
  <c r="AE36" i="12"/>
  <c r="AB36" i="12"/>
  <c r="AA36" i="12"/>
  <c r="Y36" i="12"/>
  <c r="AK35" i="12"/>
  <c r="AJ35" i="12"/>
  <c r="AI35" i="12"/>
  <c r="AH35" i="12"/>
  <c r="AG35" i="12"/>
  <c r="AF35" i="12"/>
  <c r="AE35" i="12"/>
  <c r="AC35" i="12"/>
  <c r="AB35" i="12"/>
  <c r="AA35" i="12"/>
  <c r="Z35" i="12"/>
  <c r="Y35" i="12"/>
  <c r="X35" i="12"/>
  <c r="AF38" i="11"/>
  <c r="AE38" i="11"/>
  <c r="AF37" i="11"/>
  <c r="AE37" i="11"/>
  <c r="AB37" i="11"/>
  <c r="Y37" i="11"/>
  <c r="AH36" i="11"/>
  <c r="AG36" i="11"/>
  <c r="AF36" i="11"/>
  <c r="AE36" i="11"/>
  <c r="AB36" i="11"/>
  <c r="AA36" i="11"/>
  <c r="Y36" i="11"/>
  <c r="AK35" i="11"/>
  <c r="AJ35" i="11"/>
  <c r="AI35" i="11"/>
  <c r="AH35" i="11"/>
  <c r="AG35" i="11"/>
  <c r="AF35" i="11"/>
  <c r="AE35" i="11"/>
  <c r="AC35" i="11"/>
  <c r="AB35" i="11"/>
  <c r="AA35" i="11"/>
  <c r="Z35" i="11"/>
  <c r="Y35" i="11"/>
  <c r="X35" i="11"/>
  <c r="AF38" i="10"/>
  <c r="AE38" i="10"/>
  <c r="AF37" i="10"/>
  <c r="AE37" i="10"/>
  <c r="AB37" i="10"/>
  <c r="Y37" i="10"/>
  <c r="AH36" i="10"/>
  <c r="AG36" i="10"/>
  <c r="AF36" i="10"/>
  <c r="AE36" i="10"/>
  <c r="AB36" i="10"/>
  <c r="AA36" i="10"/>
  <c r="Y36" i="10"/>
  <c r="AK35" i="10"/>
  <c r="AJ35" i="10"/>
  <c r="AI35" i="10"/>
  <c r="AH35" i="10"/>
  <c r="AG35" i="10"/>
  <c r="AF35" i="10"/>
  <c r="AE35" i="10"/>
  <c r="AC35" i="10"/>
  <c r="AB35" i="10"/>
  <c r="AA35" i="10"/>
  <c r="Z35" i="10"/>
  <c r="Y35" i="10"/>
  <c r="X35" i="10"/>
  <c r="U36" i="12"/>
  <c r="U35" i="12"/>
  <c r="AF28" i="14"/>
  <c r="AE28" i="14"/>
  <c r="AF27" i="14"/>
  <c r="AE27" i="14"/>
  <c r="AB27" i="14"/>
  <c r="Y27" i="14"/>
  <c r="AH26" i="14"/>
  <c r="AG26" i="14"/>
  <c r="AF26" i="14"/>
  <c r="AE26" i="14"/>
  <c r="AB26" i="14"/>
  <c r="AA26" i="14"/>
  <c r="Y26" i="14"/>
  <c r="AK25" i="14"/>
  <c r="AJ25" i="14"/>
  <c r="AI25" i="14"/>
  <c r="AH25" i="14"/>
  <c r="AG25" i="14"/>
  <c r="AF25" i="14"/>
  <c r="AE25" i="14"/>
  <c r="AC25" i="14"/>
  <c r="AB25" i="14"/>
  <c r="AA25" i="14"/>
  <c r="Z25" i="14"/>
  <c r="Y25" i="14"/>
  <c r="X25" i="14"/>
  <c r="AF28" i="13"/>
  <c r="AE28" i="13"/>
  <c r="AF27" i="13"/>
  <c r="AE27" i="13"/>
  <c r="AB27" i="13"/>
  <c r="Y27" i="13"/>
  <c r="AH26" i="13"/>
  <c r="AG26" i="13"/>
  <c r="AF26" i="13"/>
  <c r="AE26" i="13"/>
  <c r="AB26" i="13"/>
  <c r="AA26" i="13"/>
  <c r="Y26" i="13"/>
  <c r="AK25" i="13"/>
  <c r="AJ25" i="13"/>
  <c r="AI25" i="13"/>
  <c r="AH25" i="13"/>
  <c r="AG25" i="13"/>
  <c r="AF25" i="13"/>
  <c r="AE25" i="13"/>
  <c r="AC25" i="13"/>
  <c r="AB25" i="13"/>
  <c r="AA25" i="13"/>
  <c r="Z25" i="13"/>
  <c r="Y25" i="13"/>
  <c r="X25" i="13"/>
  <c r="U36" i="11"/>
  <c r="U35" i="11"/>
  <c r="U36" i="10"/>
  <c r="U35" i="10"/>
  <c r="U36" i="8"/>
  <c r="U35" i="8"/>
  <c r="AF38" i="8"/>
  <c r="AE38" i="8"/>
  <c r="AF37" i="8"/>
  <c r="AE37" i="8"/>
  <c r="AB37" i="8"/>
  <c r="AH36" i="8"/>
  <c r="AG36" i="8"/>
  <c r="AF36" i="8"/>
  <c r="AE36" i="8"/>
  <c r="AB36" i="8"/>
  <c r="AA36" i="8"/>
  <c r="Y36" i="8"/>
  <c r="AK35" i="8"/>
  <c r="AJ35" i="8"/>
  <c r="AI35" i="8"/>
  <c r="AH35" i="8"/>
  <c r="AG35" i="8"/>
  <c r="AF35" i="8"/>
  <c r="AE35" i="8"/>
  <c r="AC35" i="8"/>
  <c r="AB35" i="8"/>
  <c r="AA35" i="8"/>
  <c r="Z35" i="8"/>
  <c r="Y35" i="8"/>
  <c r="X35" i="8"/>
  <c r="U26" i="13"/>
  <c r="U25" i="13"/>
  <c r="U26" i="14"/>
  <c r="U25" i="14"/>
  <c r="U26" i="9"/>
  <c r="U25" i="9"/>
  <c r="Y26" i="9"/>
  <c r="Y25" i="9"/>
  <c r="U36" i="7"/>
  <c r="U35" i="7"/>
  <c r="Z35" i="7"/>
  <c r="Y37" i="7"/>
  <c r="Y36" i="7"/>
  <c r="Y35" i="7"/>
  <c r="X26" i="6"/>
  <c r="U26" i="6"/>
  <c r="U25" i="6"/>
  <c r="U26" i="5"/>
  <c r="U25" i="5"/>
  <c r="U36" i="3"/>
  <c r="U35" i="3"/>
  <c r="X26" i="5"/>
  <c r="X36" i="3"/>
  <c r="AF38" i="31"/>
  <c r="AE38" i="31"/>
  <c r="K38" i="31"/>
  <c r="G38" i="31"/>
  <c r="AF37" i="31"/>
  <c r="AE37" i="31"/>
  <c r="AB37" i="31"/>
  <c r="W37" i="31"/>
  <c r="V37" i="31"/>
  <c r="R37" i="31"/>
  <c r="Q37" i="31"/>
  <c r="P37" i="31"/>
  <c r="L37" i="31"/>
  <c r="K37" i="31"/>
  <c r="J37" i="31"/>
  <c r="I37" i="31"/>
  <c r="G37" i="31"/>
  <c r="AH36" i="31"/>
  <c r="AG36" i="31"/>
  <c r="AF36" i="31"/>
  <c r="AE36" i="31"/>
  <c r="AB36" i="31"/>
  <c r="AA36" i="31"/>
  <c r="W36" i="31"/>
  <c r="V36" i="31"/>
  <c r="S36" i="31"/>
  <c r="R36" i="31"/>
  <c r="Q36" i="31"/>
  <c r="P36" i="31"/>
  <c r="M36" i="31"/>
  <c r="L36" i="31"/>
  <c r="K36" i="31"/>
  <c r="J36" i="31"/>
  <c r="I36" i="31"/>
  <c r="H36" i="31"/>
  <c r="G36" i="31"/>
  <c r="AK35" i="31"/>
  <c r="AJ35" i="31"/>
  <c r="AI35" i="31"/>
  <c r="AH35" i="31"/>
  <c r="AG35" i="31"/>
  <c r="AF35" i="31"/>
  <c r="AE35" i="31"/>
  <c r="AC35" i="31"/>
  <c r="AB35" i="31"/>
  <c r="AA35" i="31"/>
  <c r="W35" i="31"/>
  <c r="V35" i="31"/>
  <c r="S35" i="31"/>
  <c r="R35" i="31"/>
  <c r="Q35" i="31"/>
  <c r="P35" i="31"/>
  <c r="M35" i="31"/>
  <c r="L35" i="31"/>
  <c r="K35" i="31"/>
  <c r="J35" i="31"/>
  <c r="I35" i="31"/>
  <c r="H35" i="31"/>
  <c r="G35" i="31"/>
  <c r="F35" i="31"/>
  <c r="AF38" i="30"/>
  <c r="AE38" i="30"/>
  <c r="K38" i="30"/>
  <c r="G38" i="30"/>
  <c r="AF37" i="30"/>
  <c r="AE37" i="30"/>
  <c r="AB37" i="30"/>
  <c r="W37" i="30"/>
  <c r="V37" i="30"/>
  <c r="R37" i="30"/>
  <c r="Q37" i="30"/>
  <c r="P37" i="30"/>
  <c r="L37" i="30"/>
  <c r="K37" i="30"/>
  <c r="J37" i="30"/>
  <c r="I37" i="30"/>
  <c r="G37" i="30"/>
  <c r="AH36" i="30"/>
  <c r="AG36" i="30"/>
  <c r="AF36" i="30"/>
  <c r="AE36" i="30"/>
  <c r="AB36" i="30"/>
  <c r="AA36" i="30"/>
  <c r="W36" i="30"/>
  <c r="V36" i="30"/>
  <c r="S36" i="30"/>
  <c r="R36" i="30"/>
  <c r="Q36" i="30"/>
  <c r="P36" i="30"/>
  <c r="M36" i="30"/>
  <c r="L36" i="30"/>
  <c r="K36" i="30"/>
  <c r="J36" i="30"/>
  <c r="I36" i="30"/>
  <c r="H36" i="30"/>
  <c r="G36" i="30"/>
  <c r="AK35" i="30"/>
  <c r="AJ35" i="30"/>
  <c r="AI35" i="30"/>
  <c r="AH35" i="30"/>
  <c r="AG35" i="30"/>
  <c r="AF35" i="30"/>
  <c r="AE35" i="30"/>
  <c r="AC35" i="30"/>
  <c r="AB35" i="30"/>
  <c r="AA35" i="30"/>
  <c r="W35" i="30"/>
  <c r="V35" i="30"/>
  <c r="S35" i="30"/>
  <c r="R35" i="30"/>
  <c r="Q35" i="30"/>
  <c r="P35" i="30"/>
  <c r="M35" i="30"/>
  <c r="L35" i="30"/>
  <c r="K35" i="30"/>
  <c r="J35" i="30"/>
  <c r="I35" i="30"/>
  <c r="H35" i="30"/>
  <c r="G35" i="30"/>
  <c r="F35" i="30"/>
  <c r="AF28" i="29"/>
  <c r="AE28" i="29"/>
  <c r="K28" i="29"/>
  <c r="G28" i="29"/>
  <c r="AF27" i="29"/>
  <c r="AE27" i="29"/>
  <c r="AB27" i="29"/>
  <c r="W27" i="29"/>
  <c r="V27" i="29"/>
  <c r="R27" i="29"/>
  <c r="Q27" i="29"/>
  <c r="P27" i="29"/>
  <c r="L27" i="29"/>
  <c r="K27" i="29"/>
  <c r="J27" i="29"/>
  <c r="I27" i="29"/>
  <c r="G27" i="29"/>
  <c r="AH26" i="29"/>
  <c r="AG26" i="29"/>
  <c r="AF26" i="29"/>
  <c r="AE26" i="29"/>
  <c r="AB26" i="29"/>
  <c r="AA26" i="29"/>
  <c r="W26" i="29"/>
  <c r="V26" i="29"/>
  <c r="S26" i="29"/>
  <c r="R26" i="29"/>
  <c r="Q26" i="29"/>
  <c r="P26" i="29"/>
  <c r="M26" i="29"/>
  <c r="L26" i="29"/>
  <c r="K26" i="29"/>
  <c r="J26" i="29"/>
  <c r="I26" i="29"/>
  <c r="H26" i="29"/>
  <c r="G26" i="29"/>
  <c r="AK25" i="29"/>
  <c r="AJ25" i="29"/>
  <c r="AI25" i="29"/>
  <c r="AH25" i="29"/>
  <c r="AG25" i="29"/>
  <c r="AF25" i="29"/>
  <c r="AE25" i="29"/>
  <c r="AC25" i="29"/>
  <c r="AB25" i="29"/>
  <c r="AA25" i="29"/>
  <c r="W25" i="29"/>
  <c r="V25" i="29"/>
  <c r="S25" i="29"/>
  <c r="R25" i="29"/>
  <c r="Q25" i="29"/>
  <c r="P25" i="29"/>
  <c r="M25" i="29"/>
  <c r="L25" i="29"/>
  <c r="K25" i="29"/>
  <c r="J25" i="29"/>
  <c r="I25" i="29"/>
  <c r="H25" i="29"/>
  <c r="G25" i="29"/>
  <c r="F25" i="29"/>
  <c r="AF38" i="28"/>
  <c r="AE38" i="28"/>
  <c r="K38" i="28"/>
  <c r="G38" i="28"/>
  <c r="AF37" i="28"/>
  <c r="AE37" i="28"/>
  <c r="AB37" i="28"/>
  <c r="W37" i="28"/>
  <c r="V37" i="28"/>
  <c r="R37" i="28"/>
  <c r="Q37" i="28"/>
  <c r="P37" i="28"/>
  <c r="L37" i="28"/>
  <c r="K37" i="28"/>
  <c r="J37" i="28"/>
  <c r="I37" i="28"/>
  <c r="G37" i="28"/>
  <c r="AH36" i="28"/>
  <c r="AG36" i="28"/>
  <c r="AF36" i="28"/>
  <c r="AE36" i="28"/>
  <c r="AB36" i="28"/>
  <c r="AA36" i="28"/>
  <c r="W36" i="28"/>
  <c r="V36" i="28"/>
  <c r="S36" i="28"/>
  <c r="R36" i="28"/>
  <c r="Q36" i="28"/>
  <c r="P36" i="28"/>
  <c r="M36" i="28"/>
  <c r="L36" i="28"/>
  <c r="K36" i="28"/>
  <c r="J36" i="28"/>
  <c r="I36" i="28"/>
  <c r="H36" i="28"/>
  <c r="G36" i="28"/>
  <c r="AK35" i="28"/>
  <c r="AJ35" i="28"/>
  <c r="AI35" i="28"/>
  <c r="AH35" i="28"/>
  <c r="AG35" i="28"/>
  <c r="AF35" i="28"/>
  <c r="AE35" i="28"/>
  <c r="AC35" i="28"/>
  <c r="AB35" i="28"/>
  <c r="AA35" i="28"/>
  <c r="W35" i="28"/>
  <c r="V35" i="28"/>
  <c r="S35" i="28"/>
  <c r="R35" i="28"/>
  <c r="Q35" i="28"/>
  <c r="P35" i="28"/>
  <c r="M35" i="28"/>
  <c r="L35" i="28"/>
  <c r="K35" i="28"/>
  <c r="J35" i="28"/>
  <c r="I35" i="28"/>
  <c r="H35" i="28"/>
  <c r="G35" i="28"/>
  <c r="F35" i="28"/>
  <c r="AF28" i="27"/>
  <c r="AE28" i="27"/>
  <c r="K28" i="27"/>
  <c r="G28" i="27"/>
  <c r="AF27" i="27"/>
  <c r="AE27" i="27"/>
  <c r="AB27" i="27"/>
  <c r="W27" i="27"/>
  <c r="V27" i="27"/>
  <c r="R27" i="27"/>
  <c r="Q27" i="27"/>
  <c r="P27" i="27"/>
  <c r="L27" i="27"/>
  <c r="K27" i="27"/>
  <c r="J27" i="27"/>
  <c r="I27" i="27"/>
  <c r="G27" i="27"/>
  <c r="AH26" i="27"/>
  <c r="AG26" i="27"/>
  <c r="AF26" i="27"/>
  <c r="AE26" i="27"/>
  <c r="AB26" i="27"/>
  <c r="AA26" i="27"/>
  <c r="W26" i="27"/>
  <c r="V26" i="27"/>
  <c r="S26" i="27"/>
  <c r="R26" i="27"/>
  <c r="Q26" i="27"/>
  <c r="P26" i="27"/>
  <c r="M26" i="27"/>
  <c r="L26" i="27"/>
  <c r="K26" i="27"/>
  <c r="J26" i="27"/>
  <c r="I26" i="27"/>
  <c r="H26" i="27"/>
  <c r="G26" i="27"/>
  <c r="AK25" i="27"/>
  <c r="AJ25" i="27"/>
  <c r="AI25" i="27"/>
  <c r="AH25" i="27"/>
  <c r="AG25" i="27"/>
  <c r="AF25" i="27"/>
  <c r="AE25" i="27"/>
  <c r="AC25" i="27"/>
  <c r="AB25" i="27"/>
  <c r="AA25" i="27"/>
  <c r="W25" i="27"/>
  <c r="V25" i="27"/>
  <c r="S25" i="27"/>
  <c r="R25" i="27"/>
  <c r="Q25" i="27"/>
  <c r="P25" i="27"/>
  <c r="M25" i="27"/>
  <c r="L25" i="27"/>
  <c r="K25" i="27"/>
  <c r="J25" i="27"/>
  <c r="I25" i="27"/>
  <c r="H25" i="27"/>
  <c r="G25" i="27"/>
  <c r="F25" i="27"/>
  <c r="AF28" i="26"/>
  <c r="AE28" i="26"/>
  <c r="K28" i="26"/>
  <c r="G28" i="26"/>
  <c r="AF27" i="26"/>
  <c r="AE27" i="26"/>
  <c r="AB27" i="26"/>
  <c r="W27" i="26"/>
  <c r="V27" i="26"/>
  <c r="R27" i="26"/>
  <c r="Q27" i="26"/>
  <c r="P27" i="26"/>
  <c r="L27" i="26"/>
  <c r="K27" i="26"/>
  <c r="J27" i="26"/>
  <c r="I27" i="26"/>
  <c r="G27" i="26"/>
  <c r="AH26" i="26"/>
  <c r="AG26" i="26"/>
  <c r="AF26" i="26"/>
  <c r="AE26" i="26"/>
  <c r="AB26" i="26"/>
  <c r="AA26" i="26"/>
  <c r="W26" i="26"/>
  <c r="V26" i="26"/>
  <c r="S26" i="26"/>
  <c r="R26" i="26"/>
  <c r="Q26" i="26"/>
  <c r="P26" i="26"/>
  <c r="M26" i="26"/>
  <c r="L26" i="26"/>
  <c r="K26" i="26"/>
  <c r="J26" i="26"/>
  <c r="I26" i="26"/>
  <c r="H26" i="26"/>
  <c r="G26" i="26"/>
  <c r="AK25" i="26"/>
  <c r="AJ25" i="26"/>
  <c r="AI25" i="26"/>
  <c r="AH25" i="26"/>
  <c r="AG25" i="26"/>
  <c r="AF25" i="26"/>
  <c r="AE25" i="26"/>
  <c r="AC25" i="26"/>
  <c r="AB25" i="26"/>
  <c r="AA25" i="26"/>
  <c r="W25" i="26"/>
  <c r="V25" i="26"/>
  <c r="S25" i="26"/>
  <c r="R25" i="26"/>
  <c r="Q25" i="26"/>
  <c r="P25" i="26"/>
  <c r="M25" i="26"/>
  <c r="L25" i="26"/>
  <c r="K25" i="26"/>
  <c r="J25" i="26"/>
  <c r="I25" i="26"/>
  <c r="H25" i="26"/>
  <c r="G25" i="26"/>
  <c r="F25" i="26"/>
  <c r="K38" i="25"/>
  <c r="G38" i="25"/>
  <c r="W37" i="25"/>
  <c r="V37" i="25"/>
  <c r="R37" i="25"/>
  <c r="Q37" i="25"/>
  <c r="P37" i="25"/>
  <c r="L37" i="25"/>
  <c r="K37" i="25"/>
  <c r="J37" i="25"/>
  <c r="I37" i="25"/>
  <c r="G37" i="25"/>
  <c r="W36" i="25"/>
  <c r="V36" i="25"/>
  <c r="S36" i="25"/>
  <c r="R36" i="25"/>
  <c r="Q36" i="25"/>
  <c r="P36" i="25"/>
  <c r="M36" i="25"/>
  <c r="L36" i="25"/>
  <c r="K36" i="25"/>
  <c r="J36" i="25"/>
  <c r="I36" i="25"/>
  <c r="H36" i="25"/>
  <c r="G36" i="25"/>
  <c r="W35" i="25"/>
  <c r="V35" i="25"/>
  <c r="S35" i="25"/>
  <c r="R35" i="25"/>
  <c r="Q35" i="25"/>
  <c r="P35" i="25"/>
  <c r="M35" i="25"/>
  <c r="L35" i="25"/>
  <c r="K35" i="25"/>
  <c r="J35" i="25"/>
  <c r="I35" i="25"/>
  <c r="H35" i="25"/>
  <c r="G35" i="25"/>
  <c r="F35" i="25"/>
  <c r="K38" i="24"/>
  <c r="G38" i="24"/>
  <c r="W37" i="24"/>
  <c r="V37" i="24"/>
  <c r="R37" i="24"/>
  <c r="Q37" i="24"/>
  <c r="P37" i="24"/>
  <c r="L37" i="24"/>
  <c r="K37" i="24"/>
  <c r="J37" i="24"/>
  <c r="I37" i="24"/>
  <c r="G37" i="24"/>
  <c r="W36" i="24"/>
  <c r="V36" i="24"/>
  <c r="S36" i="24"/>
  <c r="R36" i="24"/>
  <c r="Q36" i="24"/>
  <c r="P36" i="24"/>
  <c r="M36" i="24"/>
  <c r="L36" i="24"/>
  <c r="K36" i="24"/>
  <c r="J36" i="24"/>
  <c r="I36" i="24"/>
  <c r="H36" i="24"/>
  <c r="G36" i="24"/>
  <c r="W35" i="24"/>
  <c r="V35" i="24"/>
  <c r="S35" i="24"/>
  <c r="R35" i="24"/>
  <c r="Q35" i="24"/>
  <c r="P35" i="24"/>
  <c r="M35" i="24"/>
  <c r="L35" i="24"/>
  <c r="K35" i="24"/>
  <c r="J35" i="24"/>
  <c r="I35" i="24"/>
  <c r="H35" i="24"/>
  <c r="G35" i="24"/>
  <c r="F35" i="24"/>
  <c r="K28" i="23"/>
  <c r="G28" i="23"/>
  <c r="W27" i="23"/>
  <c r="V27" i="23"/>
  <c r="R27" i="23"/>
  <c r="Q27" i="23"/>
  <c r="P27" i="23"/>
  <c r="L27" i="23"/>
  <c r="K27" i="23"/>
  <c r="J27" i="23"/>
  <c r="I27" i="23"/>
  <c r="G27" i="23"/>
  <c r="W26" i="23"/>
  <c r="V26" i="23"/>
  <c r="S26" i="23"/>
  <c r="R26" i="23"/>
  <c r="Q26" i="23"/>
  <c r="P26" i="23"/>
  <c r="M26" i="23"/>
  <c r="L26" i="23"/>
  <c r="K26" i="23"/>
  <c r="J26" i="23"/>
  <c r="I26" i="23"/>
  <c r="H26" i="23"/>
  <c r="G26" i="23"/>
  <c r="W25" i="23"/>
  <c r="V25" i="23"/>
  <c r="S25" i="23"/>
  <c r="R25" i="23"/>
  <c r="Q25" i="23"/>
  <c r="P25" i="23"/>
  <c r="M25" i="23"/>
  <c r="L25" i="23"/>
  <c r="K25" i="23"/>
  <c r="J25" i="23"/>
  <c r="I25" i="23"/>
  <c r="H25" i="23"/>
  <c r="G25" i="23"/>
  <c r="F25" i="23"/>
  <c r="K28" i="22"/>
  <c r="G28" i="22"/>
  <c r="W27" i="22"/>
  <c r="V27" i="22"/>
  <c r="R27" i="22"/>
  <c r="Q27" i="22"/>
  <c r="P27" i="22"/>
  <c r="L27" i="22"/>
  <c r="K27" i="22"/>
  <c r="J27" i="22"/>
  <c r="I27" i="22"/>
  <c r="G27" i="22"/>
  <c r="W26" i="22"/>
  <c r="V26" i="22"/>
  <c r="S26" i="22"/>
  <c r="R26" i="22"/>
  <c r="Q26" i="22"/>
  <c r="P26" i="22"/>
  <c r="M26" i="22"/>
  <c r="L26" i="22"/>
  <c r="K26" i="22"/>
  <c r="J26" i="22"/>
  <c r="I26" i="22"/>
  <c r="H26" i="22"/>
  <c r="G26" i="22"/>
  <c r="W25" i="22"/>
  <c r="V25" i="22"/>
  <c r="S25" i="22"/>
  <c r="R25" i="22"/>
  <c r="Q25" i="22"/>
  <c r="P25" i="22"/>
  <c r="M25" i="22"/>
  <c r="L25" i="22"/>
  <c r="K25" i="22"/>
  <c r="J25" i="22"/>
  <c r="I25" i="22"/>
  <c r="H25" i="22"/>
  <c r="G25" i="22"/>
  <c r="F25" i="22"/>
  <c r="K28" i="21"/>
  <c r="G28" i="21"/>
  <c r="W27" i="21"/>
  <c r="V27" i="21"/>
  <c r="R27" i="21"/>
  <c r="Q27" i="21"/>
  <c r="P27" i="21"/>
  <c r="L27" i="21"/>
  <c r="K27" i="21"/>
  <c r="J27" i="21"/>
  <c r="I27" i="21"/>
  <c r="G27" i="21"/>
  <c r="W26" i="21"/>
  <c r="V26" i="21"/>
  <c r="S26" i="21"/>
  <c r="R26" i="21"/>
  <c r="Q26" i="21"/>
  <c r="P26" i="21"/>
  <c r="M26" i="21"/>
  <c r="L26" i="21"/>
  <c r="K26" i="21"/>
  <c r="J26" i="21"/>
  <c r="I26" i="21"/>
  <c r="H26" i="21"/>
  <c r="G26" i="21"/>
  <c r="W25" i="21"/>
  <c r="V25" i="21"/>
  <c r="S25" i="21"/>
  <c r="R25" i="21"/>
  <c r="Q25" i="21"/>
  <c r="P25" i="21"/>
  <c r="M25" i="21"/>
  <c r="L25" i="21"/>
  <c r="K25" i="21"/>
  <c r="J25" i="21"/>
  <c r="I25" i="21"/>
  <c r="H25" i="21"/>
  <c r="G25" i="21"/>
  <c r="F25" i="21"/>
  <c r="K28" i="20"/>
  <c r="G28" i="20"/>
  <c r="W27" i="20"/>
  <c r="V27" i="20"/>
  <c r="R27" i="20"/>
  <c r="Q27" i="20"/>
  <c r="P27" i="20"/>
  <c r="L27" i="20"/>
  <c r="K27" i="20"/>
  <c r="J27" i="20"/>
  <c r="I27" i="20"/>
  <c r="G27" i="20"/>
  <c r="W26" i="20"/>
  <c r="V26" i="20"/>
  <c r="S26" i="20"/>
  <c r="R26" i="20"/>
  <c r="Q26" i="20"/>
  <c r="P26" i="20"/>
  <c r="M26" i="20"/>
  <c r="L26" i="20"/>
  <c r="K26" i="20"/>
  <c r="J26" i="20"/>
  <c r="I26" i="20"/>
  <c r="H26" i="20"/>
  <c r="G26" i="20"/>
  <c r="W25" i="20"/>
  <c r="V25" i="20"/>
  <c r="S25" i="20"/>
  <c r="R25" i="20"/>
  <c r="Q25" i="20"/>
  <c r="P25" i="20"/>
  <c r="M25" i="20"/>
  <c r="L25" i="20"/>
  <c r="K25" i="20"/>
  <c r="J25" i="20"/>
  <c r="I25" i="20"/>
  <c r="H25" i="20"/>
  <c r="G25" i="20"/>
  <c r="F25" i="20"/>
  <c r="K28" i="19"/>
  <c r="G28" i="19"/>
  <c r="W27" i="19"/>
  <c r="V27" i="19"/>
  <c r="R27" i="19"/>
  <c r="Q27" i="19"/>
  <c r="P27" i="19"/>
  <c r="L27" i="19"/>
  <c r="K27" i="19"/>
  <c r="J27" i="19"/>
  <c r="I27" i="19"/>
  <c r="G27" i="19"/>
  <c r="W26" i="19"/>
  <c r="V26" i="19"/>
  <c r="S26" i="19"/>
  <c r="R26" i="19"/>
  <c r="Q26" i="19"/>
  <c r="P26" i="19"/>
  <c r="M26" i="19"/>
  <c r="L26" i="19"/>
  <c r="K26" i="19"/>
  <c r="J26" i="19"/>
  <c r="I26" i="19"/>
  <c r="H26" i="19"/>
  <c r="G26" i="19"/>
  <c r="W25" i="19"/>
  <c r="V25" i="19"/>
  <c r="S25" i="19"/>
  <c r="R25" i="19"/>
  <c r="Q25" i="19"/>
  <c r="P25" i="19"/>
  <c r="M25" i="19"/>
  <c r="L25" i="19"/>
  <c r="K25" i="19"/>
  <c r="J25" i="19"/>
  <c r="I25" i="19"/>
  <c r="H25" i="19"/>
  <c r="G25" i="19"/>
  <c r="F25" i="19"/>
  <c r="K28" i="18"/>
  <c r="G28" i="18"/>
  <c r="W27" i="18"/>
  <c r="V27" i="18"/>
  <c r="R27" i="18"/>
  <c r="Q27" i="18"/>
  <c r="P27" i="18"/>
  <c r="L27" i="18"/>
  <c r="K27" i="18"/>
  <c r="J27" i="18"/>
  <c r="I27" i="18"/>
  <c r="G27" i="18"/>
  <c r="W26" i="18"/>
  <c r="V26" i="18"/>
  <c r="S26" i="18"/>
  <c r="R26" i="18"/>
  <c r="Q26" i="18"/>
  <c r="P26" i="18"/>
  <c r="M26" i="18"/>
  <c r="L26" i="18"/>
  <c r="K26" i="18"/>
  <c r="J26" i="18"/>
  <c r="I26" i="18"/>
  <c r="H26" i="18"/>
  <c r="G26" i="18"/>
  <c r="W25" i="18"/>
  <c r="V25" i="18"/>
  <c r="S25" i="18"/>
  <c r="R25" i="18"/>
  <c r="Q25" i="18"/>
  <c r="P25" i="18"/>
  <c r="M25" i="18"/>
  <c r="L25" i="18"/>
  <c r="K25" i="18"/>
  <c r="J25" i="18"/>
  <c r="I25" i="18"/>
  <c r="H25" i="18"/>
  <c r="G25" i="18"/>
  <c r="F25" i="18"/>
  <c r="K38" i="17"/>
  <c r="G38" i="17"/>
  <c r="W37" i="17"/>
  <c r="V37" i="17"/>
  <c r="R37" i="17"/>
  <c r="Q37" i="17"/>
  <c r="P37" i="17"/>
  <c r="L37" i="17"/>
  <c r="K37" i="17"/>
  <c r="J37" i="17"/>
  <c r="I37" i="17"/>
  <c r="G37" i="17"/>
  <c r="W36" i="17"/>
  <c r="V36" i="17"/>
  <c r="S36" i="17"/>
  <c r="R36" i="17"/>
  <c r="Q36" i="17"/>
  <c r="P36" i="17"/>
  <c r="M36" i="17"/>
  <c r="L36" i="17"/>
  <c r="K36" i="17"/>
  <c r="J36" i="17"/>
  <c r="I36" i="17"/>
  <c r="H36" i="17"/>
  <c r="G36" i="17"/>
  <c r="W35" i="17"/>
  <c r="V35" i="17"/>
  <c r="S35" i="17"/>
  <c r="Q35" i="17"/>
  <c r="P35" i="17"/>
  <c r="M35" i="17"/>
  <c r="L35" i="17"/>
  <c r="K35" i="17"/>
  <c r="J35" i="17"/>
  <c r="I35" i="17"/>
  <c r="H35" i="17"/>
  <c r="G35" i="17"/>
  <c r="F35" i="17"/>
  <c r="K38" i="16"/>
  <c r="G38" i="16"/>
  <c r="W37" i="16"/>
  <c r="V37" i="16"/>
  <c r="R37" i="16"/>
  <c r="Q37" i="16"/>
  <c r="P37" i="16"/>
  <c r="L37" i="16"/>
  <c r="K37" i="16"/>
  <c r="J37" i="16"/>
  <c r="I37" i="16"/>
  <c r="G37" i="16"/>
  <c r="W36" i="16"/>
  <c r="V36" i="16"/>
  <c r="S36" i="16"/>
  <c r="R36" i="16"/>
  <c r="Q36" i="16"/>
  <c r="P36" i="16"/>
  <c r="M36" i="16"/>
  <c r="L36" i="16"/>
  <c r="K36" i="16"/>
  <c r="J36" i="16"/>
  <c r="I36" i="16"/>
  <c r="H36" i="16"/>
  <c r="G36" i="16"/>
  <c r="W35" i="16"/>
  <c r="V35" i="16"/>
  <c r="S35" i="16"/>
  <c r="R35" i="16"/>
  <c r="Q35" i="16"/>
  <c r="P35" i="16"/>
  <c r="M35" i="16"/>
  <c r="L35" i="16"/>
  <c r="K35" i="16"/>
  <c r="J35" i="16"/>
  <c r="I35" i="16"/>
  <c r="H35" i="16"/>
  <c r="G35" i="16"/>
  <c r="F35" i="16"/>
  <c r="K38" i="15"/>
  <c r="G38" i="15"/>
  <c r="W37" i="15"/>
  <c r="V37" i="15"/>
  <c r="R37" i="15"/>
  <c r="Q37" i="15"/>
  <c r="P37" i="15"/>
  <c r="L37" i="15"/>
  <c r="K37" i="15"/>
  <c r="J37" i="15"/>
  <c r="I37" i="15"/>
  <c r="G37" i="15"/>
  <c r="W36" i="15"/>
  <c r="V36" i="15"/>
  <c r="S36" i="15"/>
  <c r="R36" i="15"/>
  <c r="Q36" i="15"/>
  <c r="P36" i="15"/>
  <c r="M36" i="15"/>
  <c r="L36" i="15"/>
  <c r="K36" i="15"/>
  <c r="J36" i="15"/>
  <c r="I36" i="15"/>
  <c r="H36" i="15"/>
  <c r="G36" i="15"/>
  <c r="W35" i="15"/>
  <c r="V35" i="15"/>
  <c r="S35" i="15"/>
  <c r="R35" i="15"/>
  <c r="Q35" i="15"/>
  <c r="P35" i="15"/>
  <c r="M35" i="15"/>
  <c r="L35" i="15"/>
  <c r="K35" i="15"/>
  <c r="J35" i="15"/>
  <c r="I35" i="15"/>
  <c r="H35" i="15"/>
  <c r="G35" i="15"/>
  <c r="F35" i="15"/>
  <c r="K28" i="14"/>
  <c r="G28" i="14"/>
  <c r="W27" i="14"/>
  <c r="V27" i="14"/>
  <c r="R27" i="14"/>
  <c r="Q27" i="14"/>
  <c r="P27" i="14"/>
  <c r="L27" i="14"/>
  <c r="K27" i="14"/>
  <c r="J27" i="14"/>
  <c r="I27" i="14"/>
  <c r="G27" i="14"/>
  <c r="W26" i="14"/>
  <c r="V26" i="14"/>
  <c r="S26" i="14"/>
  <c r="R26" i="14"/>
  <c r="Q26" i="14"/>
  <c r="P26" i="14"/>
  <c r="M26" i="14"/>
  <c r="L26" i="14"/>
  <c r="K26" i="14"/>
  <c r="J26" i="14"/>
  <c r="I26" i="14"/>
  <c r="H26" i="14"/>
  <c r="G26" i="14"/>
  <c r="W25" i="14"/>
  <c r="V25" i="14"/>
  <c r="S25" i="14"/>
  <c r="R25" i="14"/>
  <c r="Q25" i="14"/>
  <c r="P25" i="14"/>
  <c r="M25" i="14"/>
  <c r="L25" i="14"/>
  <c r="K25" i="14"/>
  <c r="J25" i="14"/>
  <c r="I25" i="14"/>
  <c r="H25" i="14"/>
  <c r="G25" i="14"/>
  <c r="K28" i="13"/>
  <c r="G28" i="13"/>
  <c r="W27" i="13"/>
  <c r="V27" i="13"/>
  <c r="R27" i="13"/>
  <c r="Q27" i="13"/>
  <c r="P27" i="13"/>
  <c r="L27" i="13"/>
  <c r="K27" i="13"/>
  <c r="J27" i="13"/>
  <c r="I27" i="13"/>
  <c r="G27" i="13"/>
  <c r="W26" i="13"/>
  <c r="V26" i="13"/>
  <c r="S26" i="13"/>
  <c r="R26" i="13"/>
  <c r="Q26" i="13"/>
  <c r="P26" i="13"/>
  <c r="M26" i="13"/>
  <c r="L26" i="13"/>
  <c r="K26" i="13"/>
  <c r="J26" i="13"/>
  <c r="I26" i="13"/>
  <c r="H26" i="13"/>
  <c r="G26" i="13"/>
  <c r="W25" i="13"/>
  <c r="V25" i="13"/>
  <c r="S25" i="13"/>
  <c r="R25" i="13"/>
  <c r="Q25" i="13"/>
  <c r="P25" i="13"/>
  <c r="M25" i="13"/>
  <c r="L25" i="13"/>
  <c r="K25" i="13"/>
  <c r="J25" i="13"/>
  <c r="I25" i="13"/>
  <c r="H25" i="13"/>
  <c r="G25" i="13"/>
  <c r="F25" i="13"/>
  <c r="K38" i="12"/>
  <c r="G38" i="12"/>
  <c r="W37" i="12"/>
  <c r="V37" i="12"/>
  <c r="R37" i="12"/>
  <c r="Q37" i="12"/>
  <c r="P37" i="12"/>
  <c r="L37" i="12"/>
  <c r="K37" i="12"/>
  <c r="J37" i="12"/>
  <c r="I37" i="12"/>
  <c r="G37" i="12"/>
  <c r="W36" i="12"/>
  <c r="V36" i="12"/>
  <c r="S36" i="12"/>
  <c r="R36" i="12"/>
  <c r="Q36" i="12"/>
  <c r="P36" i="12"/>
  <c r="M36" i="12"/>
  <c r="L36" i="12"/>
  <c r="K36" i="12"/>
  <c r="J36" i="12"/>
  <c r="I36" i="12"/>
  <c r="H36" i="12"/>
  <c r="G36" i="12"/>
  <c r="W35" i="12"/>
  <c r="V35" i="12"/>
  <c r="S35" i="12"/>
  <c r="R35" i="12"/>
  <c r="Q35" i="12"/>
  <c r="P35" i="12"/>
  <c r="M35" i="12"/>
  <c r="L35" i="12"/>
  <c r="K35" i="12"/>
  <c r="J35" i="12"/>
  <c r="I35" i="12"/>
  <c r="H35" i="12"/>
  <c r="G35" i="12"/>
  <c r="F35" i="12"/>
  <c r="K38" i="11"/>
  <c r="G38" i="11"/>
  <c r="W37" i="11"/>
  <c r="V37" i="11"/>
  <c r="R37" i="11"/>
  <c r="Q37" i="11"/>
  <c r="P37" i="11"/>
  <c r="L37" i="11"/>
  <c r="K37" i="11"/>
  <c r="J37" i="11"/>
  <c r="I37" i="11"/>
  <c r="G37" i="11"/>
  <c r="W36" i="11"/>
  <c r="V36" i="11"/>
  <c r="S36" i="11"/>
  <c r="R36" i="11"/>
  <c r="Q36" i="11"/>
  <c r="P36" i="11"/>
  <c r="M36" i="11"/>
  <c r="L36" i="11"/>
  <c r="K36" i="11"/>
  <c r="J36" i="11"/>
  <c r="I36" i="11"/>
  <c r="H36" i="11"/>
  <c r="G36" i="11"/>
  <c r="W35" i="11"/>
  <c r="V35" i="11"/>
  <c r="S35" i="11"/>
  <c r="R35" i="11"/>
  <c r="Q35" i="11"/>
  <c r="P35" i="11"/>
  <c r="M35" i="11"/>
  <c r="L35" i="11"/>
  <c r="K35" i="11"/>
  <c r="J35" i="11"/>
  <c r="I35" i="11"/>
  <c r="H35" i="11"/>
  <c r="G35" i="11"/>
  <c r="F35" i="11"/>
  <c r="K38" i="10"/>
  <c r="G38" i="10"/>
  <c r="W37" i="10"/>
  <c r="V37" i="10"/>
  <c r="R37" i="10"/>
  <c r="Q37" i="10"/>
  <c r="P37" i="10"/>
  <c r="L37" i="10"/>
  <c r="K37" i="10"/>
  <c r="J37" i="10"/>
  <c r="I37" i="10"/>
  <c r="G37" i="10"/>
  <c r="W36" i="10"/>
  <c r="V36" i="10"/>
  <c r="S36" i="10"/>
  <c r="R36" i="10"/>
  <c r="Q36" i="10"/>
  <c r="P36" i="10"/>
  <c r="M36" i="10"/>
  <c r="L36" i="10"/>
  <c r="K36" i="10"/>
  <c r="J36" i="10"/>
  <c r="I36" i="10"/>
  <c r="H36" i="10"/>
  <c r="G36" i="10"/>
  <c r="W35" i="10"/>
  <c r="V35" i="10"/>
  <c r="S35" i="10"/>
  <c r="R35" i="10"/>
  <c r="Q35" i="10"/>
  <c r="P35" i="10"/>
  <c r="M35" i="10"/>
  <c r="L35" i="10"/>
  <c r="K35" i="10"/>
  <c r="J35" i="10"/>
  <c r="I35" i="10"/>
  <c r="H35" i="10"/>
  <c r="G35" i="10"/>
  <c r="F35" i="10"/>
  <c r="AF28" i="9"/>
  <c r="AE28" i="9"/>
  <c r="K28" i="9"/>
  <c r="G28" i="9"/>
  <c r="AF27" i="9"/>
  <c r="AE27" i="9"/>
  <c r="AB27" i="9"/>
  <c r="W27" i="9"/>
  <c r="V27" i="9"/>
  <c r="R27" i="9"/>
  <c r="Q27" i="9"/>
  <c r="P27" i="9"/>
  <c r="L27" i="9"/>
  <c r="K27" i="9"/>
  <c r="J27" i="9"/>
  <c r="I27" i="9"/>
  <c r="G27" i="9"/>
  <c r="AH26" i="9"/>
  <c r="AG26" i="9"/>
  <c r="AF26" i="9"/>
  <c r="AE26" i="9"/>
  <c r="AB26" i="9"/>
  <c r="AA26" i="9"/>
  <c r="W26" i="9"/>
  <c r="V26" i="9"/>
  <c r="S26" i="9"/>
  <c r="R26" i="9"/>
  <c r="Q26" i="9"/>
  <c r="P26" i="9"/>
  <c r="M26" i="9"/>
  <c r="L26" i="9"/>
  <c r="K26" i="9"/>
  <c r="J26" i="9"/>
  <c r="I26" i="9"/>
  <c r="H26" i="9"/>
  <c r="G26" i="9"/>
  <c r="AK25" i="9"/>
  <c r="AJ25" i="9"/>
  <c r="AI25" i="9"/>
  <c r="AH25" i="9"/>
  <c r="AG25" i="9"/>
  <c r="AF25" i="9"/>
  <c r="AE25" i="9"/>
  <c r="AC25" i="9"/>
  <c r="AB25" i="9"/>
  <c r="AA25" i="9"/>
  <c r="X25" i="9"/>
  <c r="W25" i="9"/>
  <c r="V25" i="9"/>
  <c r="S25" i="9"/>
  <c r="R25" i="9"/>
  <c r="Q25" i="9"/>
  <c r="P25" i="9"/>
  <c r="M25" i="9"/>
  <c r="L25" i="9"/>
  <c r="K25" i="9"/>
  <c r="J25" i="9"/>
  <c r="I25" i="9"/>
  <c r="H25" i="9"/>
  <c r="G25" i="9"/>
  <c r="F25" i="9"/>
  <c r="R38" i="8"/>
  <c r="K38" i="8"/>
  <c r="G38" i="8"/>
  <c r="W37" i="8"/>
  <c r="V37" i="8"/>
  <c r="R37" i="8"/>
  <c r="Q37" i="8"/>
  <c r="P37" i="8"/>
  <c r="L37" i="8"/>
  <c r="K37" i="8"/>
  <c r="J37" i="8"/>
  <c r="I37" i="8"/>
  <c r="G37" i="8"/>
  <c r="W36" i="8"/>
  <c r="V36" i="8"/>
  <c r="S36" i="8"/>
  <c r="R36" i="8"/>
  <c r="Q36" i="8"/>
  <c r="P36" i="8"/>
  <c r="M36" i="8"/>
  <c r="L36" i="8"/>
  <c r="K36" i="8"/>
  <c r="J36" i="8"/>
  <c r="I36" i="8"/>
  <c r="H36" i="8"/>
  <c r="G36" i="8"/>
  <c r="W35" i="8"/>
  <c r="V35" i="8"/>
  <c r="S35" i="8"/>
  <c r="R35" i="8"/>
  <c r="Q35" i="8"/>
  <c r="P35" i="8"/>
  <c r="M35" i="8"/>
  <c r="L35" i="8"/>
  <c r="K35" i="8"/>
  <c r="J35" i="8"/>
  <c r="I35" i="8"/>
  <c r="H35" i="8"/>
  <c r="G35" i="8"/>
  <c r="F35" i="8"/>
  <c r="AF38" i="7"/>
  <c r="AE38" i="7"/>
  <c r="K38" i="7"/>
  <c r="G38" i="7"/>
  <c r="AF37" i="7"/>
  <c r="AE37" i="7"/>
  <c r="AB37" i="7"/>
  <c r="W37" i="7"/>
  <c r="V37" i="7"/>
  <c r="R37" i="7"/>
  <c r="Q37" i="7"/>
  <c r="P37" i="7"/>
  <c r="L37" i="7"/>
  <c r="K37" i="7"/>
  <c r="J37" i="7"/>
  <c r="I37" i="7"/>
  <c r="G37" i="7"/>
  <c r="AH36" i="7"/>
  <c r="AG36" i="7"/>
  <c r="AF36" i="7"/>
  <c r="AE36" i="7"/>
  <c r="AB36" i="7"/>
  <c r="AA36" i="7"/>
  <c r="W36" i="7"/>
  <c r="V36" i="7"/>
  <c r="S36" i="7"/>
  <c r="R36" i="7"/>
  <c r="Q36" i="7"/>
  <c r="P36" i="7"/>
  <c r="M36" i="7"/>
  <c r="L36" i="7"/>
  <c r="K36" i="7"/>
  <c r="J36" i="7"/>
  <c r="I36" i="7"/>
  <c r="H36" i="7"/>
  <c r="G36" i="7"/>
  <c r="AK35" i="7"/>
  <c r="AJ35" i="7"/>
  <c r="AI35" i="7"/>
  <c r="AH35" i="7"/>
  <c r="AG35" i="7"/>
  <c r="AF35" i="7"/>
  <c r="AE35" i="7"/>
  <c r="AB35" i="7"/>
  <c r="AA35" i="7"/>
  <c r="X35" i="7"/>
  <c r="W35" i="7"/>
  <c r="V35" i="7"/>
  <c r="S35" i="7"/>
  <c r="R35" i="7"/>
  <c r="Q35" i="7"/>
  <c r="P35" i="7"/>
  <c r="M35" i="7"/>
  <c r="L35" i="7"/>
  <c r="K35" i="7"/>
  <c r="J35" i="7"/>
  <c r="I35" i="7"/>
  <c r="H35" i="7"/>
  <c r="G35" i="7"/>
  <c r="F35" i="7"/>
  <c r="AF28" i="6"/>
  <c r="AE28" i="6"/>
  <c r="K28" i="6"/>
  <c r="G28" i="6"/>
  <c r="AF27" i="6"/>
  <c r="AE27" i="6"/>
  <c r="AB27" i="6"/>
  <c r="W27" i="6"/>
  <c r="V27" i="6"/>
  <c r="R27" i="6"/>
  <c r="Q27" i="6"/>
  <c r="P27" i="6"/>
  <c r="L27" i="6"/>
  <c r="K27" i="6"/>
  <c r="J27" i="6"/>
  <c r="I27" i="6"/>
  <c r="G27" i="6"/>
  <c r="AH26" i="6"/>
  <c r="AG26" i="6"/>
  <c r="AF26" i="6"/>
  <c r="AE26" i="6"/>
  <c r="AB26" i="6"/>
  <c r="AA26" i="6"/>
  <c r="W26" i="6"/>
  <c r="V26" i="6"/>
  <c r="S26" i="6"/>
  <c r="R26" i="6"/>
  <c r="Q26" i="6"/>
  <c r="P26" i="6"/>
  <c r="M26" i="6"/>
  <c r="L26" i="6"/>
  <c r="K26" i="6"/>
  <c r="J26" i="6"/>
  <c r="I26" i="6"/>
  <c r="H26" i="6"/>
  <c r="G26" i="6"/>
  <c r="AK25" i="6"/>
  <c r="AJ25" i="6"/>
  <c r="AH25" i="6"/>
  <c r="AG25" i="6"/>
  <c r="AF25" i="6"/>
  <c r="AE25" i="6"/>
  <c r="AC25" i="6"/>
  <c r="AB25" i="6"/>
  <c r="AA25" i="6"/>
  <c r="X25" i="6"/>
  <c r="W25" i="6"/>
  <c r="V25" i="6"/>
  <c r="S25" i="6"/>
  <c r="R25" i="6"/>
  <c r="Q25" i="6"/>
  <c r="P25" i="6"/>
  <c r="M25" i="6"/>
  <c r="L25" i="6"/>
  <c r="K25" i="6"/>
  <c r="J25" i="6"/>
  <c r="I25" i="6"/>
  <c r="H25" i="6"/>
  <c r="G25" i="6"/>
  <c r="F25" i="6"/>
  <c r="AF28" i="5"/>
  <c r="AE28" i="5"/>
  <c r="R28" i="5"/>
  <c r="K28" i="5"/>
  <c r="G28" i="5"/>
  <c r="AF27" i="5"/>
  <c r="AE27" i="5"/>
  <c r="AB27" i="5"/>
  <c r="W27" i="5"/>
  <c r="V27" i="5"/>
  <c r="R27" i="5"/>
  <c r="Q27" i="5"/>
  <c r="P27" i="5"/>
  <c r="L27" i="5"/>
  <c r="K27" i="5"/>
  <c r="J27" i="5"/>
  <c r="I27" i="5"/>
  <c r="G27" i="5"/>
  <c r="AH26" i="5"/>
  <c r="AG26" i="5"/>
  <c r="AF26" i="5"/>
  <c r="AE26" i="5"/>
  <c r="AB26" i="5"/>
  <c r="AA26" i="5"/>
  <c r="W26" i="5"/>
  <c r="V26" i="5"/>
  <c r="S26" i="5"/>
  <c r="R26" i="5"/>
  <c r="Q26" i="5"/>
  <c r="P26" i="5"/>
  <c r="M26" i="5"/>
  <c r="L26" i="5"/>
  <c r="K26" i="5"/>
  <c r="J26" i="5"/>
  <c r="I26" i="5"/>
  <c r="H26" i="5"/>
  <c r="G26" i="5"/>
  <c r="AK25" i="5"/>
  <c r="AJ25" i="5"/>
  <c r="AI25" i="5"/>
  <c r="AH25" i="5"/>
  <c r="E5" i="32" s="1"/>
  <c r="E32" i="32" s="1"/>
  <c r="AG25" i="5"/>
  <c r="AF25" i="5"/>
  <c r="AE25" i="5"/>
  <c r="AC25" i="5"/>
  <c r="AB25" i="5"/>
  <c r="AA25" i="5"/>
  <c r="X25" i="5"/>
  <c r="W25" i="5"/>
  <c r="V25" i="5"/>
  <c r="S25" i="5"/>
  <c r="R25" i="5"/>
  <c r="Q25" i="5"/>
  <c r="P25" i="5"/>
  <c r="M25" i="5"/>
  <c r="L25" i="5"/>
  <c r="K25" i="5"/>
  <c r="J25" i="5"/>
  <c r="I25" i="5"/>
  <c r="H25" i="5"/>
  <c r="G25" i="5"/>
  <c r="F25" i="5"/>
  <c r="S36" i="3"/>
  <c r="S35" i="3"/>
  <c r="AA36" i="3"/>
  <c r="AA35" i="3"/>
  <c r="X35" i="3"/>
  <c r="AH36" i="3"/>
  <c r="AH35" i="3"/>
  <c r="AG36" i="3"/>
  <c r="AG35" i="3"/>
  <c r="AJ35" i="3"/>
  <c r="AK35" i="3"/>
  <c r="AI35" i="3"/>
  <c r="AF35" i="3"/>
  <c r="AF36" i="3"/>
  <c r="AF37" i="3"/>
  <c r="AF38" i="3"/>
  <c r="AE38" i="3"/>
  <c r="AE37" i="3"/>
  <c r="AE36" i="3"/>
  <c r="AE35" i="3"/>
  <c r="AB37" i="3"/>
  <c r="W37" i="3"/>
  <c r="AB36" i="3"/>
  <c r="AB35" i="3"/>
  <c r="W36" i="3"/>
  <c r="W35" i="3"/>
  <c r="V37" i="3"/>
  <c r="V36" i="3"/>
  <c r="V35" i="3"/>
  <c r="Q37" i="3"/>
  <c r="Q36" i="3"/>
  <c r="Q35" i="3"/>
  <c r="P37" i="3"/>
  <c r="P36" i="3"/>
  <c r="P35" i="3"/>
  <c r="M36" i="3"/>
  <c r="M35" i="3"/>
  <c r="L37" i="3"/>
  <c r="L36" i="3"/>
  <c r="L35" i="3"/>
  <c r="G38" i="3"/>
  <c r="K35" i="3"/>
  <c r="J37" i="3"/>
  <c r="J36" i="3"/>
  <c r="J35" i="3"/>
  <c r="I37" i="3"/>
  <c r="I36" i="3"/>
  <c r="I35" i="3"/>
  <c r="F35" i="3"/>
  <c r="H36" i="3"/>
  <c r="H35" i="3"/>
  <c r="G35" i="3"/>
  <c r="G37" i="3"/>
  <c r="G36" i="3"/>
  <c r="AC35" i="3"/>
  <c r="Y38" i="3" l="1"/>
</calcChain>
</file>

<file path=xl/sharedStrings.xml><?xml version="1.0" encoding="utf-8"?>
<sst xmlns="http://schemas.openxmlformats.org/spreadsheetml/2006/main" count="24500" uniqueCount="2766">
  <si>
    <t>号棟</t>
    <rPh sb="0" eb="2">
      <t>ゴウトウ</t>
    </rPh>
    <phoneticPr fontId="1"/>
  </si>
  <si>
    <t>号室</t>
    <rPh sb="0" eb="2">
      <t>ゴウシツ</t>
    </rPh>
    <phoneticPr fontId="1"/>
  </si>
  <si>
    <t>タイプ</t>
    <phoneticPr fontId="1"/>
  </si>
  <si>
    <t>氏　　名</t>
    <rPh sb="0" eb="1">
      <t>シ</t>
    </rPh>
    <rPh sb="3" eb="4">
      <t>メイ</t>
    </rPh>
    <phoneticPr fontId="1"/>
  </si>
  <si>
    <t>連 絡 先</t>
    <rPh sb="0" eb="1">
      <t>レン</t>
    </rPh>
    <rPh sb="2" eb="3">
      <t>ラク</t>
    </rPh>
    <rPh sb="4" eb="5">
      <t>サキ</t>
    </rPh>
    <phoneticPr fontId="1"/>
  </si>
  <si>
    <t>≪ 玄関・廊下 ≫</t>
    <rPh sb="2" eb="4">
      <t>ゲンカン</t>
    </rPh>
    <rPh sb="5" eb="7">
      <t>ロウカ</t>
    </rPh>
    <phoneticPr fontId="1"/>
  </si>
  <si>
    <t>≪ トイレ ≫</t>
    <phoneticPr fontId="1"/>
  </si>
  <si>
    <t>≪台所≫</t>
    <rPh sb="1" eb="3">
      <t>ダイドコロ</t>
    </rPh>
    <phoneticPr fontId="1"/>
  </si>
  <si>
    <t>備考</t>
    <rPh sb="0" eb="2">
      <t>ビコウ</t>
    </rPh>
    <phoneticPr fontId="1"/>
  </si>
  <si>
    <t>洗面サイズ</t>
    <rPh sb="0" eb="2">
      <t>センメン</t>
    </rPh>
    <phoneticPr fontId="1"/>
  </si>
  <si>
    <t>洗濯パンサイズ</t>
    <rPh sb="0" eb="2">
      <t>センタク</t>
    </rPh>
    <phoneticPr fontId="1"/>
  </si>
  <si>
    <t>食洗器</t>
    <rPh sb="0" eb="3">
      <t>ショクセンキ</t>
    </rPh>
    <phoneticPr fontId="1"/>
  </si>
  <si>
    <t>【 合　計 】</t>
    <rPh sb="2" eb="3">
      <t>ゴウ</t>
    </rPh>
    <rPh sb="4" eb="5">
      <t>ケイ</t>
    </rPh>
    <phoneticPr fontId="1"/>
  </si>
  <si>
    <t>区分</t>
    <rPh sb="0" eb="2">
      <t>クブン</t>
    </rPh>
    <phoneticPr fontId="1"/>
  </si>
  <si>
    <t>吊戸</t>
    <rPh sb="0" eb="1">
      <t>ツリ</t>
    </rPh>
    <rPh sb="1" eb="2">
      <t>ド</t>
    </rPh>
    <phoneticPr fontId="1"/>
  </si>
  <si>
    <t>床</t>
    <rPh sb="0" eb="1">
      <t>ユカ</t>
    </rPh>
    <phoneticPr fontId="1"/>
  </si>
  <si>
    <t>壁</t>
    <rPh sb="0" eb="1">
      <t>カベ</t>
    </rPh>
    <phoneticPr fontId="1"/>
  </si>
  <si>
    <t>吊戸</t>
    <rPh sb="0" eb="2">
      <t>ツリド</t>
    </rPh>
    <phoneticPr fontId="1"/>
  </si>
  <si>
    <t>様</t>
    <rPh sb="0" eb="1">
      <t>サマ</t>
    </rPh>
    <phoneticPr fontId="1"/>
  </si>
  <si>
    <t>既存</t>
    <rPh sb="0" eb="2">
      <t>キゾン</t>
    </rPh>
    <phoneticPr fontId="1"/>
  </si>
  <si>
    <t>暖房便座</t>
    <rPh sb="0" eb="4">
      <t>ダンボウベンザ</t>
    </rPh>
    <phoneticPr fontId="1"/>
  </si>
  <si>
    <t>不要</t>
    <rPh sb="0" eb="2">
      <t>フヨウ</t>
    </rPh>
    <phoneticPr fontId="1"/>
  </si>
  <si>
    <t>賃貸</t>
    <rPh sb="0" eb="2">
      <t>チンタイ</t>
    </rPh>
    <phoneticPr fontId="1"/>
  </si>
  <si>
    <t>有</t>
    <rPh sb="0" eb="1">
      <t>アリ</t>
    </rPh>
    <phoneticPr fontId="1"/>
  </si>
  <si>
    <t>普通便座</t>
    <rPh sb="0" eb="4">
      <t>フツウベンザ</t>
    </rPh>
    <phoneticPr fontId="1"/>
  </si>
  <si>
    <t>塩ビタイル</t>
    <rPh sb="0" eb="1">
      <t>エン</t>
    </rPh>
    <phoneticPr fontId="1"/>
  </si>
  <si>
    <t>レストパル</t>
    <phoneticPr fontId="1"/>
  </si>
  <si>
    <t>物入</t>
    <rPh sb="0" eb="2">
      <t>モノイレ</t>
    </rPh>
    <phoneticPr fontId="1"/>
  </si>
  <si>
    <t>便器</t>
    <rPh sb="0" eb="2">
      <t>ベンキ</t>
    </rPh>
    <phoneticPr fontId="1"/>
  </si>
  <si>
    <t>≪ 洗面所 ≫</t>
    <rPh sb="2" eb="5">
      <t>センメンジョ</t>
    </rPh>
    <phoneticPr fontId="1"/>
  </si>
  <si>
    <t>更新済み</t>
    <rPh sb="0" eb="3">
      <t>コウシンズ</t>
    </rPh>
    <phoneticPr fontId="1"/>
  </si>
  <si>
    <t>フローリング</t>
    <phoneticPr fontId="1"/>
  </si>
  <si>
    <t>クロス</t>
    <phoneticPr fontId="1"/>
  </si>
  <si>
    <t>CF</t>
    <phoneticPr fontId="1"/>
  </si>
  <si>
    <t>塗装</t>
    <rPh sb="0" eb="2">
      <t>トソウ</t>
    </rPh>
    <phoneticPr fontId="1"/>
  </si>
  <si>
    <t>WL</t>
    <phoneticPr fontId="1"/>
  </si>
  <si>
    <t>タンクレス</t>
    <phoneticPr fontId="1"/>
  </si>
  <si>
    <t>一体型</t>
    <rPh sb="0" eb="3">
      <t>イッタイガタ</t>
    </rPh>
    <phoneticPr fontId="1"/>
  </si>
  <si>
    <t>外部居住</t>
    <rPh sb="0" eb="2">
      <t>ガイブ</t>
    </rPh>
    <rPh sb="2" eb="4">
      <t>キョジュウ</t>
    </rPh>
    <phoneticPr fontId="1"/>
  </si>
  <si>
    <t>可</t>
    <rPh sb="0" eb="1">
      <t>カ</t>
    </rPh>
    <phoneticPr fontId="1"/>
  </si>
  <si>
    <t>空家</t>
    <rPh sb="0" eb="2">
      <t>アキヤ</t>
    </rPh>
    <phoneticPr fontId="1"/>
  </si>
  <si>
    <t>システム</t>
    <phoneticPr fontId="1"/>
  </si>
  <si>
    <t>〇</t>
    <phoneticPr fontId="1"/>
  </si>
  <si>
    <t>所有</t>
    <rPh sb="0" eb="2">
      <t>ショユウ</t>
    </rPh>
    <phoneticPr fontId="1"/>
  </si>
  <si>
    <t>珪藻土</t>
    <rPh sb="0" eb="3">
      <t>ケイソウド</t>
    </rPh>
    <phoneticPr fontId="1"/>
  </si>
  <si>
    <t>無</t>
    <rPh sb="0" eb="1">
      <t>ナ</t>
    </rPh>
    <phoneticPr fontId="1"/>
  </si>
  <si>
    <t>その他</t>
    <rPh sb="2" eb="3">
      <t>タ</t>
    </rPh>
    <phoneticPr fontId="1"/>
  </si>
  <si>
    <t>ベニヤ</t>
    <phoneticPr fontId="1"/>
  </si>
  <si>
    <t>ー</t>
    <phoneticPr fontId="1"/>
  </si>
  <si>
    <t>希望</t>
    <rPh sb="0" eb="2">
      <t>キボウ</t>
    </rPh>
    <phoneticPr fontId="1"/>
  </si>
  <si>
    <t>ポリ板</t>
    <rPh sb="2" eb="3">
      <t>バン</t>
    </rPh>
    <phoneticPr fontId="1"/>
  </si>
  <si>
    <t>ホーロー</t>
    <phoneticPr fontId="1"/>
  </si>
  <si>
    <t>未更新</t>
    <rPh sb="0" eb="3">
      <t>ミコウシン</t>
    </rPh>
    <phoneticPr fontId="1"/>
  </si>
  <si>
    <t>配管</t>
    <rPh sb="0" eb="2">
      <t>ハイカン</t>
    </rPh>
    <phoneticPr fontId="1"/>
  </si>
  <si>
    <t>SUS</t>
    <phoneticPr fontId="1"/>
  </si>
  <si>
    <t>底板</t>
    <rPh sb="0" eb="2">
      <t>ソコイタ</t>
    </rPh>
    <phoneticPr fontId="1"/>
  </si>
  <si>
    <t>背板</t>
    <rPh sb="0" eb="2">
      <t>セイタ</t>
    </rPh>
    <phoneticPr fontId="1"/>
  </si>
  <si>
    <t>ポータブルトイレ
希望</t>
    <rPh sb="9" eb="11">
      <t>キボウ</t>
    </rPh>
    <phoneticPr fontId="1"/>
  </si>
  <si>
    <t>簡易鍵
希望</t>
    <rPh sb="0" eb="3">
      <t>カンイカギ</t>
    </rPh>
    <rPh sb="4" eb="6">
      <t>キボウ</t>
    </rPh>
    <phoneticPr fontId="1"/>
  </si>
  <si>
    <t>OP工事
希望</t>
    <rPh sb="2" eb="4">
      <t>コウジ</t>
    </rPh>
    <rPh sb="5" eb="7">
      <t>キボウ</t>
    </rPh>
    <phoneticPr fontId="1"/>
  </si>
  <si>
    <t>リフォーム済み</t>
    <rPh sb="5" eb="6">
      <t>ズ</t>
    </rPh>
    <phoneticPr fontId="1"/>
  </si>
  <si>
    <t>場所</t>
    <rPh sb="0" eb="2">
      <t>バショ</t>
    </rPh>
    <phoneticPr fontId="1"/>
  </si>
  <si>
    <t>洗面所</t>
    <rPh sb="0" eb="3">
      <t>センメンジョ</t>
    </rPh>
    <phoneticPr fontId="1"/>
  </si>
  <si>
    <t>ベランダ</t>
    <phoneticPr fontId="1"/>
  </si>
  <si>
    <t>脱着</t>
    <rPh sb="0" eb="2">
      <t>ダッチャク</t>
    </rPh>
    <phoneticPr fontId="1"/>
  </si>
  <si>
    <t>不可</t>
    <rPh sb="0" eb="2">
      <t>フカ</t>
    </rPh>
    <phoneticPr fontId="1"/>
  </si>
  <si>
    <t>洗面台脱着</t>
    <rPh sb="0" eb="3">
      <t>センメンダイ</t>
    </rPh>
    <rPh sb="3" eb="5">
      <t>ダッチャク</t>
    </rPh>
    <phoneticPr fontId="1"/>
  </si>
  <si>
    <t xml:space="preserve">事前調査集計表 </t>
    <rPh sb="0" eb="2">
      <t>ジゼン</t>
    </rPh>
    <rPh sb="2" eb="4">
      <t>チョウサ</t>
    </rPh>
    <rPh sb="4" eb="7">
      <t>シュウケイヒョウ</t>
    </rPh>
    <phoneticPr fontId="1"/>
  </si>
  <si>
    <t>器具</t>
    <rPh sb="0" eb="2">
      <t>キグ</t>
    </rPh>
    <phoneticPr fontId="1"/>
  </si>
  <si>
    <t>メーカー</t>
    <phoneticPr fontId="1"/>
  </si>
  <si>
    <t>品番</t>
    <rPh sb="0" eb="2">
      <t>ヒンバン</t>
    </rPh>
    <phoneticPr fontId="1"/>
  </si>
  <si>
    <t>TOTO</t>
    <phoneticPr fontId="1"/>
  </si>
  <si>
    <t>LIXIL</t>
    <phoneticPr fontId="1"/>
  </si>
  <si>
    <t>メーカー</t>
    <phoneticPr fontId="1"/>
  </si>
  <si>
    <t>品番</t>
    <rPh sb="0" eb="2">
      <t>ヒンバン</t>
    </rPh>
    <phoneticPr fontId="1"/>
  </si>
  <si>
    <t>器具</t>
    <rPh sb="0" eb="2">
      <t>キグ</t>
    </rPh>
    <phoneticPr fontId="1"/>
  </si>
  <si>
    <t>≪浴室≫</t>
    <rPh sb="1" eb="3">
      <t>ヨクシツ</t>
    </rPh>
    <phoneticPr fontId="1"/>
  </si>
  <si>
    <t>≪給湯器≫</t>
    <rPh sb="1" eb="4">
      <t>キュウトウキ</t>
    </rPh>
    <phoneticPr fontId="1"/>
  </si>
  <si>
    <t>A</t>
    <phoneticPr fontId="1"/>
  </si>
  <si>
    <t>A</t>
    <phoneticPr fontId="1"/>
  </si>
  <si>
    <t>B</t>
    <phoneticPr fontId="1"/>
  </si>
  <si>
    <t>【 合　計 】</t>
    <phoneticPr fontId="1"/>
  </si>
  <si>
    <t>伏見 敏明</t>
    <rPh sb="0" eb="2">
      <t>フシミ</t>
    </rPh>
    <rPh sb="3" eb="5">
      <t>トシアキ</t>
    </rPh>
    <phoneticPr fontId="1"/>
  </si>
  <si>
    <t>070-8905-0596</t>
    <phoneticPr fontId="1"/>
  </si>
  <si>
    <t>クロス</t>
  </si>
  <si>
    <t>ベニヤ</t>
  </si>
  <si>
    <t>CF</t>
  </si>
  <si>
    <t>TOTO</t>
  </si>
  <si>
    <t>システム</t>
  </si>
  <si>
    <t xml:space="preserve">浴室エプロン内部材接続 キッチンひな段 </t>
    <rPh sb="0" eb="2">
      <t>ヨクシツ</t>
    </rPh>
    <rPh sb="6" eb="8">
      <t>ナイブ</t>
    </rPh>
    <rPh sb="8" eb="9">
      <t>ザイ</t>
    </rPh>
    <rPh sb="9" eb="11">
      <t>セツゾク</t>
    </rPh>
    <rPh sb="18" eb="19">
      <t>ダン</t>
    </rPh>
    <phoneticPr fontId="1"/>
  </si>
  <si>
    <t>中山 久史</t>
    <rPh sb="0" eb="2">
      <t>ナカヤマ</t>
    </rPh>
    <rPh sb="3" eb="4">
      <t>ヒサシ</t>
    </rPh>
    <rPh sb="4" eb="5">
      <t>シ</t>
    </rPh>
    <phoneticPr fontId="1"/>
  </si>
  <si>
    <t>048-686-8803
090-3915-0758</t>
    <phoneticPr fontId="1"/>
  </si>
  <si>
    <t>WL</t>
  </si>
  <si>
    <t>ー</t>
  </si>
  <si>
    <t>村社 時良</t>
    <rPh sb="0" eb="1">
      <t>ムラ</t>
    </rPh>
    <rPh sb="1" eb="2">
      <t>シャ</t>
    </rPh>
    <rPh sb="3" eb="4">
      <t>トキ</t>
    </rPh>
    <rPh sb="4" eb="5">
      <t>ヨ</t>
    </rPh>
    <phoneticPr fontId="1"/>
  </si>
  <si>
    <t>090-1837-4632</t>
    <phoneticPr fontId="1"/>
  </si>
  <si>
    <t>ベランダ</t>
  </si>
  <si>
    <t>徳光 英子</t>
    <rPh sb="0" eb="2">
      <t>トクミツ</t>
    </rPh>
    <rPh sb="3" eb="5">
      <t>エイコ</t>
    </rPh>
    <phoneticPr fontId="1"/>
  </si>
  <si>
    <t>048-683-4602</t>
    <phoneticPr fontId="1"/>
  </si>
  <si>
    <t>松下電光</t>
    <rPh sb="0" eb="2">
      <t>マツシタ</t>
    </rPh>
    <rPh sb="2" eb="4">
      <t>デンコウ</t>
    </rPh>
    <phoneticPr fontId="1"/>
  </si>
  <si>
    <t>GD5122　011211AC</t>
    <phoneticPr fontId="1"/>
  </si>
  <si>
    <t>ｴﾌﾟﾛﾝ内壁点検口設置　ｷｯﾁﾝひな段　給湯器5年前ﾘﾌｫｰﾑ済み給湯管更新済み</t>
    <rPh sb="5" eb="6">
      <t>ナイ</t>
    </rPh>
    <rPh sb="6" eb="9">
      <t>テンケンコウ</t>
    </rPh>
    <rPh sb="9" eb="11">
      <t>セッチ</t>
    </rPh>
    <rPh sb="11" eb="12">
      <t>　</t>
    </rPh>
    <rPh sb="19" eb="20">
      <t>　</t>
    </rPh>
    <rPh sb="21" eb="23">
      <t>キュウトウキ</t>
    </rPh>
    <rPh sb="23" eb="26">
      <t>５ネンマエ</t>
    </rPh>
    <rPh sb="26" eb="31">
      <t>リフォーム</t>
    </rPh>
    <rPh sb="31" eb="33">
      <t>ズミ</t>
    </rPh>
    <rPh sb="33" eb="36">
      <t>キュウトウカン</t>
    </rPh>
    <rPh sb="36" eb="38">
      <t>コウシン</t>
    </rPh>
    <rPh sb="38" eb="40">
      <t>ズミ</t>
    </rPh>
    <phoneticPr fontId="1"/>
  </si>
  <si>
    <t>榎本 貢</t>
    <rPh sb="0" eb="2">
      <t>エノモト</t>
    </rPh>
    <rPh sb="3" eb="4">
      <t>コウ</t>
    </rPh>
    <phoneticPr fontId="1"/>
  </si>
  <si>
    <t>090-8888-3876</t>
    <phoneticPr fontId="1"/>
  </si>
  <si>
    <t>INAX</t>
  </si>
  <si>
    <t>INAX</t>
    <phoneticPr fontId="1"/>
  </si>
  <si>
    <t>ー</t>
    <phoneticPr fontId="1"/>
  </si>
  <si>
    <t>1206T</t>
    <phoneticPr fontId="1"/>
  </si>
  <si>
    <t>浴室鏡ﾊﾟﾈﾙ脱着　給湯器→洗面所までﾌﾚｷ管、洗面所で既存管に接続　ｷｯﾁﾝひな段→拡張するかも　給湯管更新済み</t>
    <rPh sb="0" eb="2">
      <t>ヨクシツ</t>
    </rPh>
    <rPh sb="2" eb="3">
      <t>カガミ</t>
    </rPh>
    <rPh sb="7" eb="9">
      <t>ダッチャク</t>
    </rPh>
    <rPh sb="10" eb="13">
      <t>キュウトウキ</t>
    </rPh>
    <rPh sb="14" eb="17">
      <t>センメンジョ</t>
    </rPh>
    <rPh sb="22" eb="23">
      <t>カン</t>
    </rPh>
    <rPh sb="24" eb="27">
      <t>センメンジョ</t>
    </rPh>
    <rPh sb="28" eb="30">
      <t>キソン</t>
    </rPh>
    <rPh sb="30" eb="31">
      <t>カン</t>
    </rPh>
    <rPh sb="32" eb="34">
      <t>セツゾク</t>
    </rPh>
    <rPh sb="41" eb="42">
      <t>ダン</t>
    </rPh>
    <rPh sb="43" eb="45">
      <t>カクチョウ</t>
    </rPh>
    <rPh sb="50" eb="53">
      <t>キュウトウカン</t>
    </rPh>
    <rPh sb="53" eb="55">
      <t>コウシン</t>
    </rPh>
    <rPh sb="55" eb="56">
      <t>ズ</t>
    </rPh>
    <phoneticPr fontId="1"/>
  </si>
  <si>
    <t>隠蔽配管検討 洗面台交換希望 浴室壁ﾊﾟﾈﾙ脱着</t>
    <rPh sb="0" eb="4">
      <t>インペイハイカン</t>
    </rPh>
    <rPh sb="4" eb="6">
      <t>ケントウ</t>
    </rPh>
    <rPh sb="7" eb="12">
      <t>センメンダイコウカン</t>
    </rPh>
    <rPh sb="12" eb="14">
      <t>キボウ</t>
    </rPh>
    <rPh sb="15" eb="17">
      <t>ヨクシツ</t>
    </rPh>
    <rPh sb="17" eb="18">
      <t>カベ</t>
    </rPh>
    <rPh sb="22" eb="24">
      <t>ダッチャク</t>
    </rPh>
    <phoneticPr fontId="1"/>
  </si>
  <si>
    <t>浴室エプロン内部材接続 キッチンひな段 洗濯パンモールスペースなし 玄関既存収納無し床CF</t>
    <rPh sb="0" eb="2">
      <t>ヨクシツ</t>
    </rPh>
    <rPh sb="6" eb="8">
      <t>ナイブ</t>
    </rPh>
    <rPh sb="8" eb="9">
      <t>ザイ</t>
    </rPh>
    <rPh sb="9" eb="11">
      <t>セツゾク</t>
    </rPh>
    <rPh sb="18" eb="19">
      <t>ダン</t>
    </rPh>
    <rPh sb="20" eb="22">
      <t>センタク</t>
    </rPh>
    <rPh sb="34" eb="36">
      <t>ゲンカン</t>
    </rPh>
    <rPh sb="36" eb="38">
      <t>キゾン</t>
    </rPh>
    <rPh sb="38" eb="40">
      <t>シュウノウ</t>
    </rPh>
    <rPh sb="40" eb="41">
      <t>ナ</t>
    </rPh>
    <rPh sb="42" eb="43">
      <t>ユカ</t>
    </rPh>
    <phoneticPr fontId="1"/>
  </si>
  <si>
    <t>佐藤 昭信</t>
    <rPh sb="0" eb="2">
      <t>サトウ</t>
    </rPh>
    <rPh sb="3" eb="5">
      <t>アキノブ</t>
    </rPh>
    <phoneticPr fontId="1"/>
  </si>
  <si>
    <t>048-684-1887</t>
    <phoneticPr fontId="1"/>
  </si>
  <si>
    <t>浴室鏡裏開口　水栓柱有、周りに障害物無し　OPｷｯﾁﾝ交換希望　</t>
    <rPh sb="0" eb="2">
      <t>ヨクシツ</t>
    </rPh>
    <rPh sb="2" eb="3">
      <t>カガミ</t>
    </rPh>
    <rPh sb="3" eb="4">
      <t>ウラ</t>
    </rPh>
    <rPh sb="4" eb="6">
      <t>カイコウ</t>
    </rPh>
    <rPh sb="7" eb="10">
      <t>スイセンチュウ</t>
    </rPh>
    <rPh sb="10" eb="11">
      <t>アリ</t>
    </rPh>
    <rPh sb="12" eb="13">
      <t>マワ</t>
    </rPh>
    <rPh sb="15" eb="18">
      <t>ショウガイブツ</t>
    </rPh>
    <rPh sb="18" eb="19">
      <t>ナ</t>
    </rPh>
    <rPh sb="27" eb="29">
      <t>コウカン</t>
    </rPh>
    <rPh sb="29" eb="31">
      <t>キボウ</t>
    </rPh>
    <phoneticPr fontId="1"/>
  </si>
  <si>
    <t>斉藤 真理</t>
    <rPh sb="0" eb="2">
      <t>サイトウ</t>
    </rPh>
    <rPh sb="3" eb="5">
      <t>マリ</t>
    </rPh>
    <phoneticPr fontId="1"/>
  </si>
  <si>
    <t>090-2749-7186</t>
    <phoneticPr fontId="1"/>
  </si>
  <si>
    <t>SUS</t>
  </si>
  <si>
    <t>莅戸 重憲</t>
    <rPh sb="0" eb="2">
      <t>ノゾキド</t>
    </rPh>
    <rPh sb="3" eb="5">
      <t>シゲノリ</t>
    </rPh>
    <phoneticPr fontId="1"/>
  </si>
  <si>
    <t>090-1043-4417</t>
    <phoneticPr fontId="1"/>
  </si>
  <si>
    <t>浴室鏡裏開口　ｷｯﾁﾝ底板SUS→ポリ復旧OK　OP台所ﾄﾗｯﾌﾟ交換希望</t>
    <rPh sb="0" eb="2">
      <t>ヨクシツ</t>
    </rPh>
    <rPh sb="2" eb="4">
      <t>カガミウラ</t>
    </rPh>
    <rPh sb="4" eb="6">
      <t>カイコウ</t>
    </rPh>
    <rPh sb="11" eb="13">
      <t>ソコイタ</t>
    </rPh>
    <rPh sb="19" eb="21">
      <t>フッキュウ</t>
    </rPh>
    <rPh sb="26" eb="28">
      <t>ダイドコロ</t>
    </rPh>
    <rPh sb="33" eb="37">
      <t>コウカンキボウ</t>
    </rPh>
    <phoneticPr fontId="1"/>
  </si>
  <si>
    <t>ｴﾌﾟﾛﾝ内壁点検口設置　ｷｯﾁﾝ底板SUS→ポリ復旧OK　水栓柱分岐している蛇口は取り外し、返却</t>
    <rPh sb="5" eb="6">
      <t>ナイ</t>
    </rPh>
    <rPh sb="6" eb="9">
      <t>テンケンコウ</t>
    </rPh>
    <rPh sb="9" eb="11">
      <t>セッチ</t>
    </rPh>
    <rPh sb="11" eb="12">
      <t>　</t>
    </rPh>
    <rPh sb="17" eb="19">
      <t>ソコイタ</t>
    </rPh>
    <rPh sb="25" eb="27">
      <t>フッキュウ</t>
    </rPh>
    <rPh sb="30" eb="33">
      <t>スイセンチュウ</t>
    </rPh>
    <rPh sb="33" eb="35">
      <t>ブンキ</t>
    </rPh>
    <rPh sb="39" eb="41">
      <t>ジャグチ</t>
    </rPh>
    <rPh sb="42" eb="43">
      <t>ト</t>
    </rPh>
    <rPh sb="44" eb="45">
      <t>ハズ</t>
    </rPh>
    <rPh sb="47" eb="49">
      <t>ヘンキャク</t>
    </rPh>
    <phoneticPr fontId="1"/>
  </si>
  <si>
    <t>中山 元博</t>
    <rPh sb="0" eb="2">
      <t>ナカヤマ</t>
    </rPh>
    <rPh sb="3" eb="5">
      <t>モトヒロ</t>
    </rPh>
    <phoneticPr fontId="1"/>
  </si>
  <si>
    <t>048-687-8496
090-3120-0317</t>
    <phoneticPr fontId="1"/>
  </si>
  <si>
    <t>745+450ｷｬﾋﾞ</t>
    <phoneticPr fontId="1"/>
  </si>
  <si>
    <t>WRV1117</t>
    <phoneticPr fontId="1"/>
  </si>
  <si>
    <t>浴室ｴﾌﾟﾛﾝ内部材接続　食洗器ありひな段</t>
    <rPh sb="0" eb="2">
      <t>ヨクシツ</t>
    </rPh>
    <rPh sb="7" eb="12">
      <t>ナイブザイセツゾク</t>
    </rPh>
    <rPh sb="13" eb="16">
      <t>ショクセンキ</t>
    </rPh>
    <rPh sb="20" eb="21">
      <t>ダン</t>
    </rPh>
    <phoneticPr fontId="1"/>
  </si>
  <si>
    <t>徳島 和彦</t>
    <rPh sb="0" eb="2">
      <t>トクシマ</t>
    </rPh>
    <rPh sb="3" eb="5">
      <t>カズヒコ</t>
    </rPh>
    <phoneticPr fontId="1"/>
  </si>
  <si>
    <t>090-2644-9635</t>
    <phoneticPr fontId="1"/>
  </si>
  <si>
    <t>ﾎﾃﾙ滞在するかも　浴室ｴﾌﾟﾛﾝ内部材接続</t>
    <rPh sb="3" eb="5">
      <t>タイザイ</t>
    </rPh>
    <rPh sb="10" eb="12">
      <t>ヨクシツ</t>
    </rPh>
    <rPh sb="17" eb="22">
      <t>ナイブザイセツゾク</t>
    </rPh>
    <phoneticPr fontId="1"/>
  </si>
  <si>
    <t>友成 良</t>
    <rPh sb="0" eb="2">
      <t>トモナリ</t>
    </rPh>
    <rPh sb="3" eb="4">
      <t>リョウ</t>
    </rPh>
    <phoneticPr fontId="1"/>
  </si>
  <si>
    <t>048-683-4096</t>
    <phoneticPr fontId="1"/>
  </si>
  <si>
    <t>740+260ｷｬﾋﾞ</t>
    <phoneticPr fontId="1"/>
  </si>
  <si>
    <t>JMG3147-1AL</t>
    <phoneticPr fontId="1"/>
  </si>
  <si>
    <t>浴室ｴﾌﾟﾛﾝ内部材接続　ｷｯﾁﾝひな段背板底板SUS　給湯管更新済み</t>
    <rPh sb="0" eb="2">
      <t>ヨクシツ</t>
    </rPh>
    <rPh sb="7" eb="12">
      <t>ナイブザイセツゾク</t>
    </rPh>
    <rPh sb="19" eb="20">
      <t>ダン</t>
    </rPh>
    <rPh sb="20" eb="24">
      <t>セイタソコイタ</t>
    </rPh>
    <rPh sb="28" eb="31">
      <t>キュウトウカン</t>
    </rPh>
    <rPh sb="31" eb="34">
      <t>コウシンズ</t>
    </rPh>
    <phoneticPr fontId="1"/>
  </si>
  <si>
    <t>武正 聡子</t>
    <rPh sb="0" eb="2">
      <t>タケマサ</t>
    </rPh>
    <rPh sb="3" eb="5">
      <t>サトコ</t>
    </rPh>
    <phoneticPr fontId="1"/>
  </si>
  <si>
    <t>090-9136-2545</t>
    <phoneticPr fontId="1"/>
  </si>
  <si>
    <t>江口 眞理子</t>
    <rPh sb="0" eb="2">
      <t>エグチ</t>
    </rPh>
    <rPh sb="3" eb="6">
      <t>マリコ</t>
    </rPh>
    <phoneticPr fontId="1"/>
  </si>
  <si>
    <t>048-684-3903
090-8173-7587</t>
    <phoneticPr fontId="1"/>
  </si>
  <si>
    <t>浴室ｴﾌﾟﾛﾝ内部材接続　ﾄｲﾚ止水栓ｽﾄﾚｰﾅｰ付き　ひな段既存壁だし　洗面所造作棚移動無しCFつきつけ</t>
    <rPh sb="0" eb="2">
      <t>ヨクシツ</t>
    </rPh>
    <rPh sb="7" eb="12">
      <t>ナイブザイセツゾク</t>
    </rPh>
    <rPh sb="16" eb="19">
      <t>シスイセン</t>
    </rPh>
    <rPh sb="25" eb="26">
      <t>ツ</t>
    </rPh>
    <rPh sb="30" eb="31">
      <t>ダン</t>
    </rPh>
    <rPh sb="31" eb="33">
      <t>キゾン</t>
    </rPh>
    <rPh sb="33" eb="34">
      <t>カベ</t>
    </rPh>
    <rPh sb="37" eb="40">
      <t>センメンジョ</t>
    </rPh>
    <rPh sb="40" eb="43">
      <t>ゾウサクタナ</t>
    </rPh>
    <rPh sb="43" eb="46">
      <t>イドウナ</t>
    </rPh>
    <phoneticPr fontId="1"/>
  </si>
  <si>
    <t>清水 励</t>
    <rPh sb="0" eb="2">
      <t>シミズ</t>
    </rPh>
    <rPh sb="3" eb="4">
      <t>レイ</t>
    </rPh>
    <phoneticPr fontId="1"/>
  </si>
  <si>
    <t>048-684-3804
090-5538-9313</t>
    <phoneticPr fontId="1"/>
  </si>
  <si>
    <t>日立</t>
    <rPh sb="0" eb="2">
      <t>ヒタチ</t>
    </rPh>
    <phoneticPr fontId="1"/>
  </si>
  <si>
    <t>RLD-1117RS-ARFRAWARANMJNN</t>
    <phoneticPr fontId="1"/>
  </si>
  <si>
    <t>浴室鏡裏開口　洗濯モール動線の木切る　ﾄｲﾚ止水栓ｽﾄﾚｰﾅｰ付き</t>
    <rPh sb="0" eb="2">
      <t>ヨクシツ</t>
    </rPh>
    <rPh sb="2" eb="4">
      <t>カガミウラ</t>
    </rPh>
    <rPh sb="4" eb="6">
      <t>カイコウ</t>
    </rPh>
    <rPh sb="7" eb="9">
      <t>センタク</t>
    </rPh>
    <rPh sb="12" eb="14">
      <t>ドウセン</t>
    </rPh>
    <rPh sb="15" eb="16">
      <t>キ</t>
    </rPh>
    <rPh sb="16" eb="17">
      <t>キ</t>
    </rPh>
    <rPh sb="22" eb="25">
      <t>シスイセン</t>
    </rPh>
    <rPh sb="31" eb="32">
      <t>ツ</t>
    </rPh>
    <phoneticPr fontId="1"/>
  </si>
  <si>
    <t>大町 輝男</t>
    <rPh sb="0" eb="2">
      <t>オオマチ</t>
    </rPh>
    <rPh sb="3" eb="5">
      <t>テルオ</t>
    </rPh>
    <phoneticPr fontId="1"/>
  </si>
  <si>
    <t>048-687-2859
090-2667-4611</t>
    <phoneticPr fontId="1"/>
  </si>
  <si>
    <t>ｴﾌﾟﾛﾝ内部点検口設置、浴室入口横点検口開けて作業する　ﾄｲﾚ止水栓ｽﾄﾚｰﾅｰ付き</t>
    <rPh sb="5" eb="7">
      <t>ナイブ</t>
    </rPh>
    <rPh sb="7" eb="12">
      <t>テンケンコウセッチ</t>
    </rPh>
    <rPh sb="13" eb="15">
      <t>ヨクシツ</t>
    </rPh>
    <rPh sb="15" eb="18">
      <t>イリグチヨコ</t>
    </rPh>
    <rPh sb="18" eb="21">
      <t>テンケンコウ</t>
    </rPh>
    <rPh sb="21" eb="22">
      <t>ア</t>
    </rPh>
    <rPh sb="24" eb="26">
      <t>サギョウ</t>
    </rPh>
    <rPh sb="32" eb="35">
      <t>シスイセン</t>
    </rPh>
    <rPh sb="41" eb="42">
      <t>ツ</t>
    </rPh>
    <phoneticPr fontId="1"/>
  </si>
  <si>
    <t>酒井 秀和</t>
    <rPh sb="0" eb="2">
      <t>サカイ</t>
    </rPh>
    <rPh sb="3" eb="4">
      <t>ヒデ</t>
    </rPh>
    <rPh sb="4" eb="5">
      <t>カズ</t>
    </rPh>
    <phoneticPr fontId="1"/>
  </si>
  <si>
    <t>080-3400-0348</t>
    <phoneticPr fontId="1"/>
  </si>
  <si>
    <t>浴室ｴﾌﾟﾛﾝ内部材接続　ﾄｲﾚ止水栓ｽﾄﾚｰﾅｰ付、床嵩上げ　ﾎﾟｰﾀﾌﾞﾙﾄｲﾚ検討中　内装後日</t>
    <rPh sb="0" eb="2">
      <t>ヨクシツ</t>
    </rPh>
    <rPh sb="7" eb="12">
      <t>ナイブザイセツゾク</t>
    </rPh>
    <rPh sb="16" eb="19">
      <t>シスイセン</t>
    </rPh>
    <rPh sb="25" eb="26">
      <t>ツ</t>
    </rPh>
    <rPh sb="27" eb="28">
      <t>ユカ</t>
    </rPh>
    <rPh sb="28" eb="30">
      <t>カサア</t>
    </rPh>
    <rPh sb="42" eb="45">
      <t>ケントウチュウ</t>
    </rPh>
    <rPh sb="46" eb="48">
      <t>ナイソウ</t>
    </rPh>
    <rPh sb="48" eb="50">
      <t>ゴジツ</t>
    </rPh>
    <phoneticPr fontId="1"/>
  </si>
  <si>
    <t>越前 準一郎</t>
    <rPh sb="0" eb="2">
      <t>エチゼン</t>
    </rPh>
    <rPh sb="3" eb="4">
      <t>ジュン</t>
    </rPh>
    <rPh sb="4" eb="6">
      <t>イチロウ</t>
    </rPh>
    <phoneticPr fontId="1"/>
  </si>
  <si>
    <t>048-877-6524
090-1310-5507</t>
    <phoneticPr fontId="1"/>
  </si>
  <si>
    <t>浴室ｴﾌﾟﾛﾝ内部材接続　ﾄｲﾚ止水栓ｽﾄﾚｰﾅｰ付　隠蔽配管希望</t>
    <rPh sb="0" eb="2">
      <t>ヨクシツ</t>
    </rPh>
    <rPh sb="7" eb="12">
      <t>ナイブザイセツゾク</t>
    </rPh>
    <rPh sb="16" eb="19">
      <t>シスイセン</t>
    </rPh>
    <rPh sb="25" eb="26">
      <t>ツ</t>
    </rPh>
    <rPh sb="27" eb="31">
      <t>インペイハイカン</t>
    </rPh>
    <rPh sb="31" eb="33">
      <t>キボウ</t>
    </rPh>
    <phoneticPr fontId="1"/>
  </si>
  <si>
    <t>佐藤 和子</t>
    <rPh sb="0" eb="2">
      <t>サトウ</t>
    </rPh>
    <rPh sb="3" eb="5">
      <t>カズコ</t>
    </rPh>
    <phoneticPr fontId="1"/>
  </si>
  <si>
    <t>048-684-3875</t>
    <phoneticPr fontId="1"/>
  </si>
  <si>
    <t>浴室ｴﾌﾟﾛﾝ内部材接続　ﾄｲﾚ止水栓ｽﾄﾚｰﾅｰ付　過去に水漏れした</t>
    <rPh sb="0" eb="2">
      <t>ヨクシツ</t>
    </rPh>
    <rPh sb="7" eb="12">
      <t>ナイブザイセツゾク</t>
    </rPh>
    <rPh sb="16" eb="19">
      <t>シスイセン</t>
    </rPh>
    <rPh sb="25" eb="26">
      <t>ツ</t>
    </rPh>
    <rPh sb="27" eb="29">
      <t>カコ</t>
    </rPh>
    <rPh sb="30" eb="32">
      <t>ミズモ</t>
    </rPh>
    <phoneticPr fontId="1"/>
  </si>
  <si>
    <t>澤田 晴男</t>
    <rPh sb="0" eb="2">
      <t>サワダ</t>
    </rPh>
    <rPh sb="3" eb="5">
      <t>ハルオ</t>
    </rPh>
    <phoneticPr fontId="1"/>
  </si>
  <si>
    <t>048-684-3835</t>
    <phoneticPr fontId="1"/>
  </si>
  <si>
    <t>妹尾 郁子</t>
    <rPh sb="0" eb="2">
      <t>イモオ</t>
    </rPh>
    <rPh sb="3" eb="5">
      <t>イクコ</t>
    </rPh>
    <phoneticPr fontId="1"/>
  </si>
  <si>
    <t>090-6526-7603</t>
    <phoneticPr fontId="1"/>
  </si>
  <si>
    <t>ﾄｲﾚ止水栓ｽﾄﾚｰﾅｰ付　ｷｯﾁﾝひな段既存壁だし　浴室ｴﾌﾟﾛﾝ内部材接続</t>
    <rPh sb="3" eb="6">
      <t>シスイセン</t>
    </rPh>
    <rPh sb="12" eb="13">
      <t>ツキ</t>
    </rPh>
    <rPh sb="20" eb="21">
      <t>ダン</t>
    </rPh>
    <rPh sb="21" eb="23">
      <t>キゾン</t>
    </rPh>
    <rPh sb="23" eb="24">
      <t>カベ</t>
    </rPh>
    <rPh sb="27" eb="29">
      <t>ヨクシツ</t>
    </rPh>
    <rPh sb="34" eb="39">
      <t>ナイブザイセツゾク</t>
    </rPh>
    <phoneticPr fontId="1"/>
  </si>
  <si>
    <t>榊原 健一</t>
    <rPh sb="0" eb="2">
      <t>サカキバラ</t>
    </rPh>
    <rPh sb="3" eb="5">
      <t>ケンイチ</t>
    </rPh>
    <phoneticPr fontId="1"/>
  </si>
  <si>
    <t>090-8493-3565</t>
    <phoneticPr fontId="1"/>
  </si>
  <si>
    <t>Panasonic</t>
  </si>
  <si>
    <t>EAP773　SG213</t>
    <phoneticPr fontId="1"/>
  </si>
  <si>
    <t>原大介</t>
    <rPh sb="0" eb="1">
      <t>ハラ</t>
    </rPh>
    <rPh sb="1" eb="3">
      <t>ダイスケ</t>
    </rPh>
    <phoneticPr fontId="1"/>
  </si>
  <si>
    <t>090-2327-2483</t>
    <phoneticPr fontId="1"/>
  </si>
  <si>
    <t>玄関収納ﾍﾞﾆﾔﾍﾟﾝｷ塗り　食洗器ありひな段　浴室UB脱着or新規壁開口鏡取付</t>
    <rPh sb="0" eb="2">
      <t>ゲンカン</t>
    </rPh>
    <rPh sb="2" eb="4">
      <t>シュウノウ</t>
    </rPh>
    <rPh sb="15" eb="18">
      <t>ショクセンキ</t>
    </rPh>
    <rPh sb="22" eb="23">
      <t>ダン</t>
    </rPh>
    <rPh sb="24" eb="26">
      <t>ヨクシツ</t>
    </rPh>
    <rPh sb="28" eb="30">
      <t>ダッチャク</t>
    </rPh>
    <rPh sb="32" eb="34">
      <t>シンキ</t>
    </rPh>
    <rPh sb="34" eb="37">
      <t>カベカイコウ</t>
    </rPh>
    <rPh sb="37" eb="38">
      <t>カガミ</t>
    </rPh>
    <rPh sb="38" eb="40">
      <t>トリツケ</t>
    </rPh>
    <phoneticPr fontId="1"/>
  </si>
  <si>
    <t>石川 純子</t>
    <rPh sb="0" eb="2">
      <t>イシカワ</t>
    </rPh>
    <rPh sb="3" eb="5">
      <t>ジュンコ</t>
    </rPh>
    <phoneticPr fontId="1"/>
  </si>
  <si>
    <t>090-8777-1046</t>
    <phoneticPr fontId="1"/>
  </si>
  <si>
    <t>浴室鏡鏡裏開口　ﾄｲﾚ止水栓ｽﾄﾚｰﾅｰ付　洗面所柱型あり　内装材オーナー様に確認</t>
    <rPh sb="0" eb="2">
      <t>ヨクシツ</t>
    </rPh>
    <rPh sb="2" eb="3">
      <t>カガミ</t>
    </rPh>
    <rPh sb="3" eb="4">
      <t>カガミ</t>
    </rPh>
    <rPh sb="4" eb="7">
      <t>ウラカイコウ</t>
    </rPh>
    <rPh sb="11" eb="14">
      <t>シスイセン</t>
    </rPh>
    <rPh sb="20" eb="21">
      <t>ツキ</t>
    </rPh>
    <rPh sb="22" eb="25">
      <t>センメンジョ</t>
    </rPh>
    <rPh sb="25" eb="27">
      <t>ハシラガタ</t>
    </rPh>
    <rPh sb="30" eb="33">
      <t>ナイソウザイ</t>
    </rPh>
    <rPh sb="37" eb="38">
      <t>サマ</t>
    </rPh>
    <rPh sb="39" eb="41">
      <t>カクニン</t>
    </rPh>
    <phoneticPr fontId="1"/>
  </si>
  <si>
    <t>黄 貴珠</t>
    <rPh sb="0" eb="1">
      <t>コウ</t>
    </rPh>
    <rPh sb="2" eb="3">
      <t>タカ</t>
    </rPh>
    <rPh sb="3" eb="4">
      <t>タマ</t>
    </rPh>
    <phoneticPr fontId="1"/>
  </si>
  <si>
    <t>080-1234-8131</t>
    <phoneticPr fontId="1"/>
  </si>
  <si>
    <t>ハウステック</t>
    <phoneticPr fontId="1"/>
  </si>
  <si>
    <t>LLP-1116YBRAE4</t>
    <phoneticPr fontId="1"/>
  </si>
  <si>
    <t>浴室鏡裏開口　ﾄｲﾚ止水栓ｽﾄﾚｰﾅｰ付　ひな段</t>
    <rPh sb="0" eb="2">
      <t>ヨクシツ</t>
    </rPh>
    <rPh sb="2" eb="6">
      <t>カガミウラカイコウ</t>
    </rPh>
    <rPh sb="10" eb="13">
      <t>シスイセン</t>
    </rPh>
    <rPh sb="19" eb="20">
      <t>ツキ</t>
    </rPh>
    <rPh sb="23" eb="24">
      <t>ダン</t>
    </rPh>
    <phoneticPr fontId="1"/>
  </si>
  <si>
    <t>大槻 有輝</t>
    <rPh sb="0" eb="2">
      <t>オオツキ</t>
    </rPh>
    <rPh sb="3" eb="5">
      <t>ユウキ</t>
    </rPh>
    <phoneticPr fontId="1"/>
  </si>
  <si>
    <t>080-8067-9278</t>
    <phoneticPr fontId="1"/>
  </si>
  <si>
    <t>浴室ｴﾌﾟﾛﾝ内部材接続or鏡裏開口　ﾄｲﾚ止水栓ｽﾄﾚｰﾅｰ付、壁給水　隠蔽配管検討中</t>
    <rPh sb="0" eb="2">
      <t>ヨクシツ</t>
    </rPh>
    <rPh sb="7" eb="12">
      <t>ナイブザイセツゾク</t>
    </rPh>
    <rPh sb="14" eb="15">
      <t>カガミ</t>
    </rPh>
    <rPh sb="15" eb="18">
      <t>ウラカイコウ</t>
    </rPh>
    <rPh sb="22" eb="25">
      <t>シスイセン</t>
    </rPh>
    <rPh sb="31" eb="32">
      <t>ツキ</t>
    </rPh>
    <rPh sb="33" eb="34">
      <t>カベ</t>
    </rPh>
    <rPh sb="34" eb="36">
      <t>キュウスイ</t>
    </rPh>
    <rPh sb="37" eb="41">
      <t>インペイハイカン</t>
    </rPh>
    <rPh sb="41" eb="44">
      <t>ケントウチュウ</t>
    </rPh>
    <phoneticPr fontId="1"/>
  </si>
  <si>
    <t xml:space="preserve">伊勢田 </t>
    <rPh sb="0" eb="3">
      <t>イセタ</t>
    </rPh>
    <phoneticPr fontId="1"/>
  </si>
  <si>
    <t>048-686-0433</t>
    <phoneticPr fontId="1"/>
  </si>
  <si>
    <t>小林 竜也</t>
    <rPh sb="0" eb="2">
      <t>コバヤシ</t>
    </rPh>
    <rPh sb="3" eb="5">
      <t>タツヤ</t>
    </rPh>
    <phoneticPr fontId="1"/>
  </si>
  <si>
    <t>080-6810-6305</t>
    <phoneticPr fontId="1"/>
  </si>
  <si>
    <t>ｴﾌﾟﾛﾝ内部材接続　ﾄｲﾚ壁給水、ｽﾄﾚｰﾅｰ付　給湯器下造作あり</t>
    <rPh sb="5" eb="10">
      <t>ナイブザイセツゾク</t>
    </rPh>
    <rPh sb="14" eb="15">
      <t>カベ</t>
    </rPh>
    <rPh sb="15" eb="17">
      <t>キュウスイ</t>
    </rPh>
    <rPh sb="24" eb="25">
      <t>ツキ</t>
    </rPh>
    <rPh sb="26" eb="29">
      <t>キュウトウキ</t>
    </rPh>
    <rPh sb="29" eb="30">
      <t>シタ</t>
    </rPh>
    <rPh sb="30" eb="32">
      <t>ゾウサク</t>
    </rPh>
    <phoneticPr fontId="1"/>
  </si>
  <si>
    <t>藤本 徹</t>
    <rPh sb="0" eb="2">
      <t>フジモト</t>
    </rPh>
    <rPh sb="3" eb="4">
      <t>トオル</t>
    </rPh>
    <phoneticPr fontId="1"/>
  </si>
  <si>
    <t>090-8015-0697</t>
    <phoneticPr fontId="1"/>
  </si>
  <si>
    <t>久保谷 博志</t>
    <rPh sb="0" eb="3">
      <t>クボヤ</t>
    </rPh>
    <rPh sb="4" eb="6">
      <t>ヒロシ</t>
    </rPh>
    <phoneticPr fontId="1"/>
  </si>
  <si>
    <t>090-8308-2030</t>
    <phoneticPr fontId="1"/>
  </si>
  <si>
    <t>ｷｯﾁﾝ底板SUS　洗面所壁点検口設置する</t>
    <rPh sb="4" eb="6">
      <t>ソコイタ</t>
    </rPh>
    <rPh sb="10" eb="13">
      <t>センメンジョ</t>
    </rPh>
    <rPh sb="13" eb="14">
      <t>カベ</t>
    </rPh>
    <rPh sb="14" eb="17">
      <t>テンケンコウ</t>
    </rPh>
    <rPh sb="17" eb="19">
      <t>セッチ</t>
    </rPh>
    <phoneticPr fontId="1"/>
  </si>
  <si>
    <t>久保 千重子</t>
    <rPh sb="0" eb="2">
      <t>クボ</t>
    </rPh>
    <rPh sb="3" eb="6">
      <t>チエコ</t>
    </rPh>
    <phoneticPr fontId="1"/>
  </si>
  <si>
    <t>048-684-6105</t>
    <phoneticPr fontId="1"/>
  </si>
  <si>
    <t>落合 三香子</t>
    <rPh sb="0" eb="2">
      <t>オチアイ</t>
    </rPh>
    <rPh sb="3" eb="6">
      <t>ミカコ</t>
    </rPh>
    <phoneticPr fontId="1"/>
  </si>
  <si>
    <t>080-5525-7347</t>
    <phoneticPr fontId="1"/>
  </si>
  <si>
    <t>渡邊 忠夫</t>
    <rPh sb="0" eb="2">
      <t>ワタナベ</t>
    </rPh>
    <rPh sb="3" eb="5">
      <t>タダオ</t>
    </rPh>
    <phoneticPr fontId="1"/>
  </si>
  <si>
    <t>048-684-5671
090-7821-1839</t>
    <phoneticPr fontId="1"/>
  </si>
  <si>
    <t>米澤 常幸</t>
    <rPh sb="0" eb="2">
      <t>ヨネザワ</t>
    </rPh>
    <rPh sb="3" eb="4">
      <t>ツネ</t>
    </rPh>
    <rPh sb="4" eb="5">
      <t>サチ</t>
    </rPh>
    <phoneticPr fontId="1"/>
  </si>
  <si>
    <t>048-686-6408</t>
    <phoneticPr fontId="1"/>
  </si>
  <si>
    <t>保角 政信</t>
    <rPh sb="0" eb="2">
      <t>ホズミ</t>
    </rPh>
    <rPh sb="3" eb="5">
      <t>マサノブ</t>
    </rPh>
    <phoneticPr fontId="1"/>
  </si>
  <si>
    <t>090-3045-2399</t>
    <phoneticPr fontId="1"/>
  </si>
  <si>
    <t>タカラｽﾀﾝﾀﾞｰﾄﾞ</t>
    <phoneticPr fontId="1"/>
  </si>
  <si>
    <t>給湯器、浴室、洗濯機下の給水給湯更新済み　洗面台交換したいから給排水の位置を変えたい　壁紙支給品かも</t>
    <rPh sb="0" eb="3">
      <t>キュウトウキ</t>
    </rPh>
    <rPh sb="4" eb="6">
      <t>ヨクシツ</t>
    </rPh>
    <rPh sb="7" eb="10">
      <t>センタクキ</t>
    </rPh>
    <rPh sb="10" eb="11">
      <t>シタ</t>
    </rPh>
    <rPh sb="12" eb="16">
      <t>キュウスイキュウトウ</t>
    </rPh>
    <rPh sb="16" eb="19">
      <t>コウシンズ</t>
    </rPh>
    <rPh sb="21" eb="24">
      <t>センメンダイ</t>
    </rPh>
    <rPh sb="24" eb="26">
      <t>コウカン</t>
    </rPh>
    <rPh sb="31" eb="34">
      <t>キュウハイスイ</t>
    </rPh>
    <rPh sb="35" eb="37">
      <t>イチ</t>
    </rPh>
    <rPh sb="38" eb="39">
      <t>カ</t>
    </rPh>
    <rPh sb="43" eb="45">
      <t>カベガミ</t>
    </rPh>
    <rPh sb="45" eb="48">
      <t>シキュウヒン</t>
    </rPh>
    <phoneticPr fontId="1"/>
  </si>
  <si>
    <t>岡田 尚喜</t>
    <rPh sb="0" eb="1">
      <t>オカ</t>
    </rPh>
    <rPh sb="1" eb="2">
      <t>タ</t>
    </rPh>
    <rPh sb="3" eb="5">
      <t>ナオキ</t>
    </rPh>
    <phoneticPr fontId="1"/>
  </si>
  <si>
    <t>048-685-1560</t>
    <phoneticPr fontId="1"/>
  </si>
  <si>
    <t>日立</t>
    <rPh sb="0" eb="2">
      <t>ヒタチ</t>
    </rPh>
    <phoneticPr fontId="1"/>
  </si>
  <si>
    <t>RXV1117</t>
    <phoneticPr fontId="1"/>
  </si>
  <si>
    <t>水栓柱　浴室鏡裏開口　ﾓｰﾙ露出配管に不満あり</t>
    <rPh sb="0" eb="3">
      <t>スイセンチュウ</t>
    </rPh>
    <rPh sb="4" eb="6">
      <t>ヨクシツ</t>
    </rPh>
    <rPh sb="6" eb="10">
      <t>カガミウラカイコウ</t>
    </rPh>
    <rPh sb="14" eb="16">
      <t>ロシュツ</t>
    </rPh>
    <rPh sb="16" eb="18">
      <t>ハイカン</t>
    </rPh>
    <rPh sb="19" eb="21">
      <t>フマン</t>
    </rPh>
    <phoneticPr fontId="1"/>
  </si>
  <si>
    <t>大山 千尋</t>
    <rPh sb="0" eb="2">
      <t>オオヤマ</t>
    </rPh>
    <rPh sb="3" eb="5">
      <t>チヒロ</t>
    </rPh>
    <phoneticPr fontId="1"/>
  </si>
  <si>
    <t>080-7797-6893</t>
    <phoneticPr fontId="1"/>
  </si>
  <si>
    <t>ﾄｲﾚ止水栓ｽﾄﾚｰﾅｰ付　浴室壁ﾊﾟﾈﾙ点検口設置　</t>
    <rPh sb="3" eb="6">
      <t>シスイセン</t>
    </rPh>
    <rPh sb="12" eb="13">
      <t>ツキ</t>
    </rPh>
    <rPh sb="14" eb="16">
      <t>ヨクシツ</t>
    </rPh>
    <rPh sb="16" eb="17">
      <t>カベ</t>
    </rPh>
    <rPh sb="21" eb="24">
      <t>テンケンコウ</t>
    </rPh>
    <rPh sb="24" eb="26">
      <t>セッチ</t>
    </rPh>
    <phoneticPr fontId="1"/>
  </si>
  <si>
    <t>小島 貫介</t>
    <rPh sb="0" eb="2">
      <t>コジマ</t>
    </rPh>
    <rPh sb="3" eb="4">
      <t>ヌ</t>
    </rPh>
    <rPh sb="4" eb="5">
      <t>スケ</t>
    </rPh>
    <phoneticPr fontId="1"/>
  </si>
  <si>
    <t>070-5600-0263</t>
    <phoneticPr fontId="1"/>
  </si>
  <si>
    <t>洗面所</t>
    <rPh sb="0" eb="3">
      <t>センメンジョ</t>
    </rPh>
    <phoneticPr fontId="1"/>
  </si>
  <si>
    <t>ﾄｲﾚ止水栓ｽﾄﾚｰﾅｰ付　浴室給湯管更新済み洗面床下既存管接続　玄関収納内造作棚有り　</t>
    <rPh sb="3" eb="6">
      <t>シスイセン</t>
    </rPh>
    <rPh sb="12" eb="13">
      <t>ツキ</t>
    </rPh>
    <rPh sb="14" eb="16">
      <t>ヨクシツ</t>
    </rPh>
    <rPh sb="16" eb="19">
      <t>キュウトウカン</t>
    </rPh>
    <rPh sb="19" eb="22">
      <t>コウシンズ</t>
    </rPh>
    <rPh sb="23" eb="25">
      <t>センメン</t>
    </rPh>
    <rPh sb="25" eb="27">
      <t>ユカシタ</t>
    </rPh>
    <rPh sb="27" eb="30">
      <t>キゾンカン</t>
    </rPh>
    <rPh sb="30" eb="32">
      <t>セツゾク</t>
    </rPh>
    <rPh sb="33" eb="35">
      <t>ゲンカン</t>
    </rPh>
    <rPh sb="35" eb="38">
      <t>シュウノウナイ</t>
    </rPh>
    <rPh sb="38" eb="40">
      <t>ゾウサク</t>
    </rPh>
    <rPh sb="40" eb="42">
      <t>タナアリ</t>
    </rPh>
    <phoneticPr fontId="1"/>
  </si>
  <si>
    <t>金 英玉</t>
    <rPh sb="0" eb="1">
      <t>キン</t>
    </rPh>
    <rPh sb="2" eb="3">
      <t>エイ</t>
    </rPh>
    <rPh sb="3" eb="4">
      <t>タマ</t>
    </rPh>
    <phoneticPr fontId="1"/>
  </si>
  <si>
    <t>070-1595-9354</t>
    <phoneticPr fontId="1"/>
  </si>
  <si>
    <t xml:space="preserve">五十嵐 </t>
    <rPh sb="0" eb="3">
      <t>イガラシ</t>
    </rPh>
    <phoneticPr fontId="1"/>
  </si>
  <si>
    <t>048-685-1474</t>
    <phoneticPr fontId="1"/>
  </si>
  <si>
    <t>浴室鏡裏開口　ﾄｲﾚ止水栓ｽﾄﾚｰﾅｰ付</t>
    <rPh sb="0" eb="2">
      <t>ヨクシツ</t>
    </rPh>
    <rPh sb="2" eb="6">
      <t>カガミウラカイコウ</t>
    </rPh>
    <rPh sb="10" eb="13">
      <t>シスイセン</t>
    </rPh>
    <rPh sb="19" eb="20">
      <t>ツキ</t>
    </rPh>
    <phoneticPr fontId="1"/>
  </si>
  <si>
    <t>津川 民子</t>
    <rPh sb="0" eb="2">
      <t>ツガワ</t>
    </rPh>
    <rPh sb="3" eb="5">
      <t>タミコ</t>
    </rPh>
    <phoneticPr fontId="1"/>
  </si>
  <si>
    <t>048-688-1183</t>
    <phoneticPr fontId="1"/>
  </si>
  <si>
    <t>ﾊｳｽﾃｯｸ</t>
    <phoneticPr fontId="1"/>
  </si>
  <si>
    <t>浴槽点検口にて施工</t>
    <rPh sb="0" eb="2">
      <t>ヨクソウ</t>
    </rPh>
    <rPh sb="2" eb="5">
      <t>テンケンコウ</t>
    </rPh>
    <rPh sb="7" eb="9">
      <t>セコウ</t>
    </rPh>
    <phoneticPr fontId="1"/>
  </si>
  <si>
    <t>048-686-1416</t>
    <phoneticPr fontId="1"/>
  </si>
  <si>
    <t>養生毎日外す　認知症かも　荷物多い　お風呂使ってない洗面所壁点検口設置</t>
    <rPh sb="0" eb="4">
      <t>ヨウジョウマイニチ</t>
    </rPh>
    <rPh sb="4" eb="5">
      <t>ハズ</t>
    </rPh>
    <rPh sb="7" eb="10">
      <t>ニンチショウ</t>
    </rPh>
    <rPh sb="13" eb="16">
      <t>ニモツオオ</t>
    </rPh>
    <rPh sb="19" eb="21">
      <t>フロ</t>
    </rPh>
    <rPh sb="21" eb="22">
      <t>ツカ</t>
    </rPh>
    <rPh sb="26" eb="29">
      <t>センメンジョ</t>
    </rPh>
    <rPh sb="29" eb="33">
      <t>カベテンケンコウ</t>
    </rPh>
    <rPh sb="33" eb="35">
      <t>セッチ</t>
    </rPh>
    <phoneticPr fontId="1"/>
  </si>
  <si>
    <t>佐藤 太郎</t>
    <rPh sb="0" eb="2">
      <t>サトウ</t>
    </rPh>
    <rPh sb="3" eb="5">
      <t>タロウ</t>
    </rPh>
    <phoneticPr fontId="1"/>
  </si>
  <si>
    <t>048-686-1472</t>
    <phoneticPr fontId="1"/>
  </si>
  <si>
    <t>WBV1117JN</t>
    <phoneticPr fontId="1"/>
  </si>
  <si>
    <t>柄田 龍雄</t>
    <rPh sb="0" eb="2">
      <t>ガラタ</t>
    </rPh>
    <rPh sb="3" eb="5">
      <t>タツオ</t>
    </rPh>
    <phoneticPr fontId="1"/>
  </si>
  <si>
    <t>080-6607-1878</t>
    <phoneticPr fontId="1"/>
  </si>
  <si>
    <t>日立</t>
    <rPh sb="0" eb="2">
      <t>ヒタチ</t>
    </rPh>
    <phoneticPr fontId="1"/>
  </si>
  <si>
    <t>神保 光次</t>
    <rPh sb="0" eb="2">
      <t>ジンボ</t>
    </rPh>
    <rPh sb="3" eb="5">
      <t>コウジ</t>
    </rPh>
    <phoneticPr fontId="1"/>
  </si>
  <si>
    <t>070-3967-7090</t>
    <phoneticPr fontId="1"/>
  </si>
  <si>
    <t>橋本 裕生</t>
    <rPh sb="0" eb="2">
      <t>ハシモト</t>
    </rPh>
    <rPh sb="3" eb="5">
      <t>ヒロオ</t>
    </rPh>
    <phoneticPr fontId="1"/>
  </si>
  <si>
    <t>090-9858-3016</t>
    <phoneticPr fontId="1"/>
  </si>
  <si>
    <t>望月</t>
    <rPh sb="0" eb="2">
      <t>モチヅキ</t>
    </rPh>
    <phoneticPr fontId="1"/>
  </si>
  <si>
    <t>様</t>
    <rPh sb="0" eb="1">
      <t>サマ</t>
    </rPh>
    <phoneticPr fontId="1"/>
  </si>
  <si>
    <t>048-685-5456</t>
    <phoneticPr fontId="1"/>
  </si>
  <si>
    <t>ﾄｲﾚ止水栓ｽﾄﾚｰﾅｰ付　浴室ｴﾌﾟﾛﾝ内部材接続、給水給湯更新済みだが全更新希望</t>
    <rPh sb="3" eb="6">
      <t>シスイセン</t>
    </rPh>
    <rPh sb="12" eb="13">
      <t>ツキ</t>
    </rPh>
    <rPh sb="14" eb="16">
      <t>ヨクシツ</t>
    </rPh>
    <rPh sb="21" eb="26">
      <t>ナイブザイセツゾク</t>
    </rPh>
    <rPh sb="27" eb="34">
      <t>キュウスイキュウトウコウシンズ</t>
    </rPh>
    <rPh sb="37" eb="42">
      <t>ゼンコウシンキボウ</t>
    </rPh>
    <phoneticPr fontId="1"/>
  </si>
  <si>
    <t>稲葉</t>
    <rPh sb="0" eb="2">
      <t>イナバ</t>
    </rPh>
    <phoneticPr fontId="1"/>
  </si>
  <si>
    <t>様</t>
    <phoneticPr fontId="1"/>
  </si>
  <si>
    <t>048-677-0599</t>
    <phoneticPr fontId="1"/>
  </si>
  <si>
    <t>検討</t>
    <rPh sb="0" eb="2">
      <t>ケントウ</t>
    </rPh>
    <phoneticPr fontId="1"/>
  </si>
  <si>
    <t>大澤</t>
    <rPh sb="0" eb="2">
      <t>オオサワ</t>
    </rPh>
    <phoneticPr fontId="1"/>
  </si>
  <si>
    <t>090-3437-7466</t>
    <phoneticPr fontId="1"/>
  </si>
  <si>
    <t>玄関収納内造作棚あり　浴室給水給湯管更新済み→床下で既存管に接続する　洗濯水栓取り換える</t>
    <rPh sb="0" eb="8">
      <t>ゲンカンシュウノウナイゾウサクタナ</t>
    </rPh>
    <rPh sb="11" eb="13">
      <t>ヨクシツ</t>
    </rPh>
    <rPh sb="13" eb="18">
      <t>キュウスイキュウトウカン</t>
    </rPh>
    <rPh sb="18" eb="21">
      <t>コウシンズ</t>
    </rPh>
    <rPh sb="23" eb="25">
      <t>ユカシタ</t>
    </rPh>
    <rPh sb="26" eb="29">
      <t>キゾンカン</t>
    </rPh>
    <rPh sb="30" eb="32">
      <t>セツゾク</t>
    </rPh>
    <rPh sb="35" eb="37">
      <t>センタク</t>
    </rPh>
    <rPh sb="37" eb="39">
      <t>スイセン</t>
    </rPh>
    <rPh sb="39" eb="40">
      <t>ト</t>
    </rPh>
    <rPh sb="41" eb="42">
      <t>カ</t>
    </rPh>
    <phoneticPr fontId="1"/>
  </si>
  <si>
    <t>田中 勲</t>
    <rPh sb="0" eb="2">
      <t>タナカ</t>
    </rPh>
    <rPh sb="3" eb="4">
      <t>クン</t>
    </rPh>
    <phoneticPr fontId="1"/>
  </si>
  <si>
    <t>048-685-5458</t>
    <phoneticPr fontId="1"/>
  </si>
  <si>
    <t>浴室給湯給湯管更新済み床下既存管接続　ﾄｲﾚ止水栓ｽﾄﾚｰﾅｰ付　給湯管更新済み</t>
    <rPh sb="0" eb="2">
      <t>ヨクシツ</t>
    </rPh>
    <rPh sb="2" eb="4">
      <t>キュウトウ</t>
    </rPh>
    <rPh sb="4" eb="10">
      <t>キュウトウカンコウシンズ</t>
    </rPh>
    <rPh sb="11" eb="18">
      <t>ユカシタキゾンカンセツゾク</t>
    </rPh>
    <rPh sb="22" eb="25">
      <t>シスイセン</t>
    </rPh>
    <rPh sb="31" eb="32">
      <t>ツキ</t>
    </rPh>
    <rPh sb="33" eb="36">
      <t>キュウトウカン</t>
    </rPh>
    <rPh sb="36" eb="38">
      <t>コウシン</t>
    </rPh>
    <rPh sb="38" eb="39">
      <t>ズ</t>
    </rPh>
    <phoneticPr fontId="1"/>
  </si>
  <si>
    <t>原 洋子</t>
    <rPh sb="0" eb="1">
      <t>ハラ</t>
    </rPh>
    <rPh sb="2" eb="4">
      <t>ヨウコ</t>
    </rPh>
    <phoneticPr fontId="1"/>
  </si>
  <si>
    <t>048-686-1026
070-1567-0709</t>
    <phoneticPr fontId="1"/>
  </si>
  <si>
    <t>給湯管更新済み</t>
    <rPh sb="0" eb="3">
      <t>キュウトウカン</t>
    </rPh>
    <rPh sb="3" eb="6">
      <t>コウシンズ</t>
    </rPh>
    <phoneticPr fontId="1"/>
  </si>
  <si>
    <t>久保 隆</t>
    <rPh sb="0" eb="2">
      <t>クボ</t>
    </rPh>
    <rPh sb="3" eb="4">
      <t>タカシ</t>
    </rPh>
    <phoneticPr fontId="1"/>
  </si>
  <si>
    <t>090-7457-7398</t>
    <phoneticPr fontId="1"/>
  </si>
  <si>
    <t>浴室給水給湯管更新済み　床下で既存管接続　ﾄｲﾚ止水栓ｽﾄﾚｰﾅｰ付　ﾄｲﾚ背面壁紙残す</t>
    <rPh sb="0" eb="2">
      <t>ヨクシツ</t>
    </rPh>
    <rPh sb="2" eb="10">
      <t>キュウスイキュウトウカンコウシンズ</t>
    </rPh>
    <rPh sb="12" eb="14">
      <t>ユカシタ</t>
    </rPh>
    <rPh sb="15" eb="18">
      <t>キゾンカン</t>
    </rPh>
    <rPh sb="18" eb="20">
      <t>セツゾク</t>
    </rPh>
    <rPh sb="24" eb="27">
      <t>シスイセン</t>
    </rPh>
    <rPh sb="33" eb="34">
      <t>ツキ</t>
    </rPh>
    <rPh sb="38" eb="40">
      <t>ハイメン</t>
    </rPh>
    <rPh sb="40" eb="43">
      <t>カベガミノコ</t>
    </rPh>
    <phoneticPr fontId="1"/>
  </si>
  <si>
    <t>秦 明子</t>
    <rPh sb="0" eb="1">
      <t>ハタ</t>
    </rPh>
    <rPh sb="2" eb="4">
      <t>アキコ</t>
    </rPh>
    <phoneticPr fontId="1"/>
  </si>
  <si>
    <t>048-664-2341
090-5574-2880</t>
    <phoneticPr fontId="1"/>
  </si>
  <si>
    <t>山田 政男</t>
    <rPh sb="0" eb="2">
      <t>ヤマダ</t>
    </rPh>
    <rPh sb="3" eb="5">
      <t>マサオ</t>
    </rPh>
    <phoneticPr fontId="1"/>
  </si>
  <si>
    <t>048-685-5432
090-6017-5447</t>
    <phoneticPr fontId="1"/>
  </si>
  <si>
    <t>ﾄｲﾚ止水栓ｽﾄﾚｰﾅｰ付　浴室給水給湯管更新済み→全更新希望通常工事　洗面所壁点検口設置</t>
    <rPh sb="3" eb="6">
      <t>シスイセン</t>
    </rPh>
    <rPh sb="12" eb="13">
      <t>ツキ</t>
    </rPh>
    <rPh sb="14" eb="16">
      <t>ヨクシツ</t>
    </rPh>
    <rPh sb="16" eb="21">
      <t>キュウスイキュウトウカン</t>
    </rPh>
    <rPh sb="21" eb="24">
      <t>コウシンズ</t>
    </rPh>
    <rPh sb="26" eb="27">
      <t>ゼン</t>
    </rPh>
    <rPh sb="27" eb="29">
      <t>コウシン</t>
    </rPh>
    <rPh sb="29" eb="31">
      <t>キボウ</t>
    </rPh>
    <rPh sb="31" eb="33">
      <t>ツウジョウ</t>
    </rPh>
    <rPh sb="33" eb="35">
      <t>コウジ</t>
    </rPh>
    <rPh sb="36" eb="38">
      <t>センメン</t>
    </rPh>
    <rPh sb="38" eb="39">
      <t>ジョ</t>
    </rPh>
    <rPh sb="39" eb="40">
      <t>カベ</t>
    </rPh>
    <rPh sb="40" eb="43">
      <t>テンケンコウ</t>
    </rPh>
    <rPh sb="43" eb="45">
      <t>セッチ</t>
    </rPh>
    <phoneticPr fontId="1"/>
  </si>
  <si>
    <t>佐藤 芳恵</t>
    <rPh sb="0" eb="2">
      <t>サトウ</t>
    </rPh>
    <rPh sb="3" eb="5">
      <t>ヨシエ</t>
    </rPh>
    <phoneticPr fontId="1"/>
  </si>
  <si>
    <t>048-685-5533</t>
    <phoneticPr fontId="1"/>
  </si>
  <si>
    <t>日立</t>
    <phoneticPr fontId="1"/>
  </si>
  <si>
    <t>浴室鏡裏開口　ﾄｲﾚ止水栓ｽﾄﾚｰﾅｰ付</t>
    <rPh sb="0" eb="2">
      <t>ヨクシツ</t>
    </rPh>
    <rPh sb="2" eb="4">
      <t>カガミウラ</t>
    </rPh>
    <rPh sb="4" eb="6">
      <t>カイコウ</t>
    </rPh>
    <rPh sb="10" eb="13">
      <t>シスイセン</t>
    </rPh>
    <rPh sb="19" eb="20">
      <t>ツキ</t>
    </rPh>
    <phoneticPr fontId="1"/>
  </si>
  <si>
    <t>福岡 直三郎</t>
    <rPh sb="0" eb="2">
      <t>フクオカ</t>
    </rPh>
    <rPh sb="3" eb="6">
      <t>ナオサブロウ</t>
    </rPh>
    <phoneticPr fontId="1"/>
  </si>
  <si>
    <t>048-688-9721</t>
    <phoneticPr fontId="1"/>
  </si>
  <si>
    <t>底板SUS→ポリ復旧　洗面所壁点検口設置</t>
    <rPh sb="0" eb="2">
      <t>ソコイタ</t>
    </rPh>
    <rPh sb="5" eb="10">
      <t>ヤジルシポリフッキュウ</t>
    </rPh>
    <rPh sb="11" eb="14">
      <t>センメンジョ</t>
    </rPh>
    <rPh sb="14" eb="18">
      <t>カベテンケンコウ</t>
    </rPh>
    <rPh sb="18" eb="20">
      <t>セッチ</t>
    </rPh>
    <phoneticPr fontId="1"/>
  </si>
  <si>
    <t>諸田 昌美</t>
    <rPh sb="0" eb="2">
      <t>モロタ</t>
    </rPh>
    <rPh sb="3" eb="5">
      <t>マサミ</t>
    </rPh>
    <phoneticPr fontId="1"/>
  </si>
  <si>
    <t>090-6023-0655</t>
    <phoneticPr fontId="1"/>
  </si>
  <si>
    <t>底板SUS→ポリ復旧　ｴﾌﾟﾛﾝ内点検口設置＆洗面所壁点検口設置　浄水器有</t>
    <rPh sb="0" eb="2">
      <t>ソコイタ</t>
    </rPh>
    <rPh sb="5" eb="10">
      <t>ヤジルシポリフッキュウ</t>
    </rPh>
    <rPh sb="16" eb="17">
      <t>ナイ</t>
    </rPh>
    <rPh sb="17" eb="22">
      <t>テンケンコウセッチ</t>
    </rPh>
    <rPh sb="23" eb="32">
      <t>センメンジョカベテンケンコウセッチ</t>
    </rPh>
    <rPh sb="33" eb="37">
      <t>ジョウスイキアリ</t>
    </rPh>
    <phoneticPr fontId="1"/>
  </si>
  <si>
    <t>岩間 由晋</t>
    <rPh sb="0" eb="2">
      <t>イワマ</t>
    </rPh>
    <rPh sb="3" eb="4">
      <t>ヨシ</t>
    </rPh>
    <rPh sb="4" eb="5">
      <t>ススム</t>
    </rPh>
    <phoneticPr fontId="1"/>
  </si>
  <si>
    <t>080-3250-5646</t>
    <phoneticPr fontId="1"/>
  </si>
  <si>
    <t>山田 誠</t>
    <rPh sb="0" eb="2">
      <t>ヤマダ</t>
    </rPh>
    <rPh sb="3" eb="4">
      <t>マコト</t>
    </rPh>
    <phoneticPr fontId="1"/>
  </si>
  <si>
    <t>048-685-5475
090-6795-7699</t>
    <phoneticPr fontId="1"/>
  </si>
  <si>
    <t>給湯器更新済み　ﾄｲﾚ止水栓D式ｱﾝｸﾞﾙ</t>
    <rPh sb="0" eb="3">
      <t>キュウトウキ</t>
    </rPh>
    <rPh sb="3" eb="6">
      <t>コウシンズ</t>
    </rPh>
    <rPh sb="11" eb="14">
      <t>シスイセン</t>
    </rPh>
    <rPh sb="15" eb="16">
      <t>シキ</t>
    </rPh>
    <phoneticPr fontId="1"/>
  </si>
  <si>
    <t>川口 清</t>
    <rPh sb="0" eb="2">
      <t>カワグチ</t>
    </rPh>
    <rPh sb="3" eb="4">
      <t>キヨシ</t>
    </rPh>
    <phoneticPr fontId="1"/>
  </si>
  <si>
    <t>048-686-1079
090-7217-4984</t>
    <phoneticPr fontId="1"/>
  </si>
  <si>
    <t>給湯管更新済み　ﾄｲﾚ止水栓D式ｱﾝｸﾞﾙ</t>
    <rPh sb="0" eb="3">
      <t>キュウトウカン</t>
    </rPh>
    <rPh sb="3" eb="6">
      <t>コウシンズ</t>
    </rPh>
    <rPh sb="11" eb="14">
      <t>シスイセン</t>
    </rPh>
    <rPh sb="15" eb="16">
      <t>シキ</t>
    </rPh>
    <phoneticPr fontId="1"/>
  </si>
  <si>
    <t>大島 拓海</t>
    <rPh sb="0" eb="2">
      <t>オオシマ</t>
    </rPh>
    <rPh sb="3" eb="5">
      <t>タクミ</t>
    </rPh>
    <phoneticPr fontId="1"/>
  </si>
  <si>
    <t>070-4127-5752</t>
    <phoneticPr fontId="1"/>
  </si>
  <si>
    <t>飯山 明彦</t>
    <rPh sb="0" eb="2">
      <t>イイヤマ</t>
    </rPh>
    <rPh sb="3" eb="5">
      <t>アキヒコ</t>
    </rPh>
    <phoneticPr fontId="1"/>
  </si>
  <si>
    <t>090-1995-9347</t>
    <phoneticPr fontId="1"/>
  </si>
  <si>
    <t>一体型</t>
    <rPh sb="0" eb="3">
      <t>イッタイガタ</t>
    </rPh>
    <phoneticPr fontId="1"/>
  </si>
  <si>
    <t>700×640</t>
    <phoneticPr fontId="1"/>
  </si>
  <si>
    <t>給水給湯管更新済み　ﾄｲﾚのみの作業　ﾄｲﾚソフト巾木　</t>
    <rPh sb="0" eb="4">
      <t>キュウスイキュウトウ</t>
    </rPh>
    <rPh sb="4" eb="5">
      <t>カン</t>
    </rPh>
    <rPh sb="5" eb="8">
      <t>コウシンズ</t>
    </rPh>
    <rPh sb="16" eb="18">
      <t>サギョウ</t>
    </rPh>
    <rPh sb="25" eb="27">
      <t>ハバキ</t>
    </rPh>
    <phoneticPr fontId="1"/>
  </si>
  <si>
    <t>近藤 好夫</t>
    <rPh sb="0" eb="2">
      <t>コンドウ</t>
    </rPh>
    <rPh sb="3" eb="5">
      <t>ヨシオ</t>
    </rPh>
    <phoneticPr fontId="1"/>
  </si>
  <si>
    <t>048-685-4570</t>
    <phoneticPr fontId="1"/>
  </si>
  <si>
    <t>給湯管更新済み　洗面所壁点検口設置する　ﾄｲﾚ止水栓D式ｱﾝｸﾞﾙ</t>
    <rPh sb="0" eb="3">
      <t>キュウトウカン</t>
    </rPh>
    <rPh sb="3" eb="6">
      <t>コウシンズ</t>
    </rPh>
    <rPh sb="8" eb="11">
      <t>センメンジョ</t>
    </rPh>
    <rPh sb="11" eb="12">
      <t>カベ</t>
    </rPh>
    <rPh sb="12" eb="15">
      <t>テンケンコウ</t>
    </rPh>
    <rPh sb="15" eb="17">
      <t>セッチ</t>
    </rPh>
    <rPh sb="23" eb="26">
      <t>シスイセン</t>
    </rPh>
    <rPh sb="27" eb="28">
      <t>シキ</t>
    </rPh>
    <phoneticPr fontId="1"/>
  </si>
  <si>
    <t>海東 禎一</t>
    <rPh sb="0" eb="2">
      <t>カイトウ</t>
    </rPh>
    <rPh sb="3" eb="4">
      <t>テイ</t>
    </rPh>
    <rPh sb="4" eb="5">
      <t>イチ</t>
    </rPh>
    <phoneticPr fontId="1"/>
  </si>
  <si>
    <t>048-686-6218</t>
    <phoneticPr fontId="1"/>
  </si>
  <si>
    <t>給湯管更新済み　隠蔽配管希望</t>
    <rPh sb="0" eb="6">
      <t>キュウトウカンコウシンズ</t>
    </rPh>
    <rPh sb="8" eb="12">
      <t>インペイハイカン</t>
    </rPh>
    <rPh sb="12" eb="14">
      <t>キボウ</t>
    </rPh>
    <phoneticPr fontId="1"/>
  </si>
  <si>
    <t>山部 信之</t>
    <rPh sb="0" eb="2">
      <t>ヤマベ</t>
    </rPh>
    <rPh sb="3" eb="5">
      <t>ノブユキ</t>
    </rPh>
    <phoneticPr fontId="1"/>
  </si>
  <si>
    <t>048-686-2866
090-9159-3598</t>
    <phoneticPr fontId="1"/>
  </si>
  <si>
    <t>給湯管更新済み</t>
    <rPh sb="0" eb="3">
      <t>キュウトウカン</t>
    </rPh>
    <rPh sb="3" eb="6">
      <t>コウシンズ</t>
    </rPh>
    <phoneticPr fontId="1"/>
  </si>
  <si>
    <t>村上 兼示</t>
    <rPh sb="0" eb="2">
      <t>ムラカミ</t>
    </rPh>
    <rPh sb="3" eb="4">
      <t>ケン</t>
    </rPh>
    <rPh sb="4" eb="5">
      <t>シメ</t>
    </rPh>
    <phoneticPr fontId="1"/>
  </si>
  <si>
    <t>048-812-5566
090-3046-5015</t>
    <phoneticPr fontId="1"/>
  </si>
  <si>
    <t>ﾄｲﾚ床嵩上げ　ｷｯﾁﾝ浄水器あり　庭の水栓使ってないのでMB内に元栓のようなものつけられないか</t>
    <rPh sb="3" eb="4">
      <t>ユカ</t>
    </rPh>
    <rPh sb="4" eb="6">
      <t>カサア</t>
    </rPh>
    <rPh sb="12" eb="15">
      <t>ジョウスイキ</t>
    </rPh>
    <rPh sb="18" eb="19">
      <t>ニワ</t>
    </rPh>
    <rPh sb="20" eb="22">
      <t>スイセン</t>
    </rPh>
    <rPh sb="22" eb="23">
      <t>ツカ</t>
    </rPh>
    <rPh sb="31" eb="32">
      <t>ナイ</t>
    </rPh>
    <rPh sb="33" eb="35">
      <t>モトセン</t>
    </rPh>
    <phoneticPr fontId="1"/>
  </si>
  <si>
    <t>恩田 史郎</t>
    <rPh sb="0" eb="2">
      <t>オンダ</t>
    </rPh>
    <rPh sb="3" eb="5">
      <t>シロウ</t>
    </rPh>
    <phoneticPr fontId="1"/>
  </si>
  <si>
    <t>048-685-5448
090-4458-2565</t>
    <phoneticPr fontId="1"/>
  </si>
  <si>
    <t>洗面ﾄｲﾚ床フローリング　給湯器横に壁有り　ひな段　水栓柱周りに障害物無し</t>
    <rPh sb="0" eb="2">
      <t>センメン</t>
    </rPh>
    <rPh sb="5" eb="6">
      <t>ユカ</t>
    </rPh>
    <rPh sb="13" eb="16">
      <t>キュウトウキ</t>
    </rPh>
    <rPh sb="16" eb="17">
      <t>ヨコ</t>
    </rPh>
    <rPh sb="18" eb="20">
      <t>カベアリ</t>
    </rPh>
    <rPh sb="24" eb="25">
      <t>ダン</t>
    </rPh>
    <rPh sb="26" eb="29">
      <t>スイセンチュウ</t>
    </rPh>
    <rPh sb="29" eb="30">
      <t>マワ</t>
    </rPh>
    <rPh sb="32" eb="36">
      <t>ショウガイブツナ</t>
    </rPh>
    <phoneticPr fontId="1"/>
  </si>
  <si>
    <t>川上 光二</t>
    <rPh sb="0" eb="2">
      <t>カワカミ</t>
    </rPh>
    <rPh sb="3" eb="5">
      <t>コウジ</t>
    </rPh>
    <phoneticPr fontId="1"/>
  </si>
  <si>
    <t>048-685-6423
080-5449-2469</t>
    <phoneticPr fontId="1"/>
  </si>
  <si>
    <t>洗面所壁点検口設置　ﾄｲﾚD式ｱﾝｸﾞﾙ</t>
    <rPh sb="0" eb="3">
      <t>センメンジョ</t>
    </rPh>
    <rPh sb="3" eb="4">
      <t>カベ</t>
    </rPh>
    <rPh sb="4" eb="9">
      <t>テンケンコウセッチ</t>
    </rPh>
    <rPh sb="14" eb="15">
      <t>シキ</t>
    </rPh>
    <phoneticPr fontId="1"/>
  </si>
  <si>
    <t>横田 忠</t>
    <rPh sb="0" eb="2">
      <t>ヨコタ</t>
    </rPh>
    <rPh sb="3" eb="4">
      <t>タダシ</t>
    </rPh>
    <phoneticPr fontId="1"/>
  </si>
  <si>
    <t>048-688-6017</t>
    <phoneticPr fontId="1"/>
  </si>
  <si>
    <t>洗面所壁点検口設置</t>
    <rPh sb="0" eb="3">
      <t>センメンジョ</t>
    </rPh>
    <rPh sb="3" eb="4">
      <t>カベ</t>
    </rPh>
    <rPh sb="4" eb="9">
      <t>テンケンコウセッチ</t>
    </rPh>
    <phoneticPr fontId="1"/>
  </si>
  <si>
    <t>鷹嘴 正治</t>
    <rPh sb="0" eb="2">
      <t>タカノハシ</t>
    </rPh>
    <rPh sb="3" eb="5">
      <t>マサハル</t>
    </rPh>
    <phoneticPr fontId="1"/>
  </si>
  <si>
    <t>090-2328-4178</t>
    <phoneticPr fontId="1"/>
  </si>
  <si>
    <t>石田 恒美</t>
    <rPh sb="0" eb="2">
      <t>イシダ</t>
    </rPh>
    <rPh sb="3" eb="4">
      <t>コウ</t>
    </rPh>
    <rPh sb="4" eb="5">
      <t>ミ</t>
    </rPh>
    <phoneticPr fontId="1"/>
  </si>
  <si>
    <t>048-683-8630</t>
    <phoneticPr fontId="1"/>
  </si>
  <si>
    <t>日立</t>
    <rPh sb="0" eb="2">
      <t>ヒタチ</t>
    </rPh>
    <phoneticPr fontId="1"/>
  </si>
  <si>
    <t>前田 良子</t>
    <rPh sb="0" eb="2">
      <t>マエダ</t>
    </rPh>
    <rPh sb="3" eb="5">
      <t>ヨシコ</t>
    </rPh>
    <phoneticPr fontId="1"/>
  </si>
  <si>
    <t>048-683-8030
090-1731-6631</t>
    <phoneticPr fontId="1"/>
  </si>
  <si>
    <t>ﾄｲﾚ止水栓D式ｱﾝｸﾞﾙ　給湯管更新済み　ひな段</t>
    <rPh sb="3" eb="6">
      <t>シスイセン</t>
    </rPh>
    <rPh sb="7" eb="8">
      <t>シキ</t>
    </rPh>
    <rPh sb="14" eb="17">
      <t>キュウトウカン</t>
    </rPh>
    <rPh sb="17" eb="20">
      <t>コウシンズ</t>
    </rPh>
    <rPh sb="24" eb="25">
      <t>ダン</t>
    </rPh>
    <phoneticPr fontId="1"/>
  </si>
  <si>
    <t>戸嶋 正子</t>
    <rPh sb="0" eb="2">
      <t>トジマ</t>
    </rPh>
    <rPh sb="3" eb="5">
      <t>マサコ</t>
    </rPh>
    <phoneticPr fontId="1"/>
  </si>
  <si>
    <t>048-685-8473</t>
    <phoneticPr fontId="1"/>
  </si>
  <si>
    <t>浴室鏡裏開口</t>
    <rPh sb="0" eb="2">
      <t>ヨクシツ</t>
    </rPh>
    <rPh sb="2" eb="6">
      <t>カガミウラカイコウ</t>
    </rPh>
    <phoneticPr fontId="1"/>
  </si>
  <si>
    <t>滝口 由美</t>
    <rPh sb="0" eb="2">
      <t>タキグチ</t>
    </rPh>
    <rPh sb="3" eb="5">
      <t>ユミ</t>
    </rPh>
    <phoneticPr fontId="1"/>
  </si>
  <si>
    <t>048-7668-6993
090-8343-9072</t>
    <phoneticPr fontId="1"/>
  </si>
  <si>
    <t>洗面所壁点検口設置する　ﾄｲﾚﾒｯｷ管450L　ﾄｲﾚ天井塗装検討　普段住んでない</t>
    <rPh sb="0" eb="3">
      <t>センメンジョ</t>
    </rPh>
    <rPh sb="3" eb="9">
      <t>カベテンケンコウセッチ</t>
    </rPh>
    <rPh sb="18" eb="19">
      <t>カン</t>
    </rPh>
    <rPh sb="27" eb="29">
      <t>テンジョウ</t>
    </rPh>
    <rPh sb="29" eb="31">
      <t>トソウ</t>
    </rPh>
    <rPh sb="31" eb="33">
      <t>ケントウ</t>
    </rPh>
    <rPh sb="34" eb="37">
      <t>フダンス</t>
    </rPh>
    <phoneticPr fontId="1"/>
  </si>
  <si>
    <t>植竹 和美</t>
    <rPh sb="0" eb="2">
      <t>ウエタケ</t>
    </rPh>
    <rPh sb="3" eb="5">
      <t>カズミ</t>
    </rPh>
    <phoneticPr fontId="1"/>
  </si>
  <si>
    <t>070-7489-6972</t>
    <phoneticPr fontId="1"/>
  </si>
  <si>
    <t>南井 久美子</t>
    <rPh sb="0" eb="2">
      <t>ミナミイ</t>
    </rPh>
    <rPh sb="3" eb="6">
      <t>クミコ</t>
    </rPh>
    <phoneticPr fontId="1"/>
  </si>
  <si>
    <t>048-685-8626</t>
    <phoneticPr fontId="1"/>
  </si>
  <si>
    <t>洗面所壁点検口設置　ひな段既存壁だし　洗面所床鳴りあり　浴槽デッキタイプ</t>
    <rPh sb="0" eb="3">
      <t>センメンジョ</t>
    </rPh>
    <rPh sb="3" eb="4">
      <t>カベ</t>
    </rPh>
    <rPh sb="4" eb="7">
      <t>テンケンコウ</t>
    </rPh>
    <rPh sb="7" eb="9">
      <t>セッチ</t>
    </rPh>
    <rPh sb="12" eb="13">
      <t>ダン</t>
    </rPh>
    <rPh sb="13" eb="15">
      <t>キゾン</t>
    </rPh>
    <rPh sb="15" eb="16">
      <t>カベ</t>
    </rPh>
    <rPh sb="19" eb="22">
      <t>センメンジョ</t>
    </rPh>
    <rPh sb="22" eb="24">
      <t>ユカナ</t>
    </rPh>
    <rPh sb="28" eb="30">
      <t>ヨクソウ</t>
    </rPh>
    <phoneticPr fontId="1"/>
  </si>
  <si>
    <t>中嶋 邦康</t>
    <rPh sb="0" eb="2">
      <t>ナカジマ</t>
    </rPh>
    <rPh sb="3" eb="5">
      <t>クニヤス</t>
    </rPh>
    <phoneticPr fontId="1"/>
  </si>
  <si>
    <t>048-683-9629</t>
    <phoneticPr fontId="1"/>
  </si>
  <si>
    <t>三澤 謙一</t>
    <rPh sb="0" eb="2">
      <t>ミサワ</t>
    </rPh>
    <rPh sb="3" eb="5">
      <t>ケンイチ</t>
    </rPh>
    <phoneticPr fontId="1"/>
  </si>
  <si>
    <t>080-5182-5014</t>
    <phoneticPr fontId="1"/>
  </si>
  <si>
    <t>浴室鏡裏開口　ﾄｲﾚ止水栓D式ｱﾝｸﾞﾙ　ｷｯﾁﾝ既存壁だし</t>
    <rPh sb="0" eb="2">
      <t>ヨクシツ</t>
    </rPh>
    <rPh sb="2" eb="6">
      <t>カガミウラカイコウ</t>
    </rPh>
    <rPh sb="10" eb="13">
      <t>シスイセン</t>
    </rPh>
    <rPh sb="14" eb="15">
      <t>シキ</t>
    </rPh>
    <rPh sb="25" eb="27">
      <t>キゾン</t>
    </rPh>
    <rPh sb="27" eb="28">
      <t>カベ</t>
    </rPh>
    <phoneticPr fontId="1"/>
  </si>
  <si>
    <t>織田 康宏</t>
    <rPh sb="0" eb="2">
      <t>オダ</t>
    </rPh>
    <rPh sb="3" eb="4">
      <t>コウ</t>
    </rPh>
    <rPh sb="4" eb="5">
      <t>ヒロシ</t>
    </rPh>
    <phoneticPr fontId="1"/>
  </si>
  <si>
    <t>048-685-8620</t>
    <phoneticPr fontId="1"/>
  </si>
  <si>
    <t>中條 義男</t>
    <rPh sb="0" eb="2">
      <t>ナカジョウ</t>
    </rPh>
    <rPh sb="3" eb="5">
      <t>ヨシオ</t>
    </rPh>
    <phoneticPr fontId="1"/>
  </si>
  <si>
    <t>084-686-4515
090-4412-9284</t>
    <phoneticPr fontId="1"/>
  </si>
  <si>
    <t>洗面所周囲ｺｰｷﾝｸﾞ打ちあり　ひな段　浴室ｴﾌﾟﾛﾝ内部材接続</t>
    <rPh sb="0" eb="3">
      <t>センメンジョ</t>
    </rPh>
    <rPh sb="3" eb="5">
      <t>シュウイ</t>
    </rPh>
    <rPh sb="11" eb="12">
      <t>ウ</t>
    </rPh>
    <rPh sb="18" eb="19">
      <t>ダン</t>
    </rPh>
    <rPh sb="20" eb="22">
      <t>ヨクシツ</t>
    </rPh>
    <rPh sb="27" eb="32">
      <t>ナイブザイセツゾク</t>
    </rPh>
    <phoneticPr fontId="1"/>
  </si>
  <si>
    <t>丸山 弘基</t>
    <rPh sb="0" eb="2">
      <t>マルヤマ</t>
    </rPh>
    <rPh sb="3" eb="5">
      <t>ヒロキ</t>
    </rPh>
    <phoneticPr fontId="1"/>
  </si>
  <si>
    <t>080-6503-1674</t>
    <phoneticPr fontId="1"/>
  </si>
  <si>
    <t>ﾄｲﾚ止水栓D式ｱﾝｸﾞﾙ　洗面所壁点検口設置</t>
    <rPh sb="3" eb="6">
      <t>シスイセン</t>
    </rPh>
    <rPh sb="7" eb="8">
      <t>シキ</t>
    </rPh>
    <rPh sb="14" eb="23">
      <t>センメンジョカベテンケンコウセッチ</t>
    </rPh>
    <phoneticPr fontId="1"/>
  </si>
  <si>
    <t>浅見 良子</t>
    <rPh sb="0" eb="2">
      <t>アサミ</t>
    </rPh>
    <rPh sb="3" eb="5">
      <t>ヨシコ</t>
    </rPh>
    <phoneticPr fontId="1"/>
  </si>
  <si>
    <t>048-688-1020</t>
    <phoneticPr fontId="1"/>
  </si>
  <si>
    <t>浴室ｴﾌﾟﾛﾝ内部材接続　ﾄｲﾚ止水栓D式ｱﾝｸﾞﾙ　底板SUS→ポリ復旧</t>
    <rPh sb="0" eb="2">
      <t>ヨクシツ</t>
    </rPh>
    <rPh sb="7" eb="12">
      <t>ナイブザイセツゾク</t>
    </rPh>
    <rPh sb="16" eb="19">
      <t>シスイセン</t>
    </rPh>
    <rPh sb="20" eb="21">
      <t>シキ</t>
    </rPh>
    <rPh sb="27" eb="29">
      <t>ソコイタ</t>
    </rPh>
    <rPh sb="32" eb="37">
      <t>ヤジルシポリフッキュウ</t>
    </rPh>
    <phoneticPr fontId="1"/>
  </si>
  <si>
    <t>岩崎 忠久</t>
    <rPh sb="0" eb="2">
      <t>イワサキ</t>
    </rPh>
    <rPh sb="3" eb="5">
      <t>タダヒサ</t>
    </rPh>
    <phoneticPr fontId="1"/>
  </si>
  <si>
    <t>048-685-8489
090-8306-6683</t>
    <phoneticPr fontId="1"/>
  </si>
  <si>
    <t>藤田 桂子</t>
    <rPh sb="0" eb="2">
      <t>フジタ</t>
    </rPh>
    <rPh sb="3" eb="5">
      <t>ケイコ</t>
    </rPh>
    <phoneticPr fontId="1"/>
  </si>
  <si>
    <t>090-8689-1803</t>
    <phoneticPr fontId="1"/>
  </si>
  <si>
    <t>LIXIL</t>
  </si>
  <si>
    <t>髙嶌  廣明</t>
    <rPh sb="0" eb="2">
      <t>タカシマ</t>
    </rPh>
    <rPh sb="4" eb="6">
      <t>ヒロアキ</t>
    </rPh>
    <phoneticPr fontId="1"/>
  </si>
  <si>
    <t>048-685-8603
090-3002-4394</t>
    <phoneticPr fontId="1"/>
  </si>
  <si>
    <t>浴室ｴﾌﾟﾛﾝ内点検口設置　ﾄｲﾚ止水栓ｽﾄﾚｰﾅｰ付　ひな段　　</t>
    <rPh sb="0" eb="2">
      <t>ヨクシツ</t>
    </rPh>
    <rPh sb="7" eb="8">
      <t>ナイ</t>
    </rPh>
    <rPh sb="8" eb="13">
      <t>テンケンコウセッチ</t>
    </rPh>
    <rPh sb="17" eb="20">
      <t>シスイセン</t>
    </rPh>
    <rPh sb="26" eb="27">
      <t>ツキ</t>
    </rPh>
    <rPh sb="30" eb="31">
      <t>ダン</t>
    </rPh>
    <phoneticPr fontId="1"/>
  </si>
  <si>
    <t>岩附 健</t>
    <rPh sb="0" eb="1">
      <t>イワ</t>
    </rPh>
    <rPh sb="1" eb="2">
      <t>フ</t>
    </rPh>
    <rPh sb="3" eb="4">
      <t>ケン</t>
    </rPh>
    <phoneticPr fontId="1"/>
  </si>
  <si>
    <t>048-685-9792</t>
    <phoneticPr fontId="1"/>
  </si>
  <si>
    <t>ﾄｲﾚ止水栓ｽﾄﾚｰﾅｰ付　洗面台横棚外さない、CFつきつけ　ひな段　</t>
    <rPh sb="3" eb="6">
      <t>シスイセン</t>
    </rPh>
    <rPh sb="12" eb="13">
      <t>ツキ</t>
    </rPh>
    <rPh sb="14" eb="18">
      <t>センメンダイヨコ</t>
    </rPh>
    <rPh sb="18" eb="19">
      <t>タナ</t>
    </rPh>
    <rPh sb="19" eb="20">
      <t>ハズ</t>
    </rPh>
    <rPh sb="33" eb="34">
      <t>ダン</t>
    </rPh>
    <phoneticPr fontId="1"/>
  </si>
  <si>
    <t>山田 輝彦</t>
    <rPh sb="0" eb="2">
      <t>ヤマダ</t>
    </rPh>
    <rPh sb="3" eb="5">
      <t>テルヒコ</t>
    </rPh>
    <phoneticPr fontId="1"/>
  </si>
  <si>
    <t>080-5379-1084</t>
    <phoneticPr fontId="1"/>
  </si>
  <si>
    <t>松下電工</t>
    <rPh sb="0" eb="2">
      <t>マツシタ</t>
    </rPh>
    <rPh sb="2" eb="4">
      <t>デンコウ</t>
    </rPh>
    <phoneticPr fontId="1"/>
  </si>
  <si>
    <t>ﾄｲﾚ壁ﾊﾟﾈﾙ→玄関側から開口１面壁貼替　ﾄｲﾚ止水栓D式ｱﾝｸﾞﾙ　ﾄｲﾚ巾木なし床のみ貼替　浴槽点検口内作業</t>
    <rPh sb="3" eb="4">
      <t>カベ</t>
    </rPh>
    <rPh sb="9" eb="12">
      <t>ゲンカンガワ</t>
    </rPh>
    <rPh sb="14" eb="16">
      <t>カイコウ</t>
    </rPh>
    <rPh sb="17" eb="18">
      <t>メン</t>
    </rPh>
    <rPh sb="18" eb="21">
      <t>カベハリカエ</t>
    </rPh>
    <rPh sb="25" eb="28">
      <t>シスイセン</t>
    </rPh>
    <rPh sb="29" eb="30">
      <t>シキ</t>
    </rPh>
    <rPh sb="39" eb="41">
      <t>ハバキ</t>
    </rPh>
    <rPh sb="43" eb="44">
      <t>ユカ</t>
    </rPh>
    <rPh sb="46" eb="48">
      <t>ハリカエ</t>
    </rPh>
    <rPh sb="49" eb="55">
      <t>ヨクソウテンケンコウナイ</t>
    </rPh>
    <rPh sb="55" eb="57">
      <t>サギョウ</t>
    </rPh>
    <phoneticPr fontId="1"/>
  </si>
  <si>
    <t>長谷川 正人</t>
    <rPh sb="0" eb="3">
      <t>ハセガワ</t>
    </rPh>
    <rPh sb="4" eb="6">
      <t>マサト</t>
    </rPh>
    <phoneticPr fontId="1"/>
  </si>
  <si>
    <t>048-683-4698
070-5576-3812</t>
    <phoneticPr fontId="1"/>
  </si>
  <si>
    <t>日立</t>
    <rPh sb="0" eb="2">
      <t>ヒタチ</t>
    </rPh>
    <phoneticPr fontId="1"/>
  </si>
  <si>
    <t>給湯管更新済み　ﾄｲﾚ棚ﾍﾟﾝｷ塗り壁紙貼らない　ﾄｲﾚ止水栓ｽﾄﾚｰﾅｰ付</t>
    <rPh sb="0" eb="3">
      <t>キュウトウカン</t>
    </rPh>
    <rPh sb="3" eb="6">
      <t>コウシンズ</t>
    </rPh>
    <rPh sb="11" eb="12">
      <t>タナ</t>
    </rPh>
    <rPh sb="16" eb="17">
      <t>ヌ</t>
    </rPh>
    <rPh sb="18" eb="20">
      <t>カベガミ</t>
    </rPh>
    <rPh sb="20" eb="21">
      <t>ハ</t>
    </rPh>
    <rPh sb="28" eb="31">
      <t>シスイセン</t>
    </rPh>
    <rPh sb="37" eb="38">
      <t>ツキ</t>
    </rPh>
    <phoneticPr fontId="1"/>
  </si>
  <si>
    <t>川田 幸子</t>
    <rPh sb="0" eb="2">
      <t>カワタ</t>
    </rPh>
    <rPh sb="3" eb="5">
      <t>サチコ</t>
    </rPh>
    <phoneticPr fontId="1"/>
  </si>
  <si>
    <t>048-688-6272
080-5483-7167</t>
    <phoneticPr fontId="1"/>
  </si>
  <si>
    <t>タンクレス</t>
  </si>
  <si>
    <t>給水給湯管更新済み排水枝管更新済み　ﾄｲﾚ床と玄関家具脱着のみ施工</t>
    <rPh sb="0" eb="8">
      <t>キュウスイキュウトウカンコウシンズ</t>
    </rPh>
    <rPh sb="9" eb="13">
      <t>ハイスイエダカン</t>
    </rPh>
    <rPh sb="13" eb="16">
      <t>コウシンズ</t>
    </rPh>
    <rPh sb="21" eb="22">
      <t>ユカ</t>
    </rPh>
    <rPh sb="23" eb="25">
      <t>ゲンカン</t>
    </rPh>
    <rPh sb="25" eb="29">
      <t>カグダッチャク</t>
    </rPh>
    <rPh sb="31" eb="33">
      <t>セコウ</t>
    </rPh>
    <phoneticPr fontId="1"/>
  </si>
  <si>
    <t>池山 雅也</t>
    <rPh sb="0" eb="2">
      <t>イケヤマ</t>
    </rPh>
    <rPh sb="3" eb="5">
      <t>マサヤ</t>
    </rPh>
    <phoneticPr fontId="1"/>
  </si>
  <si>
    <t>048-685-8479
080-6702-1493</t>
    <phoneticPr fontId="1"/>
  </si>
  <si>
    <t>浴室ｴﾌﾟﾛﾝ内部材接続　ﾄｲﾚ止水栓ｽﾄﾚｰﾅｰ付　洗濯機と給湯器の間に板あるなくしてＯＫ</t>
    <rPh sb="0" eb="2">
      <t>ヨクシツ</t>
    </rPh>
    <rPh sb="7" eb="12">
      <t>ナイブザイセツゾク</t>
    </rPh>
    <rPh sb="16" eb="19">
      <t>シスイセン</t>
    </rPh>
    <rPh sb="25" eb="26">
      <t>ツキ</t>
    </rPh>
    <rPh sb="27" eb="30">
      <t>センタクキ</t>
    </rPh>
    <rPh sb="31" eb="34">
      <t>キュウトウキ</t>
    </rPh>
    <rPh sb="35" eb="36">
      <t>アイダ</t>
    </rPh>
    <rPh sb="37" eb="38">
      <t>イタ</t>
    </rPh>
    <phoneticPr fontId="1"/>
  </si>
  <si>
    <t>宇田川 静子</t>
    <rPh sb="0" eb="3">
      <t>ウダガワ</t>
    </rPh>
    <rPh sb="4" eb="6">
      <t>シズコ</t>
    </rPh>
    <phoneticPr fontId="1"/>
  </si>
  <si>
    <t>048-685-5595
090-3544-3990</t>
    <phoneticPr fontId="1"/>
  </si>
  <si>
    <t>浴室鏡裏開口　底板SUS→ポリ復旧　</t>
    <rPh sb="0" eb="2">
      <t>ヨクシツ</t>
    </rPh>
    <rPh sb="2" eb="6">
      <t>カガミウラカイコウ</t>
    </rPh>
    <rPh sb="7" eb="9">
      <t>ソコイタ</t>
    </rPh>
    <rPh sb="12" eb="17">
      <t>ヤジルシポリフッキュウ</t>
    </rPh>
    <phoneticPr fontId="1"/>
  </si>
  <si>
    <t>荒木 明美</t>
    <rPh sb="0" eb="2">
      <t>アラキ</t>
    </rPh>
    <rPh sb="3" eb="5">
      <t>アケミ</t>
    </rPh>
    <phoneticPr fontId="1"/>
  </si>
  <si>
    <t>048-686-4715</t>
    <phoneticPr fontId="1"/>
  </si>
  <si>
    <t>洗面所壁点検口設置　台所ﾄﾗｯﾌﾟ既存　ﾄｲﾚ壁給水</t>
    <rPh sb="0" eb="9">
      <t>センメンジョカベテンケンコウセッチ</t>
    </rPh>
    <rPh sb="10" eb="12">
      <t>ダイドコロ</t>
    </rPh>
    <rPh sb="17" eb="19">
      <t>キゾン</t>
    </rPh>
    <rPh sb="23" eb="24">
      <t>カベ</t>
    </rPh>
    <rPh sb="24" eb="26">
      <t>キュウスイ</t>
    </rPh>
    <phoneticPr fontId="1"/>
  </si>
  <si>
    <t>清水 麻衣</t>
    <rPh sb="0" eb="2">
      <t>シミズ</t>
    </rPh>
    <rPh sb="3" eb="5">
      <t>マイ</t>
    </rPh>
    <phoneticPr fontId="1"/>
  </si>
  <si>
    <t>090-2227-6631</t>
    <phoneticPr fontId="1"/>
  </si>
  <si>
    <t>ﾀｶﾗｽﾀﾝﾀﾞｰﾄﾞ</t>
    <phoneticPr fontId="1"/>
  </si>
  <si>
    <t>給湯器～浴室の給水給湯管更新済み　玄関収納内ﾍﾟﾝｷ塗り　洗面所ｿﾌﾄ巾木</t>
    <rPh sb="0" eb="3">
      <t>キュウトウキ</t>
    </rPh>
    <rPh sb="4" eb="6">
      <t>ヨクシツ</t>
    </rPh>
    <rPh sb="7" eb="11">
      <t>キュウス</t>
    </rPh>
    <rPh sb="11" eb="12">
      <t>カン</t>
    </rPh>
    <rPh sb="12" eb="15">
      <t>コウシンズ</t>
    </rPh>
    <rPh sb="17" eb="19">
      <t>ゲンカン</t>
    </rPh>
    <rPh sb="19" eb="22">
      <t>シュウノウナイ</t>
    </rPh>
    <rPh sb="26" eb="27">
      <t>ヌ</t>
    </rPh>
    <rPh sb="29" eb="32">
      <t>センメンジョ</t>
    </rPh>
    <rPh sb="35" eb="37">
      <t>ハバキ</t>
    </rPh>
    <phoneticPr fontId="1"/>
  </si>
  <si>
    <t>武内 勇</t>
    <rPh sb="0" eb="2">
      <t>タケウチ</t>
    </rPh>
    <rPh sb="3" eb="4">
      <t>イサム</t>
    </rPh>
    <phoneticPr fontId="1"/>
  </si>
  <si>
    <t>090-8776-0002</t>
    <phoneticPr fontId="1"/>
  </si>
  <si>
    <t>フローリング</t>
  </si>
  <si>
    <t>パン無し</t>
    <rPh sb="2" eb="3">
      <t>ナ</t>
    </rPh>
    <phoneticPr fontId="1"/>
  </si>
  <si>
    <t>萩原 哲哉</t>
    <rPh sb="0" eb="2">
      <t>ハギワラ</t>
    </rPh>
    <rPh sb="3" eb="5">
      <t>テツヤ</t>
    </rPh>
    <phoneticPr fontId="1"/>
  </si>
  <si>
    <t>048-688-1040</t>
    <phoneticPr fontId="1"/>
  </si>
  <si>
    <t>岩瀬 隆夫</t>
    <rPh sb="0" eb="2">
      <t>イワセ</t>
    </rPh>
    <rPh sb="3" eb="5">
      <t>タカオ</t>
    </rPh>
    <phoneticPr fontId="1"/>
  </si>
  <si>
    <t>090-3217-9349</t>
    <phoneticPr fontId="1"/>
  </si>
  <si>
    <t>台所ひな段壁だし　ﾄｲﾚ給水壁だし　内装指定品</t>
    <rPh sb="0" eb="2">
      <t>ダイドコロ</t>
    </rPh>
    <rPh sb="4" eb="5">
      <t>ダン</t>
    </rPh>
    <rPh sb="5" eb="6">
      <t>カベ</t>
    </rPh>
    <rPh sb="12" eb="15">
      <t>キュウスイカベ</t>
    </rPh>
    <rPh sb="18" eb="20">
      <t>ナイソウ</t>
    </rPh>
    <rPh sb="20" eb="22">
      <t>シテイ</t>
    </rPh>
    <rPh sb="22" eb="23">
      <t>ヒン</t>
    </rPh>
    <phoneticPr fontId="1"/>
  </si>
  <si>
    <t>藤原 莉奈</t>
    <rPh sb="0" eb="2">
      <t>フジワラ</t>
    </rPh>
    <rPh sb="3" eb="5">
      <t>リナ</t>
    </rPh>
    <phoneticPr fontId="1"/>
  </si>
  <si>
    <t>080-4478-4657</t>
    <phoneticPr fontId="1"/>
  </si>
  <si>
    <t>洗濯パン小さくする必要ある水栓位置も移動　ひな段　洗面所ﾗｲﾆﾝｸﾞあり</t>
    <rPh sb="0" eb="2">
      <t>センタク</t>
    </rPh>
    <rPh sb="4" eb="5">
      <t>チイ</t>
    </rPh>
    <rPh sb="9" eb="11">
      <t>ヒツヨウ</t>
    </rPh>
    <rPh sb="13" eb="17">
      <t>スイセンイチ</t>
    </rPh>
    <rPh sb="18" eb="20">
      <t>イドウ</t>
    </rPh>
    <rPh sb="23" eb="24">
      <t>ダン</t>
    </rPh>
    <rPh sb="25" eb="28">
      <t>センメンジョ</t>
    </rPh>
    <phoneticPr fontId="1"/>
  </si>
  <si>
    <t>鈴木能宣子</t>
    <rPh sb="0" eb="2">
      <t>スズキ</t>
    </rPh>
    <rPh sb="2" eb="3">
      <t>ノウ</t>
    </rPh>
    <rPh sb="3" eb="5">
      <t>ノブコ</t>
    </rPh>
    <phoneticPr fontId="1"/>
  </si>
  <si>
    <t>048-686-4747
090-5206-4604</t>
    <phoneticPr fontId="1"/>
  </si>
  <si>
    <t>740+250ｷｬﾋﾞ</t>
    <phoneticPr fontId="1"/>
  </si>
  <si>
    <t>洗面所壁点検口設置する　ﾄｲﾚ止水栓D式ｱﾝｸﾞﾙ　台所ひな段背板開口する</t>
    <rPh sb="0" eb="4">
      <t>センメンジョカベ</t>
    </rPh>
    <rPh sb="4" eb="9">
      <t>テンケンコウセッチ</t>
    </rPh>
    <rPh sb="15" eb="18">
      <t>シスイセン</t>
    </rPh>
    <rPh sb="19" eb="20">
      <t>シキ</t>
    </rPh>
    <rPh sb="26" eb="28">
      <t>ダイドコロ</t>
    </rPh>
    <rPh sb="30" eb="31">
      <t>ダン</t>
    </rPh>
    <rPh sb="31" eb="33">
      <t>セイタ</t>
    </rPh>
    <rPh sb="33" eb="35">
      <t>カイコウ</t>
    </rPh>
    <phoneticPr fontId="1"/>
  </si>
  <si>
    <t>深尾 椎彦</t>
    <rPh sb="0" eb="2">
      <t>フカオ</t>
    </rPh>
    <rPh sb="3" eb="4">
      <t>シイ</t>
    </rPh>
    <rPh sb="4" eb="5">
      <t>ヒコ</t>
    </rPh>
    <phoneticPr fontId="1"/>
  </si>
  <si>
    <t>048-685-9847</t>
    <phoneticPr fontId="1"/>
  </si>
  <si>
    <t>早山</t>
    <rPh sb="0" eb="2">
      <t>ハヤマ</t>
    </rPh>
    <phoneticPr fontId="1"/>
  </si>
  <si>
    <t>048-684-1967</t>
    <phoneticPr fontId="1"/>
  </si>
  <si>
    <t>ｴﾌﾟﾛﾝ内部材接続　台所ひな段　止水栓ｱﾝｸﾞﾙ</t>
    <rPh sb="5" eb="10">
      <t>ナイブザイセツゾク</t>
    </rPh>
    <rPh sb="11" eb="13">
      <t>ダイドコロ</t>
    </rPh>
    <rPh sb="15" eb="16">
      <t>ダン</t>
    </rPh>
    <rPh sb="17" eb="20">
      <t>シスイセン</t>
    </rPh>
    <phoneticPr fontId="1"/>
  </si>
  <si>
    <t>伊藤 泰子</t>
    <rPh sb="0" eb="2">
      <t>イトウ</t>
    </rPh>
    <rPh sb="3" eb="5">
      <t>タイコ</t>
    </rPh>
    <phoneticPr fontId="1"/>
  </si>
  <si>
    <t>048-687-7913
090-5219-4172</t>
    <phoneticPr fontId="1"/>
  </si>
  <si>
    <t>洗面所壁点検口設置する　ﾄｲﾚ止水栓ｽﾄﾚｰﾅｰ付　</t>
    <rPh sb="0" eb="4">
      <t>センメンジョカベ</t>
    </rPh>
    <rPh sb="4" eb="9">
      <t>テンケンコウセッチ</t>
    </rPh>
    <rPh sb="15" eb="18">
      <t>シスイセン</t>
    </rPh>
    <rPh sb="24" eb="25">
      <t>ツキ</t>
    </rPh>
    <phoneticPr fontId="1"/>
  </si>
  <si>
    <t>島田 博子</t>
    <rPh sb="0" eb="2">
      <t>シマダ</t>
    </rPh>
    <rPh sb="3" eb="5">
      <t>ヒロコ</t>
    </rPh>
    <phoneticPr fontId="1"/>
  </si>
  <si>
    <t>048-686-4719</t>
    <phoneticPr fontId="1"/>
  </si>
  <si>
    <t>日立</t>
    <rPh sb="0" eb="2">
      <t>ヒタチ</t>
    </rPh>
    <phoneticPr fontId="1"/>
  </si>
  <si>
    <t>洗面所壁点検口設置する　ﾄｲﾚ床嵩上げ</t>
    <rPh sb="0" eb="4">
      <t>センメンジョカベ</t>
    </rPh>
    <rPh sb="4" eb="9">
      <t>テンケンコウセッチ</t>
    </rPh>
    <rPh sb="15" eb="16">
      <t>ユカ</t>
    </rPh>
    <rPh sb="16" eb="17">
      <t>カサ</t>
    </rPh>
    <rPh sb="17" eb="18">
      <t>ア</t>
    </rPh>
    <phoneticPr fontId="1"/>
  </si>
  <si>
    <t>星野 愛</t>
    <rPh sb="0" eb="2">
      <t>ホシノ</t>
    </rPh>
    <rPh sb="3" eb="4">
      <t>アイ</t>
    </rPh>
    <phoneticPr fontId="1"/>
  </si>
  <si>
    <t>080-3387-1475</t>
    <phoneticPr fontId="1"/>
  </si>
  <si>
    <t>TOTO</t>
    <phoneticPr fontId="1"/>
  </si>
  <si>
    <t>ﾄｲﾚ止水栓ｽﾄﾚｰﾅｰ付　洗面床FL→CF貼替OK　浴室壁開口鏡取付→費用かかること説明済み</t>
    <rPh sb="3" eb="6">
      <t>シスイセン</t>
    </rPh>
    <rPh sb="12" eb="13">
      <t>ツキ</t>
    </rPh>
    <rPh sb="14" eb="17">
      <t>センメンユカ</t>
    </rPh>
    <rPh sb="22" eb="24">
      <t>ハリカエ</t>
    </rPh>
    <rPh sb="27" eb="29">
      <t>ヨクシツ</t>
    </rPh>
    <rPh sb="29" eb="32">
      <t>カベカイコウ</t>
    </rPh>
    <rPh sb="32" eb="33">
      <t>カガミ</t>
    </rPh>
    <rPh sb="33" eb="35">
      <t>トリツケ</t>
    </rPh>
    <rPh sb="36" eb="38">
      <t>ヒヨウ</t>
    </rPh>
    <rPh sb="43" eb="46">
      <t>セツメイズ</t>
    </rPh>
    <phoneticPr fontId="1"/>
  </si>
  <si>
    <t>末弘 雅一</t>
    <rPh sb="0" eb="2">
      <t>スエヒロ</t>
    </rPh>
    <rPh sb="3" eb="4">
      <t>マサ</t>
    </rPh>
    <rPh sb="4" eb="5">
      <t>イチ</t>
    </rPh>
    <phoneticPr fontId="1"/>
  </si>
  <si>
    <t>090-4175-5100</t>
    <phoneticPr fontId="1"/>
  </si>
  <si>
    <t>浴室鏡ﾊﾟﾈﾙ脱着　</t>
    <rPh sb="0" eb="2">
      <t>ヨクシツ</t>
    </rPh>
    <rPh sb="2" eb="3">
      <t>カガミ</t>
    </rPh>
    <rPh sb="7" eb="9">
      <t>ダッチャク</t>
    </rPh>
    <phoneticPr fontId="1"/>
  </si>
  <si>
    <t>中村 哲夫</t>
    <rPh sb="0" eb="2">
      <t>ナカムラ</t>
    </rPh>
    <rPh sb="3" eb="5">
      <t>テツオ</t>
    </rPh>
    <phoneticPr fontId="1"/>
  </si>
  <si>
    <t>048-685-8336
080-1210-2140</t>
    <phoneticPr fontId="1"/>
  </si>
  <si>
    <t>JZ1116</t>
    <phoneticPr fontId="1"/>
  </si>
  <si>
    <t>浴室鏡裏開口　内装現状復旧希望　台所ひな段あり背板開口必要かも　普段住んでいないﾄｲﾚ仮復旧無し</t>
    <rPh sb="0" eb="2">
      <t>ヨクシツ</t>
    </rPh>
    <rPh sb="2" eb="6">
      <t>カガミウラカイコウ</t>
    </rPh>
    <rPh sb="7" eb="9">
      <t>ナイソウ</t>
    </rPh>
    <rPh sb="9" eb="15">
      <t>ゲンジョウフッキュウキボウ</t>
    </rPh>
    <rPh sb="16" eb="18">
      <t>ダイドコロ</t>
    </rPh>
    <rPh sb="20" eb="21">
      <t>ダン</t>
    </rPh>
    <rPh sb="23" eb="25">
      <t>セイタ</t>
    </rPh>
    <rPh sb="25" eb="29">
      <t>カイコウヒツヨウ</t>
    </rPh>
    <rPh sb="32" eb="35">
      <t>フダンス</t>
    </rPh>
    <rPh sb="43" eb="47">
      <t>カリフッキュウナ</t>
    </rPh>
    <phoneticPr fontId="1"/>
  </si>
  <si>
    <t>大田 光子</t>
    <rPh sb="0" eb="2">
      <t>オオタ</t>
    </rPh>
    <rPh sb="3" eb="5">
      <t>ヒカルコ</t>
    </rPh>
    <phoneticPr fontId="1"/>
  </si>
  <si>
    <t>048-686-4767
090-1693-3689</t>
    <phoneticPr fontId="1"/>
  </si>
  <si>
    <t>750+450ｷｬﾋﾞ</t>
    <phoneticPr fontId="1"/>
  </si>
  <si>
    <t>増田 洋一</t>
    <rPh sb="0" eb="2">
      <t>マスダ</t>
    </rPh>
    <rPh sb="3" eb="5">
      <t>ヨウイチ</t>
    </rPh>
    <phoneticPr fontId="1"/>
  </si>
  <si>
    <t>048-686-4744
080-3151-1161</t>
    <phoneticPr fontId="1"/>
  </si>
  <si>
    <t>浴室ｴﾌﾟﾛﾝ内点検口設置</t>
    <rPh sb="0" eb="2">
      <t>ヨクシツ</t>
    </rPh>
    <rPh sb="7" eb="8">
      <t>ナイ</t>
    </rPh>
    <rPh sb="8" eb="13">
      <t>テンケンコウセッチ</t>
    </rPh>
    <phoneticPr fontId="1"/>
  </si>
  <si>
    <t>折原 潔</t>
    <rPh sb="0" eb="2">
      <t>オリハラ</t>
    </rPh>
    <rPh sb="3" eb="4">
      <t>キヨシ</t>
    </rPh>
    <phoneticPr fontId="1"/>
  </si>
  <si>
    <t>090-4740-1862</t>
    <phoneticPr fontId="1"/>
  </si>
  <si>
    <t>浴室ｴﾌﾟﾛﾝ内壁点検口設置　給湯管更新済み※部分的かも　二層式洗濯機</t>
    <rPh sb="0" eb="2">
      <t>ヨクシツ</t>
    </rPh>
    <rPh sb="7" eb="8">
      <t>ナイ</t>
    </rPh>
    <rPh sb="8" eb="14">
      <t>カベテンケンコウセッチ</t>
    </rPh>
    <rPh sb="15" eb="18">
      <t>キュウトウカン</t>
    </rPh>
    <rPh sb="18" eb="21">
      <t>コウシンズ</t>
    </rPh>
    <rPh sb="23" eb="26">
      <t>ブブンテキ</t>
    </rPh>
    <rPh sb="29" eb="32">
      <t>ニソウシキ</t>
    </rPh>
    <rPh sb="32" eb="35">
      <t>センタクキ</t>
    </rPh>
    <phoneticPr fontId="1"/>
  </si>
  <si>
    <t>山本 園</t>
    <rPh sb="0" eb="2">
      <t>ヤマモト</t>
    </rPh>
    <rPh sb="3" eb="4">
      <t>エン</t>
    </rPh>
    <phoneticPr fontId="1"/>
  </si>
  <si>
    <t>090-6030-2331</t>
    <phoneticPr fontId="1"/>
  </si>
  <si>
    <t>ﾄｲﾚ止水栓D式ｱﾝｸﾞﾙ　モール立ち上げの為、洗濯パンを洗面台に寄せる</t>
    <rPh sb="3" eb="6">
      <t>シスイセン</t>
    </rPh>
    <rPh sb="7" eb="8">
      <t>シキ</t>
    </rPh>
    <rPh sb="17" eb="18">
      <t>タ</t>
    </rPh>
    <rPh sb="19" eb="20">
      <t>ア</t>
    </rPh>
    <rPh sb="22" eb="23">
      <t>タメ</t>
    </rPh>
    <rPh sb="24" eb="26">
      <t>センタク</t>
    </rPh>
    <rPh sb="29" eb="32">
      <t>センメンダイ</t>
    </rPh>
    <rPh sb="33" eb="34">
      <t>ヨ</t>
    </rPh>
    <phoneticPr fontId="1"/>
  </si>
  <si>
    <t>筧 由勝</t>
    <rPh sb="0" eb="1">
      <t>カケイ</t>
    </rPh>
    <rPh sb="2" eb="3">
      <t>ヨシ</t>
    </rPh>
    <rPh sb="3" eb="4">
      <t>カツ</t>
    </rPh>
    <phoneticPr fontId="1"/>
  </si>
  <si>
    <t>048-683-9252</t>
    <phoneticPr fontId="1"/>
  </si>
  <si>
    <t>岩瀬 一也</t>
    <rPh sb="0" eb="2">
      <t>イワセ</t>
    </rPh>
    <rPh sb="3" eb="5">
      <t>カズヤ</t>
    </rPh>
    <phoneticPr fontId="1"/>
  </si>
  <si>
    <t>080-5466-1894(夫)
090-30035260(妻)</t>
    <rPh sb="14" eb="15">
      <t>オット</t>
    </rPh>
    <rPh sb="30" eb="31">
      <t>ツマ</t>
    </rPh>
    <phoneticPr fontId="1"/>
  </si>
  <si>
    <t>一体型</t>
    <phoneticPr fontId="1"/>
  </si>
  <si>
    <t>パネル</t>
    <phoneticPr fontId="1"/>
  </si>
  <si>
    <t>740+600ｷｬﾋﾞ</t>
    <phoneticPr fontId="1"/>
  </si>
  <si>
    <t>日立</t>
    <rPh sb="0" eb="2">
      <t>ヒタチ</t>
    </rPh>
    <phoneticPr fontId="1"/>
  </si>
  <si>
    <t>山本 修一郎</t>
    <rPh sb="0" eb="2">
      <t>ヤマモト</t>
    </rPh>
    <rPh sb="3" eb="6">
      <t>シュウイチロウ</t>
    </rPh>
    <phoneticPr fontId="1"/>
  </si>
  <si>
    <t>090-2658-3317</t>
    <phoneticPr fontId="1"/>
  </si>
  <si>
    <t>エプロン内部材接続　食洗器あり　工事期間中不在にするかも</t>
    <rPh sb="4" eb="9">
      <t>ナイブザイセツゾク</t>
    </rPh>
    <rPh sb="10" eb="13">
      <t>ショクセンキ</t>
    </rPh>
    <rPh sb="16" eb="21">
      <t>コウジキカンチュウ</t>
    </rPh>
    <rPh sb="21" eb="23">
      <t>フザイ</t>
    </rPh>
    <phoneticPr fontId="1"/>
  </si>
  <si>
    <t>卯沢 次夫</t>
    <rPh sb="0" eb="1">
      <t>ウ</t>
    </rPh>
    <rPh sb="1" eb="2">
      <t>サワ</t>
    </rPh>
    <rPh sb="3" eb="5">
      <t>ツグオ</t>
    </rPh>
    <phoneticPr fontId="1"/>
  </si>
  <si>
    <t>090-4078-1998</t>
    <phoneticPr fontId="1"/>
  </si>
  <si>
    <t>900+450ｷｬﾋﾞ</t>
    <phoneticPr fontId="1"/>
  </si>
  <si>
    <t>給湯管更新済み→全更新希望　隠蔽配管検討　エプロン内部材接続</t>
    <rPh sb="0" eb="3">
      <t>キュウトウカン</t>
    </rPh>
    <rPh sb="3" eb="6">
      <t>コウシンズ</t>
    </rPh>
    <rPh sb="7" eb="13">
      <t>ヤジルシゼンコウシンキボウ</t>
    </rPh>
    <rPh sb="14" eb="16">
      <t>インペイ</t>
    </rPh>
    <rPh sb="16" eb="18">
      <t>ハイカン</t>
    </rPh>
    <rPh sb="18" eb="20">
      <t>ケントウ</t>
    </rPh>
    <rPh sb="25" eb="30">
      <t>ナイブザイセツゾク</t>
    </rPh>
    <phoneticPr fontId="1"/>
  </si>
  <si>
    <t>杵渕 勉</t>
    <rPh sb="0" eb="2">
      <t>キブチ</t>
    </rPh>
    <rPh sb="3" eb="4">
      <t>ツトム</t>
    </rPh>
    <phoneticPr fontId="1"/>
  </si>
  <si>
    <t>048-688-3493</t>
    <phoneticPr fontId="1"/>
  </si>
  <si>
    <t>洗面所壁点検口設置　台所既存トラップ　ﾄｲﾚ止水栓D式ｱﾝｸﾞﾙ</t>
    <rPh sb="0" eb="9">
      <t>センメンジョカベテンケンコウセッチ</t>
    </rPh>
    <rPh sb="10" eb="12">
      <t>ダイドコロ</t>
    </rPh>
    <rPh sb="12" eb="14">
      <t>キゾン</t>
    </rPh>
    <rPh sb="22" eb="25">
      <t>シスイセン</t>
    </rPh>
    <rPh sb="26" eb="27">
      <t>シキ</t>
    </rPh>
    <phoneticPr fontId="1"/>
  </si>
  <si>
    <t>須永 栄一</t>
    <rPh sb="0" eb="2">
      <t>スナガ</t>
    </rPh>
    <rPh sb="3" eb="5">
      <t>エイイチ</t>
    </rPh>
    <phoneticPr fontId="1"/>
  </si>
  <si>
    <t>048-686-4771
090-4710-7246</t>
    <phoneticPr fontId="1"/>
  </si>
  <si>
    <t>柏木 克信</t>
    <rPh sb="0" eb="2">
      <t>カシワギ</t>
    </rPh>
    <rPh sb="3" eb="5">
      <t>カツノブ</t>
    </rPh>
    <phoneticPr fontId="1"/>
  </si>
  <si>
    <t>090-2152-2367</t>
    <phoneticPr fontId="1"/>
  </si>
  <si>
    <t>ﾄｲﾚ止水栓D式ｱﾝｸﾞﾙ　電気止めているが工事期間中は使えるようにしてくれる　</t>
    <rPh sb="3" eb="6">
      <t>シスイセン</t>
    </rPh>
    <rPh sb="7" eb="8">
      <t>シキ</t>
    </rPh>
    <rPh sb="14" eb="17">
      <t>デンキト</t>
    </rPh>
    <rPh sb="22" eb="27">
      <t>コウジキカンチュウ</t>
    </rPh>
    <rPh sb="28" eb="29">
      <t>ツカ</t>
    </rPh>
    <phoneticPr fontId="1"/>
  </si>
  <si>
    <t>富吉 紀天</t>
    <rPh sb="0" eb="2">
      <t>トミヨシ</t>
    </rPh>
    <rPh sb="3" eb="4">
      <t>ノリ</t>
    </rPh>
    <rPh sb="4" eb="5">
      <t>テン</t>
    </rPh>
    <phoneticPr fontId="1"/>
  </si>
  <si>
    <t>048-684-5207
080-3126-6394</t>
    <phoneticPr fontId="1"/>
  </si>
  <si>
    <t>浴室デッキタイプ　洗面所壁点検口設置　洗面所床塩ﾋﾞﾀｲﾙ→CF貼替OK　台所既存ﾄﾗｯﾌﾟ</t>
    <rPh sb="0" eb="2">
      <t>ヨクシツ</t>
    </rPh>
    <rPh sb="9" eb="13">
      <t>センメンジョカベ</t>
    </rPh>
    <rPh sb="13" eb="16">
      <t>テンケンコウ</t>
    </rPh>
    <rPh sb="16" eb="18">
      <t>セッチ</t>
    </rPh>
    <rPh sb="19" eb="22">
      <t>センメンジョ</t>
    </rPh>
    <rPh sb="22" eb="23">
      <t>ユカ</t>
    </rPh>
    <rPh sb="23" eb="24">
      <t>エン</t>
    </rPh>
    <rPh sb="32" eb="34">
      <t>ハリカエ</t>
    </rPh>
    <rPh sb="37" eb="39">
      <t>ダイドコロ</t>
    </rPh>
    <rPh sb="39" eb="41">
      <t>キゾン</t>
    </rPh>
    <phoneticPr fontId="1"/>
  </si>
  <si>
    <t>古俣 悟</t>
    <rPh sb="0" eb="2">
      <t>コマタ</t>
    </rPh>
    <rPh sb="3" eb="4">
      <t>サトル</t>
    </rPh>
    <phoneticPr fontId="1"/>
  </si>
  <si>
    <t>090-2443-1791</t>
    <phoneticPr fontId="1"/>
  </si>
  <si>
    <t>浴室ｴﾌﾟﾛﾝ内点検口設置　OPでﾘﾌｫｰﾑ検討中　ﾄｲﾚ仮復旧無し　</t>
    <rPh sb="0" eb="2">
      <t>ヨクシツ</t>
    </rPh>
    <rPh sb="7" eb="8">
      <t>ナイ</t>
    </rPh>
    <rPh sb="8" eb="13">
      <t>テンケンコウセッチ</t>
    </rPh>
    <rPh sb="22" eb="25">
      <t>ケントウチュウ</t>
    </rPh>
    <rPh sb="29" eb="33">
      <t>カリフッキュウナ</t>
    </rPh>
    <phoneticPr fontId="1"/>
  </si>
  <si>
    <t>田口 義徳</t>
    <rPh sb="0" eb="2">
      <t>タグチ</t>
    </rPh>
    <rPh sb="3" eb="4">
      <t>ヨシ</t>
    </rPh>
    <rPh sb="4" eb="5">
      <t>トク</t>
    </rPh>
    <phoneticPr fontId="1"/>
  </si>
  <si>
    <t>08-686-1830
090-2470-7225</t>
    <phoneticPr fontId="1"/>
  </si>
  <si>
    <t>740+800ｷｬﾋﾞ</t>
    <phoneticPr fontId="1"/>
  </si>
  <si>
    <t>金子 貴美子</t>
    <rPh sb="0" eb="2">
      <t>カネコ</t>
    </rPh>
    <rPh sb="3" eb="6">
      <t>キミコ</t>
    </rPh>
    <phoneticPr fontId="1"/>
  </si>
  <si>
    <t>048-682-6575</t>
    <phoneticPr fontId="1"/>
  </si>
  <si>
    <t>ｴﾌﾟﾛﾝ内点検口設置　台所既存ﾄﾗｯﾌﾟ　洗面所既存CFの上にFL貼ってある</t>
    <rPh sb="5" eb="11">
      <t>ナイテンケンコウセッチ</t>
    </rPh>
    <rPh sb="12" eb="16">
      <t>ダイドコロキゾン</t>
    </rPh>
    <rPh sb="22" eb="25">
      <t>センメンジョ</t>
    </rPh>
    <rPh sb="25" eb="27">
      <t>キゾン</t>
    </rPh>
    <rPh sb="30" eb="31">
      <t>ウエ</t>
    </rPh>
    <rPh sb="34" eb="35">
      <t>ハ</t>
    </rPh>
    <phoneticPr fontId="1"/>
  </si>
  <si>
    <t>金子 泰代</t>
    <rPh sb="0" eb="2">
      <t>カネコ</t>
    </rPh>
    <rPh sb="3" eb="4">
      <t>タイ</t>
    </rPh>
    <rPh sb="4" eb="5">
      <t>ヨ</t>
    </rPh>
    <phoneticPr fontId="1"/>
  </si>
  <si>
    <t>080-7745-6545</t>
    <phoneticPr fontId="1"/>
  </si>
  <si>
    <t>覚地 リリア</t>
    <rPh sb="0" eb="2">
      <t>カクチ</t>
    </rPh>
    <phoneticPr fontId="1"/>
  </si>
  <si>
    <t>048-688-5009</t>
    <phoneticPr fontId="1"/>
  </si>
  <si>
    <t>洗面所壁点検口設置　ﾄｲﾚ止水栓ｽﾄﾚｰﾅｰ付　</t>
    <rPh sb="0" eb="3">
      <t>センメンジョ</t>
    </rPh>
    <rPh sb="3" eb="9">
      <t>カベテンケンコウセッチ</t>
    </rPh>
    <rPh sb="13" eb="16">
      <t>シスイセン</t>
    </rPh>
    <rPh sb="22" eb="23">
      <t>ツキ</t>
    </rPh>
    <phoneticPr fontId="1"/>
  </si>
  <si>
    <t>洗面所壁点検口設置　ﾄｲﾚ止水栓D式ｱﾝｸﾞﾙ　</t>
    <rPh sb="0" eb="3">
      <t>センメンジョ</t>
    </rPh>
    <rPh sb="3" eb="9">
      <t>カベテンケンコウセッチ</t>
    </rPh>
    <rPh sb="13" eb="16">
      <t>シスイセン</t>
    </rPh>
    <rPh sb="17" eb="18">
      <t>シキ</t>
    </rPh>
    <phoneticPr fontId="1"/>
  </si>
  <si>
    <t>坂 和彦</t>
    <rPh sb="0" eb="1">
      <t>サカ</t>
    </rPh>
    <rPh sb="2" eb="4">
      <t>カズヒコ</t>
    </rPh>
    <phoneticPr fontId="1"/>
  </si>
  <si>
    <t>048-685-6186
070-2657-6194</t>
    <phoneticPr fontId="1"/>
  </si>
  <si>
    <t>JZ1116</t>
    <phoneticPr fontId="1"/>
  </si>
  <si>
    <t>ｴﾌﾟﾛﾝ内点検口設置　</t>
    <rPh sb="5" eb="8">
      <t>テンケンコウ</t>
    </rPh>
    <rPh sb="8" eb="10">
      <t>セッチ</t>
    </rPh>
    <rPh sb="10" eb="11">
      <t>　</t>
    </rPh>
    <phoneticPr fontId="1"/>
  </si>
  <si>
    <t>倉沢 美千代</t>
    <rPh sb="0" eb="2">
      <t>クラサワ</t>
    </rPh>
    <rPh sb="3" eb="6">
      <t>ミチヨ</t>
    </rPh>
    <phoneticPr fontId="1"/>
  </si>
  <si>
    <t>090-9637-0632</t>
    <phoneticPr fontId="1"/>
  </si>
  <si>
    <t>タカラスタンダード</t>
    <phoneticPr fontId="1"/>
  </si>
  <si>
    <t>青木 健雄</t>
    <rPh sb="0" eb="2">
      <t>アオキ</t>
    </rPh>
    <rPh sb="3" eb="4">
      <t>ケン</t>
    </rPh>
    <rPh sb="4" eb="5">
      <t>オ</t>
    </rPh>
    <phoneticPr fontId="1"/>
  </si>
  <si>
    <t>090-4601-5614</t>
    <phoneticPr fontId="1"/>
  </si>
  <si>
    <t>900+450ｷｬﾋﾞ</t>
    <phoneticPr fontId="1"/>
  </si>
  <si>
    <t>会沢 謙治</t>
    <rPh sb="0" eb="2">
      <t>アイザワ</t>
    </rPh>
    <rPh sb="3" eb="5">
      <t>ケンジ</t>
    </rPh>
    <phoneticPr fontId="1"/>
  </si>
  <si>
    <t>048-686-4758</t>
    <phoneticPr fontId="1"/>
  </si>
  <si>
    <t>浴室ｴﾌﾟﾛﾝ内点検口設置　ﾄｲﾚ止水栓ｽﾄﾚｰﾅｰ付　給湯管更新済み→全更新希望　洗面所床鳴りする</t>
    <rPh sb="0" eb="2">
      <t>ヨクシツ</t>
    </rPh>
    <rPh sb="7" eb="13">
      <t>ナイテンケンコウセッチ</t>
    </rPh>
    <rPh sb="17" eb="20">
      <t>シスイセン</t>
    </rPh>
    <rPh sb="26" eb="27">
      <t>ツキ</t>
    </rPh>
    <rPh sb="28" eb="34">
      <t>キュウトウカンコウシンズ</t>
    </rPh>
    <rPh sb="35" eb="41">
      <t>ヤジルシゼンコウシンキボウ</t>
    </rPh>
    <rPh sb="42" eb="45">
      <t>センメンジョ</t>
    </rPh>
    <rPh sb="45" eb="47">
      <t>ユカナ</t>
    </rPh>
    <phoneticPr fontId="1"/>
  </si>
  <si>
    <t>斉藤 攻</t>
    <rPh sb="0" eb="2">
      <t>サイトウ</t>
    </rPh>
    <rPh sb="3" eb="4">
      <t>コウ</t>
    </rPh>
    <phoneticPr fontId="1"/>
  </si>
  <si>
    <t>048-685-3599
090-3336-3599</t>
    <phoneticPr fontId="1"/>
  </si>
  <si>
    <t>浴室ｴﾌﾟﾛﾝ内点検口設置　洗面所床塩ﾋﾞﾀｲﾙ→CF　給湯管更新済み</t>
    <rPh sb="0" eb="2">
      <t>ヨクシツ</t>
    </rPh>
    <rPh sb="7" eb="8">
      <t>ナイ</t>
    </rPh>
    <rPh sb="8" eb="13">
      <t>テンケンコウセッチ</t>
    </rPh>
    <rPh sb="14" eb="17">
      <t>センメンジョ</t>
    </rPh>
    <rPh sb="17" eb="18">
      <t>ユカ</t>
    </rPh>
    <rPh sb="18" eb="19">
      <t>エン</t>
    </rPh>
    <rPh sb="28" eb="34">
      <t>キュウトウカンコウシンズ</t>
    </rPh>
    <phoneticPr fontId="1"/>
  </si>
  <si>
    <t>板垣 多美子</t>
    <rPh sb="0" eb="2">
      <t>イタガキ</t>
    </rPh>
    <rPh sb="3" eb="6">
      <t>タミコ</t>
    </rPh>
    <phoneticPr fontId="1"/>
  </si>
  <si>
    <t>048-686-4760</t>
    <phoneticPr fontId="1"/>
  </si>
  <si>
    <t>浴室ｴﾌﾟﾛﾝ内部材接続　給湯管更新済み→全更新希望　ﾄｲﾚ止水栓D式ｱﾝｸﾞﾙ</t>
    <rPh sb="0" eb="2">
      <t>ヨクシツ</t>
    </rPh>
    <rPh sb="7" eb="12">
      <t>ナイブザイセツゾク</t>
    </rPh>
    <rPh sb="13" eb="19">
      <t>キュウトウカンコウシンズ</t>
    </rPh>
    <rPh sb="20" eb="26">
      <t>ヤジルシゼンコウシンキボウ</t>
    </rPh>
    <rPh sb="30" eb="33">
      <t>シスイセン</t>
    </rPh>
    <rPh sb="34" eb="35">
      <t>シキ</t>
    </rPh>
    <phoneticPr fontId="1"/>
  </si>
  <si>
    <t>金山 充子</t>
    <rPh sb="0" eb="2">
      <t>カネヤマ</t>
    </rPh>
    <rPh sb="3" eb="5">
      <t>ミツコ</t>
    </rPh>
    <phoneticPr fontId="1"/>
  </si>
  <si>
    <t>084-686-2320</t>
    <phoneticPr fontId="1"/>
  </si>
  <si>
    <t>レストパル</t>
  </si>
  <si>
    <t>浴室ｴﾌﾟﾛﾝ内部材接続　</t>
    <rPh sb="0" eb="2">
      <t>ヨクシツ</t>
    </rPh>
    <rPh sb="7" eb="12">
      <t>ナイブザイセツゾク</t>
    </rPh>
    <phoneticPr fontId="1"/>
  </si>
  <si>
    <t>青木 眞理子</t>
    <rPh sb="0" eb="2">
      <t>アオキ</t>
    </rPh>
    <rPh sb="3" eb="6">
      <t>マリコ</t>
    </rPh>
    <phoneticPr fontId="1"/>
  </si>
  <si>
    <t>048-686-4126
090-5565-3689</t>
    <phoneticPr fontId="1"/>
  </si>
  <si>
    <t>740+450ｷｬﾋﾞ</t>
    <phoneticPr fontId="1"/>
  </si>
  <si>
    <t>048-686-5183</t>
    <phoneticPr fontId="1"/>
  </si>
  <si>
    <t>浴室ｴﾌﾟﾛﾝ内部材接続蛇口２つ　食洗器あり　玄関収納内ペンキ塗り→ベニヤ復旧</t>
    <rPh sb="0" eb="2">
      <t>ヨクシツ</t>
    </rPh>
    <rPh sb="7" eb="12">
      <t>ナイブザイセツゾク</t>
    </rPh>
    <rPh sb="12" eb="14">
      <t>ジャグチ</t>
    </rPh>
    <rPh sb="17" eb="20">
      <t>ショクセンキ</t>
    </rPh>
    <rPh sb="23" eb="28">
      <t>ゲンカンシュウノウナイ</t>
    </rPh>
    <rPh sb="31" eb="32">
      <t>ヌ</t>
    </rPh>
    <rPh sb="37" eb="39">
      <t>フッキュウ</t>
    </rPh>
    <phoneticPr fontId="1"/>
  </si>
  <si>
    <t>秋本 登</t>
    <rPh sb="0" eb="2">
      <t>アキモト</t>
    </rPh>
    <rPh sb="3" eb="4">
      <t>ノボル</t>
    </rPh>
    <phoneticPr fontId="1"/>
  </si>
  <si>
    <t>小助川 修</t>
    <rPh sb="0" eb="3">
      <t>コスケガワ</t>
    </rPh>
    <rPh sb="4" eb="5">
      <t>オサム</t>
    </rPh>
    <phoneticPr fontId="1"/>
  </si>
  <si>
    <t>048-683-3591
070-2161-8782</t>
    <phoneticPr fontId="1"/>
  </si>
  <si>
    <t>JB1116</t>
    <phoneticPr fontId="1"/>
  </si>
  <si>
    <t>小松 浩子</t>
    <rPh sb="0" eb="2">
      <t>コマツ</t>
    </rPh>
    <rPh sb="3" eb="5">
      <t>ヒロコ</t>
    </rPh>
    <phoneticPr fontId="1"/>
  </si>
  <si>
    <t>080-5502-1058</t>
    <phoneticPr fontId="1"/>
  </si>
  <si>
    <t>給水給湯管更新済み排水立管のみ　ﾄｲﾚ作業のみ　三日目入室無し　洗濯水栓交換しない　</t>
    <rPh sb="0" eb="5">
      <t>キュウスイキュウトウカン</t>
    </rPh>
    <rPh sb="5" eb="8">
      <t>コウシンズ</t>
    </rPh>
    <rPh sb="9" eb="13">
      <t>ハイスイタテカン</t>
    </rPh>
    <rPh sb="19" eb="21">
      <t>サギョウ</t>
    </rPh>
    <rPh sb="24" eb="27">
      <t>ミッカメ</t>
    </rPh>
    <rPh sb="27" eb="30">
      <t>ニュウシツナ</t>
    </rPh>
    <rPh sb="32" eb="36">
      <t>センタクスイセン</t>
    </rPh>
    <rPh sb="36" eb="38">
      <t>コウカン</t>
    </rPh>
    <phoneticPr fontId="1"/>
  </si>
  <si>
    <t>坪山 和幸</t>
    <rPh sb="0" eb="2">
      <t>ツボヤマ</t>
    </rPh>
    <rPh sb="3" eb="5">
      <t>カズユキ</t>
    </rPh>
    <phoneticPr fontId="1"/>
  </si>
  <si>
    <t>048-686-4762
090-1218-3532</t>
    <phoneticPr fontId="1"/>
  </si>
  <si>
    <t>浴室ｴﾌﾟﾛﾝ内部材接続　ﾄｲﾚ止水栓ｽﾄﾚｰﾅｰ付　器具廻りの給水給湯管更新済みだが全更新する</t>
    <rPh sb="0" eb="2">
      <t>ヨクシツ</t>
    </rPh>
    <rPh sb="7" eb="12">
      <t>ナイブザイセツゾク</t>
    </rPh>
    <rPh sb="16" eb="19">
      <t>シスイセン</t>
    </rPh>
    <rPh sb="25" eb="26">
      <t>ツキ</t>
    </rPh>
    <rPh sb="27" eb="29">
      <t>キグ</t>
    </rPh>
    <rPh sb="29" eb="30">
      <t>マワ</t>
    </rPh>
    <rPh sb="32" eb="37">
      <t>キュウスイキュウトウカン</t>
    </rPh>
    <rPh sb="37" eb="39">
      <t>コウシン</t>
    </rPh>
    <rPh sb="39" eb="40">
      <t>ズ</t>
    </rPh>
    <rPh sb="43" eb="46">
      <t>ゼンコウシン</t>
    </rPh>
    <phoneticPr fontId="1"/>
  </si>
  <si>
    <t>林 きみ江</t>
    <rPh sb="0" eb="1">
      <t>ハヤシ</t>
    </rPh>
    <rPh sb="4" eb="5">
      <t>エ</t>
    </rPh>
    <phoneticPr fontId="1"/>
  </si>
  <si>
    <t>坂口 嘉英</t>
    <rPh sb="0" eb="2">
      <t>サカグチ</t>
    </rPh>
    <rPh sb="3" eb="5">
      <t>ヨシヒデ</t>
    </rPh>
    <phoneticPr fontId="1"/>
  </si>
  <si>
    <t>048-686-4734</t>
    <phoneticPr fontId="1"/>
  </si>
  <si>
    <t>浴室ｴﾌﾟﾛﾝ内部材接続　ﾄｲﾚ洗面ｿﾌﾄ巾木　底板SUS→SUS復旧希望(見積り次第で検討)</t>
    <rPh sb="38" eb="40">
      <t>ミツモ</t>
    </rPh>
    <rPh sb="41" eb="43">
      <t>シダイ</t>
    </rPh>
    <rPh sb="44" eb="46">
      <t>ケントウ</t>
    </rPh>
    <phoneticPr fontId="1"/>
  </si>
  <si>
    <t>WRV1117UT・1693GW</t>
    <phoneticPr fontId="1"/>
  </si>
  <si>
    <t>JZV1117・172062</t>
    <phoneticPr fontId="1"/>
  </si>
  <si>
    <t>WBV1116JT・1814A2</t>
    <phoneticPr fontId="1"/>
  </si>
  <si>
    <t>WBV1117JT・190M9W</t>
    <phoneticPr fontId="1"/>
  </si>
  <si>
    <t>WZV1117・189261</t>
    <phoneticPr fontId="1"/>
  </si>
  <si>
    <t>WBV1117JT・1711D6</t>
    <phoneticPr fontId="1"/>
  </si>
  <si>
    <t>松下電工</t>
    <rPh sb="0" eb="2">
      <t>マツシタ</t>
    </rPh>
    <rPh sb="2" eb="4">
      <t>デンコウ</t>
    </rPh>
    <phoneticPr fontId="1"/>
  </si>
  <si>
    <t>WBV1117JN・182TFK</t>
    <phoneticPr fontId="1"/>
  </si>
  <si>
    <t>WBV1117JT・188XNO</t>
    <phoneticPr fontId="1"/>
  </si>
  <si>
    <t>WZV1117・198208</t>
    <phoneticPr fontId="1"/>
  </si>
  <si>
    <t>WRV1117・155DGY</t>
    <phoneticPr fontId="1"/>
  </si>
  <si>
    <t>WHV1216UT・1652LT</t>
    <phoneticPr fontId="1"/>
  </si>
  <si>
    <t>WRV1117・157EWJ</t>
    <phoneticPr fontId="1"/>
  </si>
  <si>
    <t>JZV1117・156224</t>
    <phoneticPr fontId="1"/>
  </si>
  <si>
    <t>JZV1117・137457</t>
    <phoneticPr fontId="1"/>
  </si>
  <si>
    <t>WZV1117・151BTS</t>
    <phoneticPr fontId="1"/>
  </si>
  <si>
    <t>WZV1117・147Y43</t>
    <phoneticPr fontId="1"/>
  </si>
  <si>
    <t>WZV1117・147DHK</t>
    <phoneticPr fontId="1"/>
  </si>
  <si>
    <t>RED1117</t>
    <phoneticPr fontId="1"/>
  </si>
  <si>
    <t>WRV1117・155H5K</t>
    <phoneticPr fontId="1"/>
  </si>
  <si>
    <t>WTV1116JN・1369TS</t>
    <phoneticPr fontId="1"/>
  </si>
  <si>
    <t>不明</t>
    <rPh sb="0" eb="2">
      <t>フメイ</t>
    </rPh>
    <phoneticPr fontId="1"/>
  </si>
  <si>
    <t>WTV1116JN・180MWK</t>
    <phoneticPr fontId="1"/>
  </si>
  <si>
    <t>JZC1117・177248</t>
    <phoneticPr fontId="1"/>
  </si>
  <si>
    <t>WBV1117・19314B</t>
    <phoneticPr fontId="1"/>
  </si>
  <si>
    <t>髙橋 チヅ子</t>
    <rPh sb="0" eb="2">
      <t>タカハシ</t>
    </rPh>
    <rPh sb="5" eb="6">
      <t>コ</t>
    </rPh>
    <phoneticPr fontId="1"/>
  </si>
  <si>
    <t>090-5826-9402</t>
    <phoneticPr fontId="1"/>
  </si>
  <si>
    <t>洗面所壁点検口設置　モール立ち上げの為洗面台位置変更　ﾄｲﾚ止水栓D式</t>
    <rPh sb="0" eb="4">
      <t>センメンジョカベ</t>
    </rPh>
    <rPh sb="4" eb="9">
      <t>テンケンコウセッチ</t>
    </rPh>
    <rPh sb="13" eb="14">
      <t>タ</t>
    </rPh>
    <rPh sb="15" eb="16">
      <t>ア</t>
    </rPh>
    <rPh sb="18" eb="19">
      <t>タメ</t>
    </rPh>
    <rPh sb="19" eb="24">
      <t>センメンダイイチ</t>
    </rPh>
    <rPh sb="24" eb="26">
      <t>ヘンコウ</t>
    </rPh>
    <rPh sb="30" eb="33">
      <t>シスイセン</t>
    </rPh>
    <rPh sb="34" eb="35">
      <t>シキ</t>
    </rPh>
    <phoneticPr fontId="1"/>
  </si>
  <si>
    <t>清田 義夫</t>
    <rPh sb="0" eb="2">
      <t>キヨタ</t>
    </rPh>
    <rPh sb="3" eb="5">
      <t>ヨシオ</t>
    </rPh>
    <phoneticPr fontId="1"/>
  </si>
  <si>
    <t>048-687-8893</t>
    <phoneticPr fontId="1"/>
  </si>
  <si>
    <t>W80980498・718408A
BPR-1116LBE</t>
    <phoneticPr fontId="1"/>
  </si>
  <si>
    <t>シンク下引き出しなしCF続いてる　ひな段なので開口はなし　給湯管更新済み→全更新希望</t>
    <rPh sb="3" eb="4">
      <t>シタ</t>
    </rPh>
    <rPh sb="4" eb="5">
      <t>ヒ</t>
    </rPh>
    <rPh sb="6" eb="7">
      <t>ダ</t>
    </rPh>
    <rPh sb="12" eb="13">
      <t>ツヅ</t>
    </rPh>
    <rPh sb="19" eb="20">
      <t>ダン</t>
    </rPh>
    <rPh sb="23" eb="25">
      <t>カイコウ</t>
    </rPh>
    <rPh sb="29" eb="32">
      <t>キュウトウカン</t>
    </rPh>
    <rPh sb="32" eb="34">
      <t>コウシン</t>
    </rPh>
    <rPh sb="34" eb="35">
      <t>ズ</t>
    </rPh>
    <rPh sb="37" eb="38">
      <t>ゼン</t>
    </rPh>
    <rPh sb="38" eb="40">
      <t>コウシン</t>
    </rPh>
    <rPh sb="40" eb="42">
      <t>キボウ</t>
    </rPh>
    <phoneticPr fontId="1"/>
  </si>
  <si>
    <t>WZV1117 ・148HB6</t>
    <phoneticPr fontId="1"/>
  </si>
  <si>
    <t>ﾔﾏﾊﾘﾋﾞﾝｸﾞﾃｯｸ</t>
    <phoneticPr fontId="1"/>
  </si>
  <si>
    <t>WZV1117・1493XV</t>
    <phoneticPr fontId="1"/>
  </si>
  <si>
    <t>WBV11117JT・136JJY</t>
    <phoneticPr fontId="1"/>
  </si>
  <si>
    <t>WRV1216UT・167CRR</t>
    <phoneticPr fontId="1"/>
  </si>
  <si>
    <t>中島 勘寿</t>
    <rPh sb="0" eb="2">
      <t>ナカジマ</t>
    </rPh>
    <rPh sb="3" eb="4">
      <t>カン</t>
    </rPh>
    <rPh sb="4" eb="5">
      <t>ジュ</t>
    </rPh>
    <phoneticPr fontId="1"/>
  </si>
  <si>
    <t>090-4021-1973</t>
    <phoneticPr fontId="1"/>
  </si>
  <si>
    <t>漆喰</t>
    <rPh sb="0" eb="2">
      <t>シックイ</t>
    </rPh>
    <phoneticPr fontId="1"/>
  </si>
  <si>
    <t>WRV1316・152M41</t>
    <phoneticPr fontId="1"/>
  </si>
  <si>
    <t>洗濯機位置移動　　洗面所巾木途中まで木巾木ほぼｿﾌﾄ巾木</t>
    <rPh sb="0" eb="3">
      <t>センタクキ</t>
    </rPh>
    <rPh sb="3" eb="7">
      <t>イチイドウ</t>
    </rPh>
    <rPh sb="9" eb="11">
      <t>センメン</t>
    </rPh>
    <rPh sb="11" eb="12">
      <t>ジョ</t>
    </rPh>
    <rPh sb="12" eb="14">
      <t>ハバキ</t>
    </rPh>
    <rPh sb="14" eb="16">
      <t>トチュウ</t>
    </rPh>
    <rPh sb="18" eb="21">
      <t>モクハバキ</t>
    </rPh>
    <rPh sb="26" eb="28">
      <t>ハバキ</t>
    </rPh>
    <phoneticPr fontId="1"/>
  </si>
  <si>
    <t>新山 忠行</t>
    <rPh sb="0" eb="2">
      <t>ニイヤマ</t>
    </rPh>
    <rPh sb="3" eb="5">
      <t>タダユキ</t>
    </rPh>
    <phoneticPr fontId="1"/>
  </si>
  <si>
    <t>048-686-4713</t>
    <phoneticPr fontId="1"/>
  </si>
  <si>
    <t>730+300ｷｬﾋﾞ</t>
    <phoneticPr fontId="1"/>
  </si>
  <si>
    <t>WZV1117・153957</t>
    <phoneticPr fontId="1"/>
  </si>
  <si>
    <t>清水 卓</t>
    <rPh sb="0" eb="2">
      <t>シミズ</t>
    </rPh>
    <rPh sb="3" eb="4">
      <t>スグル</t>
    </rPh>
    <phoneticPr fontId="1"/>
  </si>
  <si>
    <t>090-7944-1766</t>
    <phoneticPr fontId="1"/>
  </si>
  <si>
    <t>WZV1117・146C4E</t>
    <phoneticPr fontId="1"/>
  </si>
  <si>
    <t>大貫 雄次</t>
    <rPh sb="0" eb="2">
      <t>オオヌキ</t>
    </rPh>
    <rPh sb="3" eb="5">
      <t>ユウジ</t>
    </rPh>
    <phoneticPr fontId="1"/>
  </si>
  <si>
    <t>048-687-4630</t>
    <phoneticPr fontId="1"/>
  </si>
  <si>
    <t>750+300ｷｬﾋﾞ</t>
    <phoneticPr fontId="1"/>
  </si>
  <si>
    <t>WZV1117・133873</t>
    <phoneticPr fontId="1"/>
  </si>
  <si>
    <t>ﾄｲﾚ止水栓D式　ﾄｲﾚ仮復旧無し</t>
    <rPh sb="3" eb="6">
      <t>シスイセン</t>
    </rPh>
    <rPh sb="7" eb="8">
      <t>シキ</t>
    </rPh>
    <rPh sb="12" eb="16">
      <t>カリフッキュウナ</t>
    </rPh>
    <phoneticPr fontId="1"/>
  </si>
  <si>
    <t>WRV1117・158HSB</t>
    <phoneticPr fontId="1"/>
  </si>
  <si>
    <t xml:space="preserve">WZV1117・150006 </t>
    <phoneticPr fontId="1"/>
  </si>
  <si>
    <t>WZV1117 ・170493</t>
    <phoneticPr fontId="1"/>
  </si>
  <si>
    <t>WBV1117JT・173WJQ</t>
    <phoneticPr fontId="1"/>
  </si>
  <si>
    <t>WBV1116JT・1496HJ</t>
    <phoneticPr fontId="1"/>
  </si>
  <si>
    <t>WRV1117・166Y4A</t>
    <phoneticPr fontId="1"/>
  </si>
  <si>
    <t>森田 篤</t>
    <rPh sb="0" eb="2">
      <t>モリタ</t>
    </rPh>
    <rPh sb="3" eb="4">
      <t>アツシ</t>
    </rPh>
    <phoneticPr fontId="1"/>
  </si>
  <si>
    <t>048-683-2785
090-3909-3707</t>
    <phoneticPr fontId="1"/>
  </si>
  <si>
    <t>WYV1216AK・167A8H</t>
    <phoneticPr fontId="1"/>
  </si>
  <si>
    <t>浴室ｴﾌﾟﾛﾝ内部材接続　ひな段　給湯器配管交換無し</t>
    <rPh sb="15" eb="16">
      <t>ダン</t>
    </rPh>
    <rPh sb="17" eb="20">
      <t>キュウトウキ</t>
    </rPh>
    <rPh sb="20" eb="25">
      <t>ハイカンコウカンナ</t>
    </rPh>
    <phoneticPr fontId="1"/>
  </si>
  <si>
    <t>島野 洋子</t>
    <rPh sb="0" eb="2">
      <t>シマノ</t>
    </rPh>
    <rPh sb="3" eb="5">
      <t>ヨウコ</t>
    </rPh>
    <phoneticPr fontId="1"/>
  </si>
  <si>
    <t>048-686-4759</t>
    <phoneticPr fontId="1"/>
  </si>
  <si>
    <t>WRV1117・1605RY</t>
    <phoneticPr fontId="1"/>
  </si>
  <si>
    <t>浴室ｴﾌﾟﾛﾝ内部材接続　洗濯モール巾木上からかぶせる　ﾄｲﾚ吊戸棚脱着　給湯管更新済み→全更新希望</t>
    <rPh sb="0" eb="2">
      <t>ヨクシツ</t>
    </rPh>
    <rPh sb="7" eb="12">
      <t>ナイブザイセツゾク</t>
    </rPh>
    <rPh sb="13" eb="15">
      <t>センタク</t>
    </rPh>
    <rPh sb="18" eb="21">
      <t>ハバキウエ</t>
    </rPh>
    <rPh sb="31" eb="34">
      <t>ツリトダナ</t>
    </rPh>
    <rPh sb="34" eb="36">
      <t>ダッチャク</t>
    </rPh>
    <rPh sb="37" eb="43">
      <t>キュウトウカンコウシンズ</t>
    </rPh>
    <rPh sb="44" eb="50">
      <t>ヤジルシゼンコウシンキボウ</t>
    </rPh>
    <phoneticPr fontId="1"/>
  </si>
  <si>
    <t>安田 清子</t>
    <rPh sb="0" eb="2">
      <t>ヤスダ</t>
    </rPh>
    <rPh sb="3" eb="5">
      <t>キヨコ</t>
    </rPh>
    <phoneticPr fontId="1"/>
  </si>
  <si>
    <t>048-687-2654</t>
    <phoneticPr fontId="1"/>
  </si>
  <si>
    <t>廊下台所ﾄｲﾚ洗面所床コルクタイル　浴室ｴﾌﾟﾛﾝ内点検口設置　台所背板底板SUS　ﾄｲﾚ止水栓ｽﾄﾚｰﾅｰ付</t>
    <rPh sb="0" eb="2">
      <t>ロウカ</t>
    </rPh>
    <rPh sb="2" eb="4">
      <t>ダイドコロ</t>
    </rPh>
    <rPh sb="7" eb="10">
      <t>センメンジョ</t>
    </rPh>
    <rPh sb="10" eb="11">
      <t>ユカ</t>
    </rPh>
    <rPh sb="18" eb="20">
      <t>ヨクシツ</t>
    </rPh>
    <rPh sb="25" eb="26">
      <t>ナイ</t>
    </rPh>
    <rPh sb="26" eb="31">
      <t>テンケンコウセッチ</t>
    </rPh>
    <rPh sb="32" eb="34">
      <t>ダイドコロ</t>
    </rPh>
    <rPh sb="34" eb="38">
      <t>セイタソコイタ</t>
    </rPh>
    <rPh sb="45" eb="48">
      <t>シスイセン</t>
    </rPh>
    <rPh sb="54" eb="55">
      <t>ツキ</t>
    </rPh>
    <phoneticPr fontId="1"/>
  </si>
  <si>
    <t>妻木 俊彦</t>
    <rPh sb="0" eb="2">
      <t>ツマギ</t>
    </rPh>
    <rPh sb="3" eb="5">
      <t>トシヒコ</t>
    </rPh>
    <phoneticPr fontId="1"/>
  </si>
  <si>
    <t>048-686-4741</t>
    <phoneticPr fontId="1"/>
  </si>
  <si>
    <t>WZV1216・142372</t>
    <phoneticPr fontId="1"/>
  </si>
  <si>
    <t>浴室ｴﾌﾟﾛﾝ内点検口設置　ひな段　隠蔽配管検討</t>
    <rPh sb="0" eb="2">
      <t>ヨクシツ</t>
    </rPh>
    <rPh sb="7" eb="13">
      <t>ナイテンケンコウセッチ</t>
    </rPh>
    <rPh sb="16" eb="17">
      <t>ダン</t>
    </rPh>
    <rPh sb="18" eb="24">
      <t>インペイハイカンケントウ</t>
    </rPh>
    <phoneticPr fontId="1"/>
  </si>
  <si>
    <t>佐藤 利夫</t>
    <rPh sb="0" eb="2">
      <t>サトウ</t>
    </rPh>
    <rPh sb="3" eb="5">
      <t>トシオ</t>
    </rPh>
    <phoneticPr fontId="1"/>
  </si>
  <si>
    <t>048-683-9904</t>
    <phoneticPr fontId="1"/>
  </si>
  <si>
    <t>クロス+エコカラット</t>
    <phoneticPr fontId="1"/>
  </si>
  <si>
    <t>浴室ｴﾌﾟﾛﾝ内点検口設置　浴室水栓二個　玄関壁エコカラット貼り　ﾄｲﾚ止水栓ｽﾄﾚｰﾅｰ付</t>
    <rPh sb="0" eb="2">
      <t>ヨクシツ</t>
    </rPh>
    <rPh sb="7" eb="8">
      <t>ナイ</t>
    </rPh>
    <rPh sb="8" eb="13">
      <t>テンケンコウセッチ</t>
    </rPh>
    <rPh sb="14" eb="16">
      <t>ヨクシツ</t>
    </rPh>
    <rPh sb="16" eb="18">
      <t>スイセン</t>
    </rPh>
    <rPh sb="18" eb="20">
      <t>ニコ</t>
    </rPh>
    <rPh sb="21" eb="24">
      <t>ゲンカンカベ</t>
    </rPh>
    <rPh sb="30" eb="31">
      <t>ハ</t>
    </rPh>
    <rPh sb="36" eb="39">
      <t>シスイセン</t>
    </rPh>
    <rPh sb="45" eb="46">
      <t>ツキ</t>
    </rPh>
    <phoneticPr fontId="1"/>
  </si>
  <si>
    <t>石原 昭雄</t>
    <rPh sb="0" eb="2">
      <t>イシハラ</t>
    </rPh>
    <rPh sb="3" eb="5">
      <t>アキオ</t>
    </rPh>
    <phoneticPr fontId="1"/>
  </si>
  <si>
    <t>048-685-8667</t>
    <phoneticPr fontId="1"/>
  </si>
  <si>
    <t>WZV1117・147QJV</t>
    <phoneticPr fontId="1"/>
  </si>
  <si>
    <t>浴室ｴﾌﾟﾛﾝ内点検口設置　食洗器あり　庭のあじさい撤去</t>
    <rPh sb="0" eb="2">
      <t>ヨクシツ</t>
    </rPh>
    <rPh sb="7" eb="13">
      <t>ナイテンケンコウセッチ</t>
    </rPh>
    <rPh sb="14" eb="17">
      <t>ショクセンキ</t>
    </rPh>
    <rPh sb="20" eb="21">
      <t>ニワ</t>
    </rPh>
    <rPh sb="26" eb="28">
      <t>テッキョ</t>
    </rPh>
    <phoneticPr fontId="1"/>
  </si>
  <si>
    <t>W80909990・838712A
BP-1116BZE2</t>
    <phoneticPr fontId="1"/>
  </si>
  <si>
    <t>WRV1216・159FPP</t>
    <phoneticPr fontId="1"/>
  </si>
  <si>
    <t>WZV1117・196536</t>
    <phoneticPr fontId="1"/>
  </si>
  <si>
    <t>JZV1116</t>
    <phoneticPr fontId="1"/>
  </si>
  <si>
    <t>WRV1117UT・167LSM</t>
    <phoneticPr fontId="1"/>
  </si>
  <si>
    <t>WRV1117・1607GB</t>
    <phoneticPr fontId="1"/>
  </si>
  <si>
    <t>W80880996・989369A
BW-1116LBE</t>
    <phoneticPr fontId="1"/>
  </si>
  <si>
    <t>WZV1117・192142</t>
    <phoneticPr fontId="1"/>
  </si>
  <si>
    <t>WZV1117・1493A4</t>
    <phoneticPr fontId="1"/>
  </si>
  <si>
    <t>JZC1116・147954</t>
    <phoneticPr fontId="1"/>
  </si>
  <si>
    <t>WRV1117UD・167C1H</t>
    <phoneticPr fontId="1"/>
  </si>
  <si>
    <t>WRV1117UT・165V7M</t>
    <phoneticPr fontId="1"/>
  </si>
  <si>
    <t>WBV1117JT・181GTF</t>
    <phoneticPr fontId="1"/>
  </si>
  <si>
    <t>WRV1117・160HKY</t>
    <phoneticPr fontId="1"/>
  </si>
  <si>
    <t>WBV1117JT・158W2W</t>
    <phoneticPr fontId="1"/>
  </si>
  <si>
    <t>WZV1117・147CVJ</t>
    <phoneticPr fontId="1"/>
  </si>
  <si>
    <t>W80970193・E09891A
BY-1116LBEF</t>
    <phoneticPr fontId="1"/>
  </si>
  <si>
    <t>WRV1117・16188P</t>
    <phoneticPr fontId="1"/>
  </si>
  <si>
    <t>WZV1117・153724</t>
    <phoneticPr fontId="1"/>
  </si>
  <si>
    <t>WTV1116JN・153YEB</t>
    <phoneticPr fontId="1"/>
  </si>
  <si>
    <t>WZV1117・148N3S</t>
    <phoneticPr fontId="1"/>
  </si>
  <si>
    <t>WBV1117YN・172NPW</t>
    <phoneticPr fontId="1"/>
  </si>
  <si>
    <t>WBV1117JT・189YB9</t>
    <phoneticPr fontId="1"/>
  </si>
  <si>
    <t>WFV1216JT・144MA5</t>
    <phoneticPr fontId="1"/>
  </si>
  <si>
    <t>WRV1117・1585B9</t>
    <phoneticPr fontId="1"/>
  </si>
  <si>
    <t>WZV1117・135725</t>
    <phoneticPr fontId="1"/>
  </si>
  <si>
    <t>WRV1117・1579AY</t>
    <phoneticPr fontId="1"/>
  </si>
  <si>
    <t>WBV1116WN・161KBY</t>
    <phoneticPr fontId="1"/>
  </si>
  <si>
    <t>JZC1117・162285</t>
    <phoneticPr fontId="1"/>
  </si>
  <si>
    <t>JZV1117・176641</t>
    <phoneticPr fontId="1"/>
  </si>
  <si>
    <t>W80800609・387911A
BKW-1116LBF</t>
    <phoneticPr fontId="1"/>
  </si>
  <si>
    <t>WGV1116JD・189EJL</t>
    <phoneticPr fontId="1"/>
  </si>
  <si>
    <t>WBV1117JN・190G8Y</t>
    <phoneticPr fontId="1"/>
  </si>
  <si>
    <t>JZC1117・157486</t>
    <phoneticPr fontId="1"/>
  </si>
  <si>
    <t>WYV1116JN・145R8M</t>
    <phoneticPr fontId="1"/>
  </si>
  <si>
    <t>W8088060・056721A
BKW-1116LBP</t>
    <phoneticPr fontId="1"/>
  </si>
  <si>
    <t>WZV1216・1476Y7</t>
    <phoneticPr fontId="1"/>
  </si>
  <si>
    <t>WZV1117・146CFD</t>
    <phoneticPr fontId="1"/>
  </si>
  <si>
    <t>WBV1117JT・1743L8</t>
    <phoneticPr fontId="1"/>
  </si>
  <si>
    <t>岩瀬 徹</t>
    <rPh sb="0" eb="2">
      <t>イワセ</t>
    </rPh>
    <rPh sb="3" eb="4">
      <t>トオル</t>
    </rPh>
    <phoneticPr fontId="1"/>
  </si>
  <si>
    <t>08-686-1211
090-1043-0829</t>
    <phoneticPr fontId="1"/>
  </si>
  <si>
    <t>JZC1117・193864</t>
    <phoneticPr fontId="1"/>
  </si>
  <si>
    <t>斉藤 一弘</t>
    <rPh sb="0" eb="2">
      <t>サイトウ</t>
    </rPh>
    <rPh sb="3" eb="5">
      <t>カズヒロ</t>
    </rPh>
    <phoneticPr fontId="1"/>
  </si>
  <si>
    <t>080-8864-2484</t>
    <phoneticPr fontId="1"/>
  </si>
  <si>
    <t>小柳 博司</t>
    <rPh sb="0" eb="2">
      <t>コヤナギ</t>
    </rPh>
    <rPh sb="3" eb="5">
      <t>ヒロシ</t>
    </rPh>
    <phoneticPr fontId="1"/>
  </si>
  <si>
    <t>048-688-3147
080-1072-8738</t>
    <phoneticPr fontId="1"/>
  </si>
  <si>
    <t>WHV1116UT・192B6Y</t>
    <phoneticPr fontId="1"/>
  </si>
  <si>
    <t>荒井 智志</t>
    <rPh sb="0" eb="2">
      <t>アライ</t>
    </rPh>
    <rPh sb="3" eb="4">
      <t>トモ</t>
    </rPh>
    <rPh sb="4" eb="5">
      <t>ココロザシ</t>
    </rPh>
    <phoneticPr fontId="1"/>
  </si>
  <si>
    <t>090-3767-0405</t>
    <phoneticPr fontId="1"/>
  </si>
  <si>
    <t>JZV1117・186358</t>
    <phoneticPr fontId="1"/>
  </si>
  <si>
    <t>浴室ｴﾌﾟﾛﾝ内部材接続　洗濯水栓位置変更されている洗面台側からモール立ち上げ　普段住んでいない月一で来る</t>
    <rPh sb="0" eb="2">
      <t>ヨクシツ</t>
    </rPh>
    <rPh sb="7" eb="12">
      <t>ナイブザイセツゾク</t>
    </rPh>
    <rPh sb="13" eb="21">
      <t>センタクスイセンイチヘンコウ</t>
    </rPh>
    <rPh sb="26" eb="30">
      <t>センメンダイガワ</t>
    </rPh>
    <rPh sb="35" eb="36">
      <t>タ</t>
    </rPh>
    <rPh sb="37" eb="38">
      <t>ア</t>
    </rPh>
    <rPh sb="40" eb="43">
      <t>フダンス</t>
    </rPh>
    <rPh sb="48" eb="50">
      <t>ツキイチ</t>
    </rPh>
    <rPh sb="51" eb="52">
      <t>ク</t>
    </rPh>
    <phoneticPr fontId="1"/>
  </si>
  <si>
    <t>斉藤 仁</t>
    <rPh sb="0" eb="2">
      <t>サイトウ</t>
    </rPh>
    <rPh sb="3" eb="4">
      <t>ジン</t>
    </rPh>
    <phoneticPr fontId="1"/>
  </si>
  <si>
    <t>048-685-5497</t>
    <phoneticPr fontId="1"/>
  </si>
  <si>
    <t>浴室鏡裏開口KP仕上げ　ﾄｲﾚ止水栓D式ｱﾝｸﾞﾙ</t>
    <rPh sb="0" eb="2">
      <t>ヨクシツ</t>
    </rPh>
    <rPh sb="2" eb="6">
      <t>カガミウラカイコウ</t>
    </rPh>
    <rPh sb="8" eb="10">
      <t>シア</t>
    </rPh>
    <rPh sb="15" eb="18">
      <t>シスイセン</t>
    </rPh>
    <rPh sb="19" eb="20">
      <t>シキ</t>
    </rPh>
    <phoneticPr fontId="1"/>
  </si>
  <si>
    <t>米山 昭彦</t>
    <rPh sb="0" eb="2">
      <t>ヨネヤマ</t>
    </rPh>
    <rPh sb="3" eb="5">
      <t>アキヒコ</t>
    </rPh>
    <phoneticPr fontId="1"/>
  </si>
  <si>
    <t>090-9969-7811</t>
    <phoneticPr fontId="1"/>
  </si>
  <si>
    <t>FPB1117</t>
    <phoneticPr fontId="1"/>
  </si>
  <si>
    <t>浴室ｴﾌﾟﾛﾝない点検口設置　台所既存ﾄﾗｯﾌﾟ　乾燥機あり　</t>
    <rPh sb="0" eb="2">
      <t>ヨクシツ</t>
    </rPh>
    <rPh sb="9" eb="14">
      <t>テンケンコウセッチ</t>
    </rPh>
    <rPh sb="15" eb="19">
      <t>ダイドコロキゾン</t>
    </rPh>
    <rPh sb="25" eb="28">
      <t>カンソウキ</t>
    </rPh>
    <phoneticPr fontId="1"/>
  </si>
  <si>
    <t>JZV1117・178659</t>
    <phoneticPr fontId="1"/>
  </si>
  <si>
    <t>W80889995・228335A
BKW-1116LBF</t>
    <phoneticPr fontId="1"/>
  </si>
  <si>
    <t>浅田 隆行</t>
    <rPh sb="0" eb="2">
      <t>アサダ</t>
    </rPh>
    <rPh sb="3" eb="5">
      <t>タカユキ</t>
    </rPh>
    <phoneticPr fontId="1"/>
  </si>
  <si>
    <t>048-683-3693</t>
    <phoneticPr fontId="1"/>
  </si>
  <si>
    <t>WZV1216・1494XL</t>
    <phoneticPr fontId="1"/>
  </si>
  <si>
    <t>久保田 秀也</t>
    <rPh sb="0" eb="3">
      <t>クボタ</t>
    </rPh>
    <rPh sb="4" eb="6">
      <t>ヒデナリ</t>
    </rPh>
    <phoneticPr fontId="1"/>
  </si>
  <si>
    <t>048-685-6456</t>
    <phoneticPr fontId="1"/>
  </si>
  <si>
    <t>WRV1117UT・1678Y9</t>
    <phoneticPr fontId="1"/>
  </si>
  <si>
    <t>浴室ｴﾌﾟﾛﾝ内部開口ﾊﾟﾈﾙ貼り　洗濯機二層式　</t>
    <rPh sb="0" eb="2">
      <t>ヨクシツ</t>
    </rPh>
    <rPh sb="8" eb="10">
      <t>カイコウ</t>
    </rPh>
    <rPh sb="10" eb="13">
      <t>パネル</t>
    </rPh>
    <rPh sb="15" eb="16">
      <t>　</t>
    </rPh>
    <rPh sb="16" eb="19">
      <t>センタクキ</t>
    </rPh>
    <rPh sb="19" eb="21">
      <t>ニソウ</t>
    </rPh>
    <rPh sb="21" eb="22">
      <t>シキ</t>
    </rPh>
    <rPh sb="22" eb="23">
      <t>　</t>
    </rPh>
    <phoneticPr fontId="1"/>
  </si>
  <si>
    <t>石井 顕子</t>
    <rPh sb="0" eb="2">
      <t>イシイ</t>
    </rPh>
    <rPh sb="3" eb="5">
      <t>アキコ</t>
    </rPh>
    <phoneticPr fontId="1"/>
  </si>
  <si>
    <t>070-1528-6940</t>
    <phoneticPr fontId="1"/>
  </si>
  <si>
    <t>YAMAHA</t>
    <phoneticPr fontId="1"/>
  </si>
  <si>
    <t>浴室ｶｳﾝﾀｰ下段外してﾌﾚｷ接続　トイレ止水栓D式ｱﾝｸﾞﾙ　</t>
    <rPh sb="0" eb="2">
      <t>ヨクシツ</t>
    </rPh>
    <rPh sb="7" eb="9">
      <t>ゲダン</t>
    </rPh>
    <rPh sb="9" eb="10">
      <t>ハズ</t>
    </rPh>
    <rPh sb="15" eb="17">
      <t>セツゾク</t>
    </rPh>
    <rPh sb="21" eb="24">
      <t>シスイセン</t>
    </rPh>
    <rPh sb="25" eb="26">
      <t>シキ</t>
    </rPh>
    <phoneticPr fontId="1"/>
  </si>
  <si>
    <t>岩瀬 翼</t>
    <rPh sb="0" eb="2">
      <t>イワセ</t>
    </rPh>
    <rPh sb="3" eb="4">
      <t>ツバサ</t>
    </rPh>
    <phoneticPr fontId="1"/>
  </si>
  <si>
    <t>070-1665-8788</t>
    <phoneticPr fontId="1"/>
  </si>
  <si>
    <t>ｵｰﾅｰ様に確認する　洗面所壁に点検口設置する　給湯器下にｶﾊﾞｰあり</t>
    <rPh sb="11" eb="15">
      <t>センメンジョカベ</t>
    </rPh>
    <rPh sb="16" eb="21">
      <t>テンケンコウセッチ</t>
    </rPh>
    <rPh sb="24" eb="27">
      <t>キュウトウキ</t>
    </rPh>
    <rPh sb="27" eb="28">
      <t>シタ</t>
    </rPh>
    <phoneticPr fontId="1"/>
  </si>
  <si>
    <t>関口 あい子</t>
    <rPh sb="0" eb="2">
      <t>セキグチ</t>
    </rPh>
    <rPh sb="5" eb="6">
      <t>コ</t>
    </rPh>
    <phoneticPr fontId="1"/>
  </si>
  <si>
    <t>048-683-8878</t>
    <phoneticPr fontId="1"/>
  </si>
  <si>
    <t>WBV1117JT・1729FP</t>
    <phoneticPr fontId="1"/>
  </si>
  <si>
    <t>底板SUS→ポリ復旧だがｷｯﾁﾝ交換希望　浴室鏡裏開口KP仕上げ　ﾄｲﾚ止水栓D式ｱﾝｸﾞﾙ　CFカタログから選定</t>
    <rPh sb="0" eb="2">
      <t>ソコイタ</t>
    </rPh>
    <rPh sb="5" eb="10">
      <t>ヤジルシポリフッキュウ</t>
    </rPh>
    <rPh sb="16" eb="18">
      <t>コウカン</t>
    </rPh>
    <rPh sb="18" eb="20">
      <t>キボウ</t>
    </rPh>
    <rPh sb="21" eb="23">
      <t>ヨクシツ</t>
    </rPh>
    <rPh sb="23" eb="27">
      <t>カガミウラカイコウ</t>
    </rPh>
    <rPh sb="29" eb="31">
      <t>シア</t>
    </rPh>
    <rPh sb="36" eb="39">
      <t>シスイセン</t>
    </rPh>
    <rPh sb="40" eb="41">
      <t>シキ</t>
    </rPh>
    <rPh sb="55" eb="57">
      <t>センテイ</t>
    </rPh>
    <phoneticPr fontId="1"/>
  </si>
  <si>
    <t>工藤 美津子</t>
    <rPh sb="0" eb="2">
      <t>クドウ</t>
    </rPh>
    <rPh sb="3" eb="6">
      <t>ミツコ</t>
    </rPh>
    <phoneticPr fontId="1"/>
  </si>
  <si>
    <t>048-686-3852</t>
    <phoneticPr fontId="1"/>
  </si>
  <si>
    <t>WZV1117・193709</t>
    <phoneticPr fontId="1"/>
  </si>
  <si>
    <t>瀬戸山 秀樹</t>
    <rPh sb="0" eb="3">
      <t>セトヤマ</t>
    </rPh>
    <rPh sb="4" eb="6">
      <t>ヒデキ</t>
    </rPh>
    <phoneticPr fontId="1"/>
  </si>
  <si>
    <t>048-688-4503
080-4339-2376</t>
    <phoneticPr fontId="1"/>
  </si>
  <si>
    <t>WZV1117・147Y6U</t>
    <phoneticPr fontId="1"/>
  </si>
  <si>
    <t>ひな段　浴室ﾄｲﾚ介護用品あり→ﾄｲﾚは初日に外して最終日取付ける</t>
    <rPh sb="2" eb="3">
      <t>ダン</t>
    </rPh>
    <rPh sb="4" eb="6">
      <t>ヨクシツ</t>
    </rPh>
    <rPh sb="9" eb="13">
      <t>カイゴヨウヒン</t>
    </rPh>
    <rPh sb="20" eb="22">
      <t>ショニチ</t>
    </rPh>
    <rPh sb="23" eb="24">
      <t>ハズ</t>
    </rPh>
    <rPh sb="26" eb="29">
      <t>サイシュウビ</t>
    </rPh>
    <rPh sb="29" eb="31">
      <t>トリツ</t>
    </rPh>
    <phoneticPr fontId="1"/>
  </si>
  <si>
    <t>宮澤 裕</t>
    <rPh sb="0" eb="2">
      <t>ミヤザワ</t>
    </rPh>
    <rPh sb="3" eb="4">
      <t>ユウ</t>
    </rPh>
    <phoneticPr fontId="1"/>
  </si>
  <si>
    <t>048-684-2035</t>
    <phoneticPr fontId="1"/>
  </si>
  <si>
    <t>RKD1117N</t>
    <phoneticPr fontId="1"/>
  </si>
  <si>
    <t>給湯器下ｶﾊﾞｰ付　隙間ないので洗面台側からモール立ち上げ　乾燥機有撤去希望　ﾄｲﾚ浴室ｴﾌﾟﾛﾝ内点検口設置</t>
    <rPh sb="0" eb="4">
      <t>キュウトウキシタ</t>
    </rPh>
    <rPh sb="8" eb="9">
      <t>ツ</t>
    </rPh>
    <rPh sb="10" eb="12">
      <t>スキマ</t>
    </rPh>
    <rPh sb="16" eb="20">
      <t>センメンダイガワ</t>
    </rPh>
    <rPh sb="25" eb="26">
      <t>タ</t>
    </rPh>
    <rPh sb="27" eb="28">
      <t>ア</t>
    </rPh>
    <rPh sb="30" eb="34">
      <t>カンソウキアリ</t>
    </rPh>
    <rPh sb="34" eb="38">
      <t>テッキョキボウ</t>
    </rPh>
    <rPh sb="42" eb="44">
      <t>ヨクシツ</t>
    </rPh>
    <rPh sb="49" eb="55">
      <t>ナイテンケンコウセッチ</t>
    </rPh>
    <phoneticPr fontId="1"/>
  </si>
  <si>
    <t>洋室鏡裏開口　ﾄｲﾚ止水栓D式ｱﾝｸﾞﾙ　　ｷｯﾁﾝひな段</t>
    <rPh sb="0" eb="2">
      <t>ヨウシツ</t>
    </rPh>
    <rPh sb="2" eb="6">
      <t>カガミウラカイコウ</t>
    </rPh>
    <rPh sb="10" eb="13">
      <t>シスイセン</t>
    </rPh>
    <rPh sb="14" eb="15">
      <t>シキ</t>
    </rPh>
    <rPh sb="28" eb="29">
      <t>ダン</t>
    </rPh>
    <phoneticPr fontId="1"/>
  </si>
  <si>
    <t>高柳 栄</t>
    <rPh sb="0" eb="2">
      <t>タカヤナギ</t>
    </rPh>
    <rPh sb="3" eb="4">
      <t>サカエ</t>
    </rPh>
    <phoneticPr fontId="1"/>
  </si>
  <si>
    <t>048-683-0343
090-9230-3905</t>
    <phoneticPr fontId="1"/>
  </si>
  <si>
    <t>WRV1117・1559DB</t>
    <phoneticPr fontId="1"/>
  </si>
  <si>
    <t>浴室水栓２つｴﾌﾟﾛﾝカウンターがｺｰｷﾝｸﾞ打ちされていて外せなかった工事当日に施工方法検討居住者には説明済み　ﾎﾟｰﾀﾌﾞﾙﾄｲﾚ+凝固剤袋セット　</t>
    <rPh sb="0" eb="2">
      <t>ヨクシツ</t>
    </rPh>
    <rPh sb="2" eb="4">
      <t>スイセン</t>
    </rPh>
    <rPh sb="23" eb="24">
      <t>ウ</t>
    </rPh>
    <rPh sb="30" eb="31">
      <t>ハズ</t>
    </rPh>
    <rPh sb="36" eb="40">
      <t>コウジトウジツ</t>
    </rPh>
    <rPh sb="41" eb="45">
      <t>セコウホウホウ</t>
    </rPh>
    <rPh sb="45" eb="47">
      <t>ケントウ</t>
    </rPh>
    <rPh sb="47" eb="50">
      <t>キョジュウシャ</t>
    </rPh>
    <rPh sb="52" eb="55">
      <t>セツメイズ</t>
    </rPh>
    <rPh sb="68" eb="71">
      <t>ギョウコザイ</t>
    </rPh>
    <rPh sb="71" eb="72">
      <t>フクロ</t>
    </rPh>
    <phoneticPr fontId="1"/>
  </si>
  <si>
    <t>090-6309-9494
サンエコセンター</t>
    <phoneticPr fontId="1"/>
  </si>
  <si>
    <t>榛沢 カオル</t>
    <rPh sb="0" eb="2">
      <t>シンザワ</t>
    </rPh>
    <phoneticPr fontId="1"/>
  </si>
  <si>
    <t>048-683-2503</t>
    <phoneticPr fontId="1"/>
  </si>
  <si>
    <t>工藤 正道(代理)</t>
    <rPh sb="0" eb="2">
      <t>クドウ</t>
    </rPh>
    <rPh sb="3" eb="5">
      <t>マサミチ</t>
    </rPh>
    <rPh sb="6" eb="8">
      <t>ダイリ</t>
    </rPh>
    <phoneticPr fontId="1"/>
  </si>
  <si>
    <t>JZ1116</t>
    <phoneticPr fontId="1"/>
  </si>
  <si>
    <t>ｴﾌﾟﾛﾝ内点検口設置　底板SUS→ポリ復旧OK　脳の病気らしい　ﾄｲﾚ天井塗装貼替したい</t>
    <rPh sb="5" eb="6">
      <t>ナイ</t>
    </rPh>
    <rPh sb="6" eb="11">
      <t>テンケンコウセッチ</t>
    </rPh>
    <rPh sb="12" eb="14">
      <t>ソコイタ</t>
    </rPh>
    <rPh sb="17" eb="22">
      <t>ヤジルシポリフッキュウ</t>
    </rPh>
    <rPh sb="25" eb="26">
      <t>ノウ</t>
    </rPh>
    <rPh sb="27" eb="29">
      <t>ビョウキ</t>
    </rPh>
    <rPh sb="36" eb="38">
      <t>テンジョウ</t>
    </rPh>
    <rPh sb="38" eb="40">
      <t>トソウ</t>
    </rPh>
    <rPh sb="40" eb="42">
      <t>ハリカエ</t>
    </rPh>
    <phoneticPr fontId="1"/>
  </si>
  <si>
    <t>石井 亨</t>
    <rPh sb="0" eb="2">
      <t>イシイ</t>
    </rPh>
    <rPh sb="3" eb="4">
      <t>トオル</t>
    </rPh>
    <phoneticPr fontId="1"/>
  </si>
  <si>
    <t>048-685-8669</t>
    <phoneticPr fontId="1"/>
  </si>
  <si>
    <t>隠蔽配管検討　ｴﾌﾟﾛﾝ内点検口設置　洗濯パン給水付きのも検討　給湯器下ｶﾊﾞｰ付すぐ外せる　ひな段</t>
    <rPh sb="0" eb="6">
      <t>インペイハイカンケントウ</t>
    </rPh>
    <rPh sb="12" eb="18">
      <t>ナイテンケンコウセッチ</t>
    </rPh>
    <rPh sb="19" eb="21">
      <t>センタク</t>
    </rPh>
    <rPh sb="23" eb="26">
      <t>キュウスイツ</t>
    </rPh>
    <rPh sb="29" eb="31">
      <t>ケントウ</t>
    </rPh>
    <rPh sb="32" eb="35">
      <t>キュウトウキ</t>
    </rPh>
    <rPh sb="35" eb="36">
      <t>シタ</t>
    </rPh>
    <rPh sb="40" eb="41">
      <t>ツ</t>
    </rPh>
    <rPh sb="43" eb="44">
      <t>ハズ</t>
    </rPh>
    <rPh sb="49" eb="50">
      <t>ダン</t>
    </rPh>
    <phoneticPr fontId="1"/>
  </si>
  <si>
    <t>金 明心</t>
    <rPh sb="0" eb="1">
      <t>キン</t>
    </rPh>
    <rPh sb="2" eb="3">
      <t>アキラ</t>
    </rPh>
    <rPh sb="3" eb="4">
      <t>シン</t>
    </rPh>
    <phoneticPr fontId="1"/>
  </si>
  <si>
    <t>080-9197-2700</t>
    <phoneticPr fontId="1"/>
  </si>
  <si>
    <t>WBV1117UT・168F5L</t>
    <phoneticPr fontId="1"/>
  </si>
  <si>
    <t>浴室鏡裏開口　給湯管更新済み→更新するかしないか検討中　ひな段既存壁だし</t>
    <rPh sb="0" eb="2">
      <t>ヨクシツ</t>
    </rPh>
    <rPh sb="2" eb="6">
      <t>カガミウラカイコウ</t>
    </rPh>
    <rPh sb="7" eb="13">
      <t>キュウトウカンコウシンズ</t>
    </rPh>
    <rPh sb="15" eb="17">
      <t>コウシン</t>
    </rPh>
    <rPh sb="24" eb="27">
      <t>ケントウチュウ</t>
    </rPh>
    <rPh sb="30" eb="31">
      <t>ダン</t>
    </rPh>
    <rPh sb="31" eb="34">
      <t>キゾンカベ</t>
    </rPh>
    <phoneticPr fontId="1"/>
  </si>
  <si>
    <t>矢島</t>
    <rPh sb="0" eb="2">
      <t>ヤジマ</t>
    </rPh>
    <phoneticPr fontId="1"/>
  </si>
  <si>
    <t>090-6118-1594</t>
    <phoneticPr fontId="1"/>
  </si>
  <si>
    <t>WBV1117JT・1569J9</t>
    <phoneticPr fontId="1"/>
  </si>
  <si>
    <t>浴室鏡裏開口　給湯管ヘッダーで更新済み→更新するかしないか検討中　隠蔽配管希望　ﾄｲﾚ止水栓D式</t>
    <rPh sb="0" eb="2">
      <t>ヨクシツ</t>
    </rPh>
    <rPh sb="2" eb="6">
      <t>カガミウラカイコウ</t>
    </rPh>
    <rPh sb="7" eb="10">
      <t>キュウトウカン</t>
    </rPh>
    <rPh sb="15" eb="18">
      <t>コウシンズ</t>
    </rPh>
    <rPh sb="20" eb="22">
      <t>コウシン</t>
    </rPh>
    <rPh sb="29" eb="32">
      <t>ケントウチュウ</t>
    </rPh>
    <rPh sb="33" eb="39">
      <t>インペイハイカンキボウ</t>
    </rPh>
    <rPh sb="43" eb="46">
      <t>シスイセン</t>
    </rPh>
    <rPh sb="47" eb="48">
      <t>シキ</t>
    </rPh>
    <phoneticPr fontId="1"/>
  </si>
  <si>
    <t>山田 雄子</t>
    <rPh sb="0" eb="2">
      <t>ヤマダ</t>
    </rPh>
    <rPh sb="3" eb="4">
      <t>ユウ</t>
    </rPh>
    <rPh sb="4" eb="5">
      <t>コ</t>
    </rPh>
    <phoneticPr fontId="1"/>
  </si>
  <si>
    <t>048-685-1807</t>
    <phoneticPr fontId="1"/>
  </si>
  <si>
    <t>WRV1117・1550XW</t>
    <phoneticPr fontId="1"/>
  </si>
  <si>
    <t>ｴﾌﾟﾛﾝ内部材接続　底板SUS→ポリ復旧OK　給湯管更新済み→全更新希望　ﾄｲﾚ止水栓D式</t>
    <rPh sb="5" eb="6">
      <t>ナイ</t>
    </rPh>
    <rPh sb="6" eb="8">
      <t>ブザイ</t>
    </rPh>
    <rPh sb="8" eb="10">
      <t>セツゾク</t>
    </rPh>
    <rPh sb="11" eb="13">
      <t>ソコイタ</t>
    </rPh>
    <rPh sb="16" eb="21">
      <t>ヤジルシポリフッキュウ</t>
    </rPh>
    <rPh sb="24" eb="27">
      <t>キュウトウカン</t>
    </rPh>
    <rPh sb="27" eb="30">
      <t>コウシンズ</t>
    </rPh>
    <rPh sb="32" eb="35">
      <t>ゼンコウシン</t>
    </rPh>
    <rPh sb="35" eb="37">
      <t>キボウ</t>
    </rPh>
    <rPh sb="41" eb="44">
      <t>シスイセン</t>
    </rPh>
    <rPh sb="45" eb="46">
      <t>シキ</t>
    </rPh>
    <phoneticPr fontId="1"/>
  </si>
  <si>
    <t>山内 滋史</t>
    <rPh sb="0" eb="2">
      <t>ヤマウチ</t>
    </rPh>
    <rPh sb="3" eb="4">
      <t>シゲ</t>
    </rPh>
    <rPh sb="4" eb="5">
      <t>シ</t>
    </rPh>
    <phoneticPr fontId="1"/>
  </si>
  <si>
    <t>048-685-8679</t>
    <phoneticPr fontId="1"/>
  </si>
  <si>
    <t>740+300ｷｬﾋﾞ</t>
    <phoneticPr fontId="1"/>
  </si>
  <si>
    <t>WBV1117WD・1807U5</t>
  </si>
  <si>
    <t>浴室ｶｳﾝﾀｰ付き内部材接続　ﾄｲﾚｱｸｾﾝﾄｸﾛｽ残す　台所排水も背板貫通している底板開口なし　</t>
    <rPh sb="0" eb="1">
      <t>ヨク</t>
    </rPh>
    <rPh sb="1" eb="2">
      <t>シツ</t>
    </rPh>
    <rPh sb="7" eb="8">
      <t>ツ</t>
    </rPh>
    <rPh sb="9" eb="14">
      <t>ナイブザイセツゾク</t>
    </rPh>
    <rPh sb="26" eb="27">
      <t>ノコ</t>
    </rPh>
    <rPh sb="29" eb="31">
      <t>ダイドコロ</t>
    </rPh>
    <rPh sb="31" eb="33">
      <t>ハイスイ</t>
    </rPh>
    <rPh sb="34" eb="38">
      <t>セイタカンツウ</t>
    </rPh>
    <rPh sb="42" eb="46">
      <t>ソコイタカイコウ</t>
    </rPh>
    <phoneticPr fontId="1"/>
  </si>
  <si>
    <t>渡辺 俊雄</t>
    <rPh sb="0" eb="2">
      <t>ワタナベ</t>
    </rPh>
    <rPh sb="3" eb="5">
      <t>トシオ</t>
    </rPh>
    <phoneticPr fontId="1"/>
  </si>
  <si>
    <t>048-685-5496</t>
    <phoneticPr fontId="1"/>
  </si>
  <si>
    <t>WZV1117・165034</t>
    <phoneticPr fontId="1"/>
  </si>
  <si>
    <t>浴室ｴﾌﾟﾛﾝ内点部材接続　トイレ止水栓ｽﾄﾚｰﾅｰ付　ひな段</t>
    <rPh sb="0" eb="2">
      <t>ヨクシツ</t>
    </rPh>
    <rPh sb="7" eb="8">
      <t>テン</t>
    </rPh>
    <rPh sb="8" eb="10">
      <t>ブザイ</t>
    </rPh>
    <rPh sb="10" eb="12">
      <t>セツゾク</t>
    </rPh>
    <rPh sb="12" eb="13">
      <t>　</t>
    </rPh>
    <rPh sb="16" eb="19">
      <t>シスイセン</t>
    </rPh>
    <rPh sb="19" eb="25">
      <t>ストレーナー</t>
    </rPh>
    <rPh sb="26" eb="27">
      <t>　</t>
    </rPh>
    <phoneticPr fontId="1"/>
  </si>
  <si>
    <t>中沢 貴司</t>
    <rPh sb="0" eb="2">
      <t>ナカザワ</t>
    </rPh>
    <rPh sb="3" eb="5">
      <t>タカシ</t>
    </rPh>
    <phoneticPr fontId="1"/>
  </si>
  <si>
    <t>048-685-8701</t>
    <phoneticPr fontId="1"/>
  </si>
  <si>
    <t>浴室ｴﾌﾟﾛﾝ内点検口あり給湯管ﾍｯﾀﾞｰ更新済み　ひな段</t>
    <rPh sb="0" eb="2">
      <t>ヨクシツ</t>
    </rPh>
    <rPh sb="7" eb="8">
      <t>ナイ</t>
    </rPh>
    <rPh sb="8" eb="11">
      <t>テンケンコウ</t>
    </rPh>
    <rPh sb="13" eb="16">
      <t>キュウトウカン</t>
    </rPh>
    <rPh sb="21" eb="24">
      <t>コウシンズ</t>
    </rPh>
    <rPh sb="28" eb="29">
      <t>ダン</t>
    </rPh>
    <phoneticPr fontId="1"/>
  </si>
  <si>
    <t>佐藤 俊三</t>
    <rPh sb="0" eb="2">
      <t>サトウ</t>
    </rPh>
    <rPh sb="3" eb="5">
      <t>トシゾウ</t>
    </rPh>
    <phoneticPr fontId="1"/>
  </si>
  <si>
    <t>048-685-8685</t>
    <phoneticPr fontId="1"/>
  </si>
  <si>
    <t>RED1117</t>
    <phoneticPr fontId="1"/>
  </si>
  <si>
    <t>洗面所カベ羽目板→給湯器裏はｸﾛｽ貼りな為ﾓｰﾙ立ち上げて囲っているｶﾊﾞｰに穴開けてつなげる　給湯管更新済み　ﾄｲﾚ止水栓ｽﾄﾚｰﾅｰ付　台所既存ﾄﾗｯﾌﾟ</t>
    <rPh sb="0" eb="3">
      <t>センメンジョ</t>
    </rPh>
    <rPh sb="5" eb="8">
      <t>ハメイタ</t>
    </rPh>
    <rPh sb="9" eb="13">
      <t>キュウトウキウラ</t>
    </rPh>
    <rPh sb="17" eb="18">
      <t>バ</t>
    </rPh>
    <rPh sb="20" eb="21">
      <t>タメ</t>
    </rPh>
    <rPh sb="24" eb="25">
      <t>タ</t>
    </rPh>
    <rPh sb="26" eb="27">
      <t>ア</t>
    </rPh>
    <rPh sb="29" eb="30">
      <t>カコ</t>
    </rPh>
    <rPh sb="39" eb="41">
      <t>アナア</t>
    </rPh>
    <rPh sb="48" eb="54">
      <t>キュウトウカンコウシンズ</t>
    </rPh>
    <rPh sb="59" eb="62">
      <t>シスイセン</t>
    </rPh>
    <rPh sb="68" eb="69">
      <t>ツキ</t>
    </rPh>
    <rPh sb="70" eb="72">
      <t>ダイドコロ</t>
    </rPh>
    <rPh sb="72" eb="74">
      <t>キゾン</t>
    </rPh>
    <phoneticPr fontId="1"/>
  </si>
  <si>
    <t>倉田</t>
    <rPh sb="0" eb="2">
      <t>クラタ</t>
    </rPh>
    <phoneticPr fontId="1"/>
  </si>
  <si>
    <t>070-9041-4194</t>
    <phoneticPr fontId="1"/>
  </si>
  <si>
    <t>JBC1216・158967</t>
    <phoneticPr fontId="1"/>
  </si>
  <si>
    <t>池田 進</t>
    <rPh sb="0" eb="2">
      <t>イケダ</t>
    </rPh>
    <rPh sb="3" eb="4">
      <t>ススム</t>
    </rPh>
    <phoneticPr fontId="1"/>
  </si>
  <si>
    <t>048-685-8445
090-9209-3157(奥様)</t>
    <rPh sb="27" eb="29">
      <t>オクサマ</t>
    </rPh>
    <phoneticPr fontId="1"/>
  </si>
  <si>
    <t>JZV1117・133555</t>
    <phoneticPr fontId="1"/>
  </si>
  <si>
    <t>高梨 悦子</t>
    <rPh sb="0" eb="2">
      <t>タカナシ</t>
    </rPh>
    <rPh sb="3" eb="5">
      <t>エツコ</t>
    </rPh>
    <phoneticPr fontId="1"/>
  </si>
  <si>
    <t>048-686-2048</t>
    <phoneticPr fontId="1"/>
  </si>
  <si>
    <t>WZV1117・145M77</t>
    <phoneticPr fontId="1"/>
  </si>
  <si>
    <t>給湯管、追い焚き管更新済み　底板SUS→ポリ復旧　エプロン内部材接続　一階に引っ越す売却中</t>
    <rPh sb="0" eb="3">
      <t>キュウトウカン</t>
    </rPh>
    <rPh sb="4" eb="5">
      <t>オ</t>
    </rPh>
    <rPh sb="6" eb="7">
      <t>ダ</t>
    </rPh>
    <rPh sb="8" eb="9">
      <t>カン</t>
    </rPh>
    <rPh sb="9" eb="12">
      <t>コウシンズ</t>
    </rPh>
    <rPh sb="14" eb="16">
      <t>ソコイタ</t>
    </rPh>
    <rPh sb="19" eb="24">
      <t>ヤジルシポリフッキュウ</t>
    </rPh>
    <rPh sb="29" eb="34">
      <t>ナイブザイセツゾク</t>
    </rPh>
    <rPh sb="35" eb="37">
      <t>イッカイ</t>
    </rPh>
    <rPh sb="38" eb="39">
      <t>ヒ</t>
    </rPh>
    <rPh sb="40" eb="41">
      <t>コ</t>
    </rPh>
    <rPh sb="42" eb="45">
      <t>バイキャクチュウ</t>
    </rPh>
    <phoneticPr fontId="1"/>
  </si>
  <si>
    <t>中本 静江</t>
    <rPh sb="0" eb="2">
      <t>ナカモト</t>
    </rPh>
    <rPh sb="3" eb="5">
      <t>シズエ</t>
    </rPh>
    <phoneticPr fontId="1"/>
  </si>
  <si>
    <t>048-686-2047</t>
    <phoneticPr fontId="1"/>
  </si>
  <si>
    <t>石塚 美佐江</t>
    <rPh sb="0" eb="2">
      <t>イシヅカ</t>
    </rPh>
    <rPh sb="3" eb="6">
      <t>ミサエ</t>
    </rPh>
    <phoneticPr fontId="1"/>
  </si>
  <si>
    <t>090-7428-5691</t>
    <phoneticPr fontId="1"/>
  </si>
  <si>
    <t>WRV1117UT・166LWQ</t>
    <phoneticPr fontId="1"/>
  </si>
  <si>
    <t>048-668-2048</t>
    <phoneticPr fontId="1"/>
  </si>
  <si>
    <t>野口 清一</t>
    <rPh sb="0" eb="2">
      <t>ノグチ</t>
    </rPh>
    <rPh sb="3" eb="5">
      <t>セイイチ</t>
    </rPh>
    <phoneticPr fontId="1"/>
  </si>
  <si>
    <t>048-685-9634</t>
    <phoneticPr fontId="1"/>
  </si>
  <si>
    <t>WZV1117・142064</t>
    <phoneticPr fontId="1"/>
  </si>
  <si>
    <t>浴室ｴﾌﾟﾛﾝ内部材　給湯管、追い焚き管更新済み　ﾄｲﾚ止水栓D式　ひな段　廊下床鳴りする</t>
    <rPh sb="0" eb="2">
      <t>ヨクシツ</t>
    </rPh>
    <rPh sb="7" eb="10">
      <t>ナイブザイ</t>
    </rPh>
    <rPh sb="11" eb="14">
      <t>キュウトウカン</t>
    </rPh>
    <rPh sb="15" eb="16">
      <t>オ</t>
    </rPh>
    <rPh sb="17" eb="18">
      <t>ダ</t>
    </rPh>
    <rPh sb="19" eb="23">
      <t>カンコウシンズ</t>
    </rPh>
    <rPh sb="28" eb="31">
      <t>シスイセン</t>
    </rPh>
    <rPh sb="32" eb="33">
      <t>シキ</t>
    </rPh>
    <rPh sb="36" eb="37">
      <t>ダン</t>
    </rPh>
    <rPh sb="38" eb="40">
      <t>ロウカ</t>
    </rPh>
    <rPh sb="40" eb="42">
      <t>ユカナ</t>
    </rPh>
    <phoneticPr fontId="1"/>
  </si>
  <si>
    <t>吉崎 敏夫</t>
    <rPh sb="0" eb="2">
      <t>ヨシザキ</t>
    </rPh>
    <rPh sb="3" eb="5">
      <t>トシオ</t>
    </rPh>
    <phoneticPr fontId="1"/>
  </si>
  <si>
    <t>084-686-4176</t>
    <phoneticPr fontId="1"/>
  </si>
  <si>
    <t>WRV1117・155WQV</t>
    <phoneticPr fontId="1"/>
  </si>
  <si>
    <t>大武 康男</t>
    <rPh sb="0" eb="2">
      <t>オオタケ</t>
    </rPh>
    <rPh sb="3" eb="5">
      <t>ヤスオ</t>
    </rPh>
    <phoneticPr fontId="1"/>
  </si>
  <si>
    <t>048-685-9617</t>
    <phoneticPr fontId="1"/>
  </si>
  <si>
    <t>岡嵜 猛</t>
    <rPh sb="0" eb="2">
      <t>オカザキ</t>
    </rPh>
    <rPh sb="3" eb="4">
      <t>タケル</t>
    </rPh>
    <phoneticPr fontId="1"/>
  </si>
  <si>
    <t>048-687-9741</t>
    <phoneticPr fontId="1"/>
  </si>
  <si>
    <t>浴室ｴﾌﾟﾛﾝない点検口設置　底板SUS→ポリ復旧、既存壁だし　ﾄｲﾚ止水栓D式ｱﾝｸﾞﾙ</t>
    <rPh sb="0" eb="2">
      <t>ヨクシツ</t>
    </rPh>
    <rPh sb="9" eb="14">
      <t>テンケンコウセッチ</t>
    </rPh>
    <rPh sb="15" eb="17">
      <t>ソコイタ</t>
    </rPh>
    <rPh sb="20" eb="25">
      <t>ヤジルシポリフッキュウ</t>
    </rPh>
    <rPh sb="26" eb="29">
      <t>キゾンカベ</t>
    </rPh>
    <rPh sb="35" eb="38">
      <t>シスイセン</t>
    </rPh>
    <rPh sb="39" eb="40">
      <t>シキ</t>
    </rPh>
    <phoneticPr fontId="1"/>
  </si>
  <si>
    <t>田中 力</t>
    <rPh sb="0" eb="2">
      <t>タナカ</t>
    </rPh>
    <rPh sb="3" eb="4">
      <t>リキ</t>
    </rPh>
    <phoneticPr fontId="1"/>
  </si>
  <si>
    <t>048-796-5038
080-2094-5677</t>
    <phoneticPr fontId="1"/>
  </si>
  <si>
    <t>RV1117UD・167KJ0</t>
    <phoneticPr fontId="1"/>
  </si>
  <si>
    <t>山﨑 芳子</t>
    <rPh sb="0" eb="2">
      <t>ヤマザキ</t>
    </rPh>
    <rPh sb="3" eb="5">
      <t>フサコ</t>
    </rPh>
    <phoneticPr fontId="1"/>
  </si>
  <si>
    <t>090-2424-2564</t>
    <phoneticPr fontId="1"/>
  </si>
  <si>
    <t>WRV1117UT・167TU7</t>
    <phoneticPr fontId="1"/>
  </si>
  <si>
    <t>菅井 美恵子</t>
    <rPh sb="0" eb="2">
      <t>スガイ</t>
    </rPh>
    <rPh sb="3" eb="6">
      <t>ミエコ</t>
    </rPh>
    <phoneticPr fontId="1"/>
  </si>
  <si>
    <t>048-876-9256
070-9053-1663</t>
    <phoneticPr fontId="1"/>
  </si>
  <si>
    <t>WBV1117JT・1590B8</t>
    <phoneticPr fontId="1"/>
  </si>
  <si>
    <t>中園 麻衣</t>
    <rPh sb="0" eb="2">
      <t>ナカゾノ</t>
    </rPh>
    <rPh sb="3" eb="5">
      <t>マイ</t>
    </rPh>
    <phoneticPr fontId="1"/>
  </si>
  <si>
    <t>090-5400-9968</t>
    <phoneticPr fontId="1"/>
  </si>
  <si>
    <t>WBV1117JN・139JX0</t>
    <phoneticPr fontId="1"/>
  </si>
  <si>
    <t>石川 直美</t>
    <rPh sb="0" eb="2">
      <t>イシカワ</t>
    </rPh>
    <rPh sb="3" eb="5">
      <t>ナオミ</t>
    </rPh>
    <phoneticPr fontId="1"/>
  </si>
  <si>
    <t>090-2205-1345</t>
    <phoneticPr fontId="1"/>
  </si>
  <si>
    <t>600+190ｷｬﾋﾞ</t>
    <phoneticPr fontId="1"/>
  </si>
  <si>
    <t>W80080688・701488A
BP-1117CBWE</t>
    <phoneticPr fontId="1"/>
  </si>
  <si>
    <t>浴室ｴﾌﾟﾛﾝ内点検口設置　洗面所床鳴りする　</t>
    <rPh sb="0" eb="2">
      <t>ヨクシツ</t>
    </rPh>
    <rPh sb="7" eb="8">
      <t>ナイ</t>
    </rPh>
    <rPh sb="8" eb="11">
      <t>テンケンコウ</t>
    </rPh>
    <rPh sb="11" eb="13">
      <t>セッチ</t>
    </rPh>
    <rPh sb="14" eb="17">
      <t>センメンジョ</t>
    </rPh>
    <rPh sb="17" eb="19">
      <t>ユカナ</t>
    </rPh>
    <phoneticPr fontId="1"/>
  </si>
  <si>
    <t>矢部 幸子</t>
    <rPh sb="0" eb="2">
      <t>ヤベ</t>
    </rPh>
    <rPh sb="3" eb="5">
      <t>サチコ</t>
    </rPh>
    <phoneticPr fontId="1"/>
  </si>
  <si>
    <t>048-688-7560</t>
    <phoneticPr fontId="1"/>
  </si>
  <si>
    <t>WZV1117・144651</t>
    <phoneticPr fontId="1"/>
  </si>
  <si>
    <t>板橋 眞澄</t>
    <rPh sb="0" eb="2">
      <t>イタバシ</t>
    </rPh>
    <rPh sb="3" eb="5">
      <t>マスミ</t>
    </rPh>
    <phoneticPr fontId="1"/>
  </si>
  <si>
    <t>070-6560-2649</t>
    <phoneticPr fontId="1"/>
  </si>
  <si>
    <t>WZV1117・1502UP</t>
    <phoneticPr fontId="1"/>
  </si>
  <si>
    <t>大輪 倫啓</t>
    <rPh sb="0" eb="2">
      <t>オオワ</t>
    </rPh>
    <rPh sb="3" eb="4">
      <t>リン</t>
    </rPh>
    <rPh sb="4" eb="5">
      <t>ケイ</t>
    </rPh>
    <phoneticPr fontId="1"/>
  </si>
  <si>
    <t>048-684-7567</t>
    <phoneticPr fontId="1"/>
  </si>
  <si>
    <t>洗面所壁点検口設置する　底板SUS→ポリ復旧　UB交換検討　廊下床鳴りする</t>
    <rPh sb="0" eb="3">
      <t>センメンジョ</t>
    </rPh>
    <rPh sb="3" eb="9">
      <t>カベテンケンコウセッチ</t>
    </rPh>
    <rPh sb="12" eb="14">
      <t>ソコイタ</t>
    </rPh>
    <rPh sb="17" eb="22">
      <t>ヤジルシポリフッキュウ</t>
    </rPh>
    <rPh sb="25" eb="29">
      <t>コウカンケントウ</t>
    </rPh>
    <rPh sb="30" eb="34">
      <t>ロウカユカナ</t>
    </rPh>
    <phoneticPr fontId="1"/>
  </si>
  <si>
    <t>坪井 千恵子</t>
    <rPh sb="0" eb="2">
      <t>ツボイ</t>
    </rPh>
    <rPh sb="3" eb="6">
      <t>チエコ</t>
    </rPh>
    <phoneticPr fontId="1"/>
  </si>
  <si>
    <t>048-686-3118</t>
    <phoneticPr fontId="1"/>
  </si>
  <si>
    <t>750+300ｷｬﾋﾞ</t>
    <phoneticPr fontId="1"/>
  </si>
  <si>
    <t>馬場 裕之</t>
    <rPh sb="0" eb="2">
      <t>ババ</t>
    </rPh>
    <rPh sb="3" eb="5">
      <t>ヒロユキ</t>
    </rPh>
    <phoneticPr fontId="1"/>
  </si>
  <si>
    <t>070-4114-7548</t>
    <phoneticPr fontId="1"/>
  </si>
  <si>
    <t>松本 梛愛</t>
    <rPh sb="0" eb="2">
      <t>マツモト</t>
    </rPh>
    <rPh sb="3" eb="4">
      <t>ナギ</t>
    </rPh>
    <rPh sb="4" eb="5">
      <t>アイ</t>
    </rPh>
    <phoneticPr fontId="1"/>
  </si>
  <si>
    <t>080-3271-6826</t>
    <phoneticPr fontId="1"/>
  </si>
  <si>
    <t>タカラ</t>
    <phoneticPr fontId="1"/>
  </si>
  <si>
    <t>浴室洗い場点検口脱着にて作業　ﾄｲﾚ止水栓D式ｱﾝｸﾞﾙ　台所既存ﾄﾗｯﾌﾟ　中国人</t>
    <rPh sb="0" eb="2">
      <t>ヨクシツ</t>
    </rPh>
    <rPh sb="2" eb="3">
      <t>アラ</t>
    </rPh>
    <rPh sb="4" eb="5">
      <t>バ</t>
    </rPh>
    <rPh sb="5" eb="8">
      <t>テンケンコウ</t>
    </rPh>
    <rPh sb="8" eb="10">
      <t>ダッチャク</t>
    </rPh>
    <rPh sb="12" eb="14">
      <t>サギョウ</t>
    </rPh>
    <rPh sb="18" eb="21">
      <t>シスイセン</t>
    </rPh>
    <rPh sb="22" eb="23">
      <t>シキ</t>
    </rPh>
    <rPh sb="29" eb="31">
      <t>ダイドコロ</t>
    </rPh>
    <rPh sb="31" eb="33">
      <t>キゾン</t>
    </rPh>
    <rPh sb="39" eb="42">
      <t>チュウゴクジン</t>
    </rPh>
    <phoneticPr fontId="1"/>
  </si>
  <si>
    <t>嶋田 義久</t>
    <rPh sb="0" eb="2">
      <t>シマダ</t>
    </rPh>
    <rPh sb="3" eb="5">
      <t>ヨシヒサ</t>
    </rPh>
    <phoneticPr fontId="1"/>
  </si>
  <si>
    <t>048-686-7921</t>
    <phoneticPr fontId="1"/>
  </si>
  <si>
    <t>WRV1117・155AU0</t>
    <phoneticPr fontId="1"/>
  </si>
  <si>
    <t>金森 洋子</t>
    <rPh sb="0" eb="2">
      <t>カナモリ</t>
    </rPh>
    <rPh sb="3" eb="5">
      <t>ヨウコ</t>
    </rPh>
    <phoneticPr fontId="1"/>
  </si>
  <si>
    <t>090-1401-7892</t>
    <phoneticPr fontId="1"/>
  </si>
  <si>
    <t>JZ1116</t>
    <phoneticPr fontId="1"/>
  </si>
  <si>
    <t>蓮尾 征一郎</t>
    <rPh sb="0" eb="2">
      <t>ハスオ</t>
    </rPh>
    <rPh sb="3" eb="6">
      <t>セイイチロウ</t>
    </rPh>
    <phoneticPr fontId="1"/>
  </si>
  <si>
    <t>048-685-5979
090-2229-2601</t>
    <phoneticPr fontId="1"/>
  </si>
  <si>
    <t>浴室ｴﾌﾟﾛﾝ内部材接続　洗面所床FL→CF貼替、洗面所にクローゼットあり作業はいるため片付け　洗面台と洗濯機位置変わっているふかし壁あり、洗濯水栓ふかし壁内で接続→ふかし壁開口　トイレ床嵩上げ　配管は部分的にしか更新されていない　玄関収納床FL→ベニヤ復旧</t>
    <rPh sb="0" eb="2">
      <t>ヨクシツ</t>
    </rPh>
    <rPh sb="7" eb="12">
      <t>ナイブザイセツゾク</t>
    </rPh>
    <rPh sb="13" eb="16">
      <t>センメンジョ</t>
    </rPh>
    <rPh sb="16" eb="17">
      <t>ユカ</t>
    </rPh>
    <rPh sb="22" eb="24">
      <t>ハリカエ</t>
    </rPh>
    <rPh sb="25" eb="28">
      <t>センメンジョ</t>
    </rPh>
    <rPh sb="37" eb="39">
      <t>サギョウ</t>
    </rPh>
    <rPh sb="44" eb="46">
      <t>カタヅ</t>
    </rPh>
    <rPh sb="48" eb="51">
      <t>センメンダイ</t>
    </rPh>
    <rPh sb="52" eb="57">
      <t>センタクキイチ</t>
    </rPh>
    <rPh sb="57" eb="58">
      <t>カ</t>
    </rPh>
    <rPh sb="66" eb="67">
      <t>カベ</t>
    </rPh>
    <rPh sb="70" eb="74">
      <t>センタクスイセン</t>
    </rPh>
    <rPh sb="77" eb="78">
      <t>カベ</t>
    </rPh>
    <rPh sb="78" eb="79">
      <t>ナイ</t>
    </rPh>
    <rPh sb="80" eb="82">
      <t>セツゾク</t>
    </rPh>
    <rPh sb="86" eb="89">
      <t>カベカイコウ</t>
    </rPh>
    <rPh sb="93" eb="96">
      <t>ユカカサア</t>
    </rPh>
    <rPh sb="98" eb="100">
      <t>ハイカン</t>
    </rPh>
    <rPh sb="101" eb="104">
      <t>ブブンテキ</t>
    </rPh>
    <rPh sb="107" eb="109">
      <t>コウシン</t>
    </rPh>
    <rPh sb="116" eb="118">
      <t>ゲンカン</t>
    </rPh>
    <rPh sb="118" eb="120">
      <t>シュウノウ</t>
    </rPh>
    <rPh sb="120" eb="121">
      <t>ユカ</t>
    </rPh>
    <rPh sb="127" eb="129">
      <t>フッキュウ</t>
    </rPh>
    <phoneticPr fontId="1"/>
  </si>
  <si>
    <t>伊藤 あや子</t>
    <rPh sb="0" eb="2">
      <t>イトウ</t>
    </rPh>
    <rPh sb="5" eb="6">
      <t>コ</t>
    </rPh>
    <phoneticPr fontId="1"/>
  </si>
  <si>
    <t>048-684-9663
090-3207-6527</t>
    <phoneticPr fontId="1"/>
  </si>
  <si>
    <t>1200+300ｷｬﾋﾞ</t>
    <phoneticPr fontId="1"/>
  </si>
  <si>
    <t>WZV1216・149EM8</t>
    <phoneticPr fontId="1"/>
  </si>
  <si>
    <t xml:space="preserve"> </t>
    <phoneticPr fontId="1"/>
  </si>
  <si>
    <t>浴室鏡裏開口　底板SUS→ポリ復旧、既存壁だし　給湯器洗濯パンの上に乗っている為モール立ち上げスペースなし、洗濯パン交換検討していただく一応洗面台側から立ち上げることは可能　庭に人工芝、剝がしておいてもらう　トイレ手すり有</t>
    <rPh sb="0" eb="2">
      <t>ヨクシツ</t>
    </rPh>
    <rPh sb="2" eb="3">
      <t>カガミ</t>
    </rPh>
    <rPh sb="3" eb="6">
      <t>ウラカイコウ</t>
    </rPh>
    <rPh sb="7" eb="9">
      <t>ソコイタ</t>
    </rPh>
    <rPh sb="12" eb="17">
      <t>ヤジルシポリフッキュウ</t>
    </rPh>
    <rPh sb="18" eb="21">
      <t>キゾンカベ</t>
    </rPh>
    <rPh sb="24" eb="27">
      <t>キュウトウキ</t>
    </rPh>
    <rPh sb="27" eb="29">
      <t>センタク</t>
    </rPh>
    <rPh sb="32" eb="33">
      <t>ウエ</t>
    </rPh>
    <rPh sb="34" eb="35">
      <t>ノ</t>
    </rPh>
    <rPh sb="39" eb="40">
      <t>タメ</t>
    </rPh>
    <rPh sb="43" eb="44">
      <t>タ</t>
    </rPh>
    <rPh sb="45" eb="46">
      <t>ア</t>
    </rPh>
    <rPh sb="54" eb="56">
      <t>センタク</t>
    </rPh>
    <rPh sb="58" eb="60">
      <t>コウカン</t>
    </rPh>
    <rPh sb="60" eb="62">
      <t>ケントウ</t>
    </rPh>
    <rPh sb="68" eb="70">
      <t>イチオウ</t>
    </rPh>
    <rPh sb="70" eb="74">
      <t>センメンダイガワ</t>
    </rPh>
    <rPh sb="76" eb="77">
      <t>タ</t>
    </rPh>
    <rPh sb="78" eb="79">
      <t>ア</t>
    </rPh>
    <rPh sb="84" eb="86">
      <t>カノウ</t>
    </rPh>
    <rPh sb="87" eb="88">
      <t>ニワ</t>
    </rPh>
    <rPh sb="89" eb="92">
      <t>ジンコウシバ</t>
    </rPh>
    <rPh sb="93" eb="94">
      <t>ハ</t>
    </rPh>
    <rPh sb="107" eb="108">
      <t>テ</t>
    </rPh>
    <rPh sb="110" eb="111">
      <t>アリ</t>
    </rPh>
    <phoneticPr fontId="1"/>
  </si>
  <si>
    <t>浴室ｴﾌﾟﾛﾝ内部材接続　給湯管追い焚き管更新済み　底板SUS→ポリ復旧
給湯器カバーあり、すぐ外せる使えなくなっても大丈夫とのこと　ﾄｲﾚ止水栓D式ｱﾝｸﾞﾙ</t>
    <rPh sb="0" eb="2">
      <t>ヨクシツ</t>
    </rPh>
    <rPh sb="7" eb="12">
      <t>ナイブザイセツゾク</t>
    </rPh>
    <rPh sb="13" eb="16">
      <t>キュウトウカン</t>
    </rPh>
    <rPh sb="16" eb="17">
      <t>オ</t>
    </rPh>
    <rPh sb="18" eb="19">
      <t>ダ</t>
    </rPh>
    <rPh sb="20" eb="24">
      <t>カンコウシンズ</t>
    </rPh>
    <rPh sb="26" eb="28">
      <t>ソコイタ</t>
    </rPh>
    <rPh sb="31" eb="36">
      <t>ヤジルシポリフッキュウ</t>
    </rPh>
    <rPh sb="37" eb="40">
      <t>キュウトウキ</t>
    </rPh>
    <rPh sb="48" eb="49">
      <t>ハズ</t>
    </rPh>
    <rPh sb="51" eb="52">
      <t>ツカ</t>
    </rPh>
    <rPh sb="59" eb="62">
      <t>ダイジョウブ</t>
    </rPh>
    <rPh sb="70" eb="73">
      <t>シスイセン</t>
    </rPh>
    <rPh sb="74" eb="75">
      <t>シキ</t>
    </rPh>
    <phoneticPr fontId="1"/>
  </si>
  <si>
    <t>浴室ｴﾌﾟﾛﾝ内点検口再使用ｺｰｷﾝｸﾞ打ち　底板SUS→ポリ復旧　
台所棚片付けるから移動手伝ってほしい、片付けできていなかったらできないとお伝え</t>
    <rPh sb="0" eb="2">
      <t>ヨクシツ</t>
    </rPh>
    <rPh sb="7" eb="8">
      <t>ナイ</t>
    </rPh>
    <rPh sb="8" eb="14">
      <t>テンケンコウサイシヨウ</t>
    </rPh>
    <rPh sb="20" eb="21">
      <t>ウ</t>
    </rPh>
    <rPh sb="23" eb="25">
      <t>ソコイタ</t>
    </rPh>
    <rPh sb="28" eb="33">
      <t>ヤジルシポリフッキュウ</t>
    </rPh>
    <rPh sb="35" eb="37">
      <t>ダイドコロ</t>
    </rPh>
    <rPh sb="37" eb="38">
      <t>タナ</t>
    </rPh>
    <rPh sb="38" eb="40">
      <t>カタヅ</t>
    </rPh>
    <rPh sb="44" eb="46">
      <t>イドウ</t>
    </rPh>
    <rPh sb="46" eb="48">
      <t>テツダ</t>
    </rPh>
    <rPh sb="54" eb="56">
      <t>カタヅ</t>
    </rPh>
    <rPh sb="72" eb="73">
      <t>ツタ</t>
    </rPh>
    <phoneticPr fontId="1"/>
  </si>
  <si>
    <t>浴室ｴﾌﾟﾛﾝ内部材接続　給水付きの洗濯パンに交換希望　台所既存トラップ
内臓下地復旧まで、別業者で張り替えるか検討中、ボードまでかパテまでか初日に確認する</t>
    <rPh sb="0" eb="2">
      <t>ヨクシツ</t>
    </rPh>
    <rPh sb="7" eb="12">
      <t>ナイブザイセツゾク</t>
    </rPh>
    <rPh sb="13" eb="16">
      <t>キュウスイツ</t>
    </rPh>
    <rPh sb="18" eb="20">
      <t>センタク</t>
    </rPh>
    <rPh sb="23" eb="27">
      <t>コウカンキボウ</t>
    </rPh>
    <rPh sb="28" eb="32">
      <t>ダイドコロキゾン</t>
    </rPh>
    <rPh sb="37" eb="39">
      <t>ナイゾウ</t>
    </rPh>
    <rPh sb="40" eb="43">
      <t>フッキュウ</t>
    </rPh>
    <rPh sb="46" eb="49">
      <t>ギョウシャデ</t>
    </rPh>
    <rPh sb="49" eb="55">
      <t>ハリカエルカ</t>
    </rPh>
    <rPh sb="55" eb="58">
      <t>ケントウチュウ</t>
    </rPh>
    <rPh sb="58" eb="59">
      <t>、</t>
    </rPh>
    <rPh sb="70" eb="73">
      <t>ショニチニ</t>
    </rPh>
    <rPh sb="74" eb="77">
      <t>ンスル</t>
    </rPh>
    <phoneticPr fontId="1"/>
  </si>
  <si>
    <t>浴室鏡裏開口　底板SUS→ポリ復旧　モール立ち上げの為洗濯パンを洗面台側に2cmずらす　
おばあちゃん高齢だが荷物はかたづけてくれていた</t>
    <rPh sb="0" eb="2">
      <t>ヨクシツ</t>
    </rPh>
    <rPh sb="2" eb="6">
      <t>カガミウラカイコウ</t>
    </rPh>
    <rPh sb="7" eb="9">
      <t>ソコイタ</t>
    </rPh>
    <rPh sb="12" eb="17">
      <t>ヤジルシポリフッキュウ</t>
    </rPh>
    <rPh sb="21" eb="22">
      <t>タ</t>
    </rPh>
    <rPh sb="23" eb="24">
      <t>ア</t>
    </rPh>
    <rPh sb="26" eb="27">
      <t>タメ</t>
    </rPh>
    <rPh sb="27" eb="29">
      <t>センタク</t>
    </rPh>
    <rPh sb="32" eb="36">
      <t>センメンダイガワ</t>
    </rPh>
    <rPh sb="51" eb="53">
      <t>コウレイ</t>
    </rPh>
    <rPh sb="55" eb="57">
      <t>ニモツ</t>
    </rPh>
    <phoneticPr fontId="1"/>
  </si>
  <si>
    <t>浴室ｴﾌﾟﾛﾝ内部材接続　トイレｿﾌﾄ巾木、木巾木にしたい　
組合費で追い焚き管交換できるようにしてほしい　洗面所トイレ床鳴りする</t>
    <rPh sb="0" eb="2">
      <t>ヨクシツ</t>
    </rPh>
    <rPh sb="7" eb="12">
      <t>ナイブザイセツゾク</t>
    </rPh>
    <rPh sb="19" eb="21">
      <t>ハバキ</t>
    </rPh>
    <rPh sb="22" eb="25">
      <t>モクハバキ</t>
    </rPh>
    <rPh sb="31" eb="34">
      <t>クミアイヒ</t>
    </rPh>
    <rPh sb="35" eb="36">
      <t>オ</t>
    </rPh>
    <rPh sb="37" eb="38">
      <t>ダ</t>
    </rPh>
    <rPh sb="39" eb="40">
      <t>カン</t>
    </rPh>
    <rPh sb="40" eb="42">
      <t>コウカン</t>
    </rPh>
    <rPh sb="54" eb="57">
      <t>センメンジョ</t>
    </rPh>
    <rPh sb="60" eb="62">
      <t>ユカナ</t>
    </rPh>
    <phoneticPr fontId="1"/>
  </si>
  <si>
    <t>ﾄｲﾚ床嵩上げ木巾木埋まっている　便器少し後ろに下げたい　
浴室ｴﾌﾟﾛﾝない点検口設置する　ﾄｲﾚ止水栓D式ｱﾝｸﾞﾙ</t>
    <rPh sb="3" eb="4">
      <t>ユカ</t>
    </rPh>
    <rPh sb="4" eb="6">
      <t>カサア</t>
    </rPh>
    <rPh sb="7" eb="10">
      <t>モクハバキ</t>
    </rPh>
    <rPh sb="10" eb="11">
      <t>ウ</t>
    </rPh>
    <rPh sb="17" eb="19">
      <t>ベンキ</t>
    </rPh>
    <rPh sb="19" eb="20">
      <t>スコ</t>
    </rPh>
    <rPh sb="21" eb="22">
      <t>ウシ</t>
    </rPh>
    <rPh sb="24" eb="25">
      <t>サ</t>
    </rPh>
    <rPh sb="30" eb="32">
      <t>ヨクシツ</t>
    </rPh>
    <rPh sb="39" eb="44">
      <t>テンケンコウセッチ</t>
    </rPh>
    <rPh sb="50" eb="53">
      <t>シスイセン</t>
    </rPh>
    <rPh sb="54" eb="55">
      <t>シキ</t>
    </rPh>
    <phoneticPr fontId="1"/>
  </si>
  <si>
    <t>ｷｯﾁﾝ位置変わってる　SUSポリ復旧　洗面所入口扉ついてる　
ｴﾌﾟﾛﾝ内点検口設置　止水栓D式　ﾄｲﾚ吊り戸脱着</t>
    <rPh sb="4" eb="7">
      <t>イチカ</t>
    </rPh>
    <rPh sb="17" eb="19">
      <t>フッキュウ</t>
    </rPh>
    <rPh sb="20" eb="23">
      <t>センメンジョ</t>
    </rPh>
    <rPh sb="23" eb="25">
      <t>イリグチ</t>
    </rPh>
    <rPh sb="25" eb="26">
      <t>トビラ</t>
    </rPh>
    <rPh sb="37" eb="43">
      <t>ナイテンケンコウセッチ</t>
    </rPh>
    <rPh sb="44" eb="47">
      <t>シスイセン</t>
    </rPh>
    <rPh sb="48" eb="49">
      <t>シキ</t>
    </rPh>
    <rPh sb="53" eb="54">
      <t>ツ</t>
    </rPh>
    <rPh sb="55" eb="56">
      <t>ト</t>
    </rPh>
    <rPh sb="56" eb="58">
      <t>ダッチャク</t>
    </rPh>
    <phoneticPr fontId="1"/>
  </si>
  <si>
    <t>洗面所壁点検口設置　ﾄｲﾚ止水栓D式ｱﾝｸﾞﾙ　
給湯器下ｶﾊﾞｰありモール立ち上げ後入らなくなるかもと説明　内装ｵｰﾅｰ様に確認してもらう</t>
    <rPh sb="0" eb="4">
      <t>センメンジョカベ</t>
    </rPh>
    <rPh sb="4" eb="9">
      <t>テンケンコウセッチ</t>
    </rPh>
    <rPh sb="13" eb="16">
      <t>シスイセン</t>
    </rPh>
    <rPh sb="17" eb="18">
      <t>シキ</t>
    </rPh>
    <rPh sb="25" eb="28">
      <t>キュウトウキ</t>
    </rPh>
    <rPh sb="28" eb="29">
      <t>シタ</t>
    </rPh>
    <rPh sb="38" eb="39">
      <t>タ</t>
    </rPh>
    <rPh sb="40" eb="41">
      <t>ア</t>
    </rPh>
    <rPh sb="42" eb="43">
      <t>ゴ</t>
    </rPh>
    <rPh sb="43" eb="44">
      <t>ハイ</t>
    </rPh>
    <rPh sb="52" eb="54">
      <t>セツメイ</t>
    </rPh>
    <rPh sb="55" eb="57">
      <t>ナイソウ</t>
    </rPh>
    <rPh sb="61" eb="62">
      <t>サマ</t>
    </rPh>
    <rPh sb="63" eb="65">
      <t>カクニン</t>
    </rPh>
    <phoneticPr fontId="1"/>
  </si>
  <si>
    <t>ﾄｲﾚ壁塩ビ系のパネル→玄関側からの施工説明、費用によってどうするか決める　
給湯管更新済み　玄関ﾗｲﾆﾝｸﾞ解体復旧必要(ｸﾛｽ仕上げ)　浴室ｴﾌﾟﾛﾝ内点検口設置</t>
    <rPh sb="3" eb="4">
      <t>カベ</t>
    </rPh>
    <rPh sb="4" eb="5">
      <t>エン</t>
    </rPh>
    <rPh sb="6" eb="7">
      <t>ケイ</t>
    </rPh>
    <rPh sb="12" eb="15">
      <t>ゲンカンガワ</t>
    </rPh>
    <rPh sb="18" eb="22">
      <t>セコウセツメイ</t>
    </rPh>
    <rPh sb="23" eb="25">
      <t>ヒヨウ</t>
    </rPh>
    <rPh sb="34" eb="35">
      <t>キ</t>
    </rPh>
    <rPh sb="39" eb="42">
      <t>キュウトウカン</t>
    </rPh>
    <rPh sb="42" eb="45">
      <t>コウシンズ</t>
    </rPh>
    <rPh sb="47" eb="49">
      <t>ゲンカン</t>
    </rPh>
    <rPh sb="55" eb="61">
      <t>カイタイフッキュウヒツヨウ</t>
    </rPh>
    <rPh sb="65" eb="67">
      <t>シア</t>
    </rPh>
    <rPh sb="70" eb="72">
      <t>ヨクシツ</t>
    </rPh>
    <rPh sb="77" eb="83">
      <t>ナイテンケンコウセッチ</t>
    </rPh>
    <phoneticPr fontId="1"/>
  </si>
  <si>
    <t>浴室ｴﾌﾟﾛﾝ内部材接続　ひな段点検口あり、底板SUS→ポリ復旧　
ﾄｲﾚ止水栓ｽﾄﾚｰﾅｰ付　洗濯水栓２口あるが交換してOK　</t>
    <rPh sb="0" eb="2">
      <t>ヨクシツ</t>
    </rPh>
    <rPh sb="7" eb="12">
      <t>ナイブザイセツゾク</t>
    </rPh>
    <rPh sb="15" eb="16">
      <t>ダン</t>
    </rPh>
    <rPh sb="16" eb="19">
      <t>テンケンコウ</t>
    </rPh>
    <rPh sb="22" eb="24">
      <t>ソコイタ</t>
    </rPh>
    <rPh sb="27" eb="32">
      <t>ヤジルシポリフッキュウ</t>
    </rPh>
    <rPh sb="37" eb="40">
      <t>シスイセン</t>
    </rPh>
    <rPh sb="46" eb="47">
      <t>ツキ</t>
    </rPh>
    <rPh sb="48" eb="50">
      <t>センタク</t>
    </rPh>
    <rPh sb="50" eb="52">
      <t>スイセン</t>
    </rPh>
    <rPh sb="53" eb="54">
      <t>クチ</t>
    </rPh>
    <rPh sb="57" eb="59">
      <t>コウカン</t>
    </rPh>
    <phoneticPr fontId="1"/>
  </si>
  <si>
    <t>玄関ｸﾛｰｾﾞｯﾄにしている給水ﾙｰﾄ検討　洗濯水栓位置変えるか給水付きの洗濯パンにするか検討　
ﾄｲﾚ止水栓D式ｱﾝｸﾞﾙ</t>
    <rPh sb="0" eb="2">
      <t>ゲンカン</t>
    </rPh>
    <rPh sb="14" eb="16">
      <t>キュウスイ</t>
    </rPh>
    <rPh sb="19" eb="21">
      <t>ケントウ</t>
    </rPh>
    <rPh sb="22" eb="26">
      <t>センタクスイセン</t>
    </rPh>
    <rPh sb="26" eb="29">
      <t>イチカ</t>
    </rPh>
    <rPh sb="32" eb="35">
      <t>キュウスイツ</t>
    </rPh>
    <rPh sb="37" eb="39">
      <t>センタク</t>
    </rPh>
    <rPh sb="45" eb="47">
      <t>ケントウ</t>
    </rPh>
    <rPh sb="52" eb="55">
      <t>シスイセン</t>
    </rPh>
    <rPh sb="56" eb="57">
      <t>シキ</t>
    </rPh>
    <phoneticPr fontId="1"/>
  </si>
  <si>
    <t>浴室ｴﾌﾟﾛﾝ内部材接続　洗面所ふかし壁あり　隠蔽配管希望(基本ルートでもよさそう)　
洗濯パン給水付きのものに交換したい</t>
    <rPh sb="0" eb="2">
      <t>ヨクシツ</t>
    </rPh>
    <rPh sb="7" eb="8">
      <t>ナイ</t>
    </rPh>
    <rPh sb="8" eb="12">
      <t>ブザイセツゾク</t>
    </rPh>
    <rPh sb="13" eb="16">
      <t>センメンジョ</t>
    </rPh>
    <rPh sb="19" eb="20">
      <t>カベ</t>
    </rPh>
    <rPh sb="23" eb="27">
      <t>インペイハイカン</t>
    </rPh>
    <rPh sb="27" eb="29">
      <t>キボウ</t>
    </rPh>
    <rPh sb="30" eb="32">
      <t>キホン</t>
    </rPh>
    <rPh sb="44" eb="46">
      <t>センタク</t>
    </rPh>
    <rPh sb="48" eb="51">
      <t>キュウスイツ</t>
    </rPh>
    <rPh sb="56" eb="58">
      <t>コウカン</t>
    </rPh>
    <phoneticPr fontId="1"/>
  </si>
  <si>
    <t>浴室ｴﾌﾟﾛﾝ内部材接続　給湯器下にパネル</t>
    <rPh sb="0" eb="2">
      <t>ヨクシツ</t>
    </rPh>
    <rPh sb="7" eb="12">
      <t>ナイブザイセツゾク</t>
    </rPh>
    <rPh sb="13" eb="17">
      <t>キュウトウキシタヨクシツブザイセツ</t>
    </rPh>
    <phoneticPr fontId="1"/>
  </si>
  <si>
    <t>ﾄｲﾚ止水栓ｽﾄﾚｰﾅｰ付　浴槽ｴﾌﾟﾛﾝ外せない洗面所床から接続できるかも　洗面給水給湯更新済み→全更新希望　</t>
    <rPh sb="3" eb="6">
      <t>シスイセン</t>
    </rPh>
    <rPh sb="12" eb="13">
      <t>ツキ</t>
    </rPh>
    <rPh sb="14" eb="16">
      <t>ヨクソウ</t>
    </rPh>
    <rPh sb="21" eb="22">
      <t>ハズ</t>
    </rPh>
    <rPh sb="25" eb="28">
      <t>センメンジョ</t>
    </rPh>
    <rPh sb="28" eb="29">
      <t>ユカ</t>
    </rPh>
    <rPh sb="31" eb="33">
      <t>セツゾク</t>
    </rPh>
    <rPh sb="39" eb="41">
      <t>センメン</t>
    </rPh>
    <rPh sb="41" eb="45">
      <t>キュウスイキュウトウ</t>
    </rPh>
    <rPh sb="46" eb="48">
      <t>ズミ</t>
    </rPh>
    <rPh sb="50" eb="52">
      <t>コウシン</t>
    </rPh>
    <rPh sb="52" eb="54">
      <t>キボウ</t>
    </rPh>
    <rPh sb="54" eb="55">
      <t>　</t>
    </rPh>
    <phoneticPr fontId="1"/>
  </si>
  <si>
    <t>浴室ｶｳﾝﾀｰ付き水栓２つｺｰｷﾝｸﾞ打ちされていてｴﾌﾟﾛﾝ外せなかったｴﾌﾟﾛﾝ内点検口設置と説明　
レストパル止水栓D式ｱﾝｸﾞﾙ　洗濯水栓モールコンセントよけて立ち上げる</t>
    <rPh sb="0" eb="2">
      <t>ヨクシツ</t>
    </rPh>
    <rPh sb="7" eb="8">
      <t>ツ</t>
    </rPh>
    <rPh sb="9" eb="11">
      <t>スイセン</t>
    </rPh>
    <rPh sb="19" eb="20">
      <t>ウ</t>
    </rPh>
    <rPh sb="31" eb="32">
      <t>ハズ</t>
    </rPh>
    <rPh sb="40" eb="43">
      <t>テンケンコウ</t>
    </rPh>
    <rPh sb="43" eb="46">
      <t>セッチト</t>
    </rPh>
    <rPh sb="46" eb="48">
      <t>セツメイ</t>
    </rPh>
    <rPh sb="49" eb="51">
      <t>レスト</t>
    </rPh>
    <rPh sb="58" eb="59">
      <t>Ｄ</t>
    </rPh>
    <rPh sb="59" eb="60">
      <t>シキ</t>
    </rPh>
    <rPh sb="60" eb="64">
      <t>アングル</t>
    </rPh>
    <rPh sb="69" eb="72">
      <t>モール</t>
    </rPh>
    <rPh sb="72" eb="77">
      <t>コンセント</t>
    </rPh>
    <rPh sb="80" eb="85">
      <t>タチアゲル</t>
    </rPh>
    <phoneticPr fontId="1"/>
  </si>
  <si>
    <t>12月末に台所交換する、OP工事検討されているのでOP打合せの時に同行し再調査する　
追い焚き管更新済み　ﾄｲﾚ手すり　ｴﾌﾟﾛﾝ内部材接続</t>
    <rPh sb="2" eb="3">
      <t>ガツ</t>
    </rPh>
    <rPh sb="3" eb="4">
      <t>マツ</t>
    </rPh>
    <rPh sb="5" eb="7">
      <t>ダイドコロ</t>
    </rPh>
    <rPh sb="7" eb="9">
      <t>コウカン</t>
    </rPh>
    <rPh sb="14" eb="16">
      <t>コウジ</t>
    </rPh>
    <rPh sb="16" eb="18">
      <t>ケントウ</t>
    </rPh>
    <rPh sb="27" eb="29">
      <t>ウチアワ</t>
    </rPh>
    <rPh sb="31" eb="32">
      <t>トキ</t>
    </rPh>
    <rPh sb="33" eb="35">
      <t>ドウコウ</t>
    </rPh>
    <rPh sb="36" eb="39">
      <t>サイチョウサ</t>
    </rPh>
    <rPh sb="43" eb="44">
      <t>オ</t>
    </rPh>
    <rPh sb="45" eb="46">
      <t>ダ</t>
    </rPh>
    <rPh sb="47" eb="48">
      <t>カン</t>
    </rPh>
    <rPh sb="48" eb="50">
      <t>コウシン</t>
    </rPh>
    <rPh sb="50" eb="51">
      <t>ズ</t>
    </rPh>
    <rPh sb="56" eb="57">
      <t>テ</t>
    </rPh>
    <rPh sb="65" eb="68">
      <t>ナイブザイ</t>
    </rPh>
    <rPh sb="68" eb="70">
      <t>セツゾク</t>
    </rPh>
    <phoneticPr fontId="1"/>
  </si>
  <si>
    <t>浴室鏡裏開口、ｴﾌﾟﾛﾝ内点検口ありｺｰｷﾝｸﾞ打ちされている　
給湯管、追い焚き管更新済み　トイレ止水栓ｽﾄﾚｰﾅｰ付　台所ﾄﾗｯﾌﾟ既存　</t>
    <rPh sb="0" eb="2">
      <t>ヨクシツ</t>
    </rPh>
    <rPh sb="2" eb="6">
      <t>カガミウラカイコウ</t>
    </rPh>
    <rPh sb="12" eb="13">
      <t>ナイ</t>
    </rPh>
    <rPh sb="13" eb="16">
      <t>テンケンコウ</t>
    </rPh>
    <rPh sb="24" eb="25">
      <t>ウ</t>
    </rPh>
    <rPh sb="33" eb="36">
      <t>キュウトウカン</t>
    </rPh>
    <rPh sb="37" eb="38">
      <t>オ</t>
    </rPh>
    <rPh sb="39" eb="40">
      <t>ダ</t>
    </rPh>
    <rPh sb="41" eb="42">
      <t>カン</t>
    </rPh>
    <rPh sb="42" eb="45">
      <t>コウシンズ</t>
    </rPh>
    <rPh sb="50" eb="53">
      <t>シスイセン</t>
    </rPh>
    <rPh sb="59" eb="60">
      <t>ツキ</t>
    </rPh>
    <rPh sb="61" eb="63">
      <t>ダイドコロ</t>
    </rPh>
    <rPh sb="68" eb="70">
      <t>キゾン</t>
    </rPh>
    <phoneticPr fontId="1"/>
  </si>
  <si>
    <t>浴室ｴﾌﾟﾛﾝ内点検口ありｺｰｷﾝｸﾞ打ちされている　
給湯管、追い焚き管更新済み　ﾄｲﾚ止水栓ｽﾄﾚｰﾅｰ付　ひな段</t>
    <rPh sb="0" eb="2">
      <t>ヨクシツ</t>
    </rPh>
    <rPh sb="7" eb="8">
      <t>ナイ</t>
    </rPh>
    <rPh sb="8" eb="11">
      <t>テンケンコウ</t>
    </rPh>
    <rPh sb="19" eb="20">
      <t>ウ</t>
    </rPh>
    <rPh sb="28" eb="31">
      <t>キュウトウカン</t>
    </rPh>
    <rPh sb="32" eb="33">
      <t>オ</t>
    </rPh>
    <rPh sb="34" eb="35">
      <t>ダ</t>
    </rPh>
    <rPh sb="36" eb="37">
      <t>カン</t>
    </rPh>
    <rPh sb="37" eb="40">
      <t>コウシンズ</t>
    </rPh>
    <rPh sb="45" eb="48">
      <t>シスイセン</t>
    </rPh>
    <rPh sb="54" eb="55">
      <t>ツキ</t>
    </rPh>
    <rPh sb="58" eb="59">
      <t>ダン</t>
    </rPh>
    <phoneticPr fontId="1"/>
  </si>
  <si>
    <t>浴室ｴﾌﾟﾛﾝ内点検口あり再使用or鏡裏開口　給湯管更新済み　
洗濯水栓蛇口2つ使っていないので新しいものに交換する　ひな段</t>
    <rPh sb="0" eb="2">
      <t>ヨクシツ</t>
    </rPh>
    <rPh sb="7" eb="8">
      <t>ナイ</t>
    </rPh>
    <rPh sb="8" eb="11">
      <t>テンケンコウ</t>
    </rPh>
    <rPh sb="13" eb="16">
      <t>サイシヨウ</t>
    </rPh>
    <rPh sb="18" eb="22">
      <t>カガミウラカイコウ</t>
    </rPh>
    <rPh sb="23" eb="29">
      <t>キュウトウカンコウシンズ</t>
    </rPh>
    <rPh sb="32" eb="36">
      <t>センタクスイセン</t>
    </rPh>
    <rPh sb="36" eb="38">
      <t>ジャグチ</t>
    </rPh>
    <rPh sb="40" eb="41">
      <t>ツカ</t>
    </rPh>
    <rPh sb="48" eb="49">
      <t>アタラ</t>
    </rPh>
    <rPh sb="54" eb="56">
      <t>コウカン</t>
    </rPh>
    <rPh sb="61" eb="62">
      <t>ダン</t>
    </rPh>
    <phoneticPr fontId="1"/>
  </si>
  <si>
    <t>浴室ｴﾌﾟﾛﾝ内部材接続　給湯器下ｶﾊﾞｰ付きビス止め４か所　
底板SUS→ポリ復旧、既存壁だし　OPで追い焚き管交換検討中</t>
    <rPh sb="0" eb="2">
      <t>ヨクシツ</t>
    </rPh>
    <rPh sb="7" eb="12">
      <t>ナイブザイセツゾク</t>
    </rPh>
    <rPh sb="13" eb="16">
      <t>キュウトウキ</t>
    </rPh>
    <rPh sb="16" eb="17">
      <t>シタ</t>
    </rPh>
    <rPh sb="21" eb="22">
      <t>ツ</t>
    </rPh>
    <rPh sb="25" eb="26">
      <t>ド</t>
    </rPh>
    <rPh sb="29" eb="30">
      <t>ショ</t>
    </rPh>
    <rPh sb="32" eb="34">
      <t>ソコイタ</t>
    </rPh>
    <rPh sb="37" eb="42">
      <t>ヤジルシポリフッキュウ</t>
    </rPh>
    <rPh sb="43" eb="46">
      <t>キゾンカベ</t>
    </rPh>
    <rPh sb="52" eb="53">
      <t>オ</t>
    </rPh>
    <rPh sb="54" eb="55">
      <t>ダ</t>
    </rPh>
    <rPh sb="56" eb="59">
      <t>カンコウカン</t>
    </rPh>
    <rPh sb="59" eb="62">
      <t>ケントウチュウ</t>
    </rPh>
    <phoneticPr fontId="1"/>
  </si>
  <si>
    <t>給水給湯管更新済みかも→全更新希望の為通常工事　浴室ｴﾌﾟﾛﾝ内部材接続　
ひな段既存壁だし　トイレ床嵩上げ、便器少し後ろに下げたい</t>
    <rPh sb="0" eb="5">
      <t>キュウスイキュウトウカン</t>
    </rPh>
    <rPh sb="5" eb="8">
      <t>コウシンズ</t>
    </rPh>
    <rPh sb="11" eb="15">
      <t>ヤジルシゼンコウシン</t>
    </rPh>
    <rPh sb="15" eb="17">
      <t>キボウ</t>
    </rPh>
    <rPh sb="18" eb="19">
      <t>タメ</t>
    </rPh>
    <rPh sb="19" eb="23">
      <t>ツウジョウコウジ</t>
    </rPh>
    <rPh sb="24" eb="26">
      <t>ヨクシツ</t>
    </rPh>
    <rPh sb="32" eb="36">
      <t>ブザイセツゾク</t>
    </rPh>
    <rPh sb="40" eb="41">
      <t>ダン</t>
    </rPh>
    <rPh sb="41" eb="44">
      <t>キゾンカベ</t>
    </rPh>
    <rPh sb="50" eb="53">
      <t>ユカカサア</t>
    </rPh>
    <rPh sb="55" eb="58">
      <t>ベンキスコ</t>
    </rPh>
    <rPh sb="59" eb="60">
      <t>ウシ</t>
    </rPh>
    <rPh sb="62" eb="63">
      <t>サ</t>
    </rPh>
    <phoneticPr fontId="1"/>
  </si>
  <si>
    <t>浴室ｴﾌﾟﾛﾝ内部材接続　給湯管追い焚き管更新済み→給湯管更新する　
底板SUS→ポリ復旧、配管むき出しの為背板開口無し　ﾄｲﾚ止水栓ｽﾄﾚｰﾅｰ付</t>
    <rPh sb="0" eb="2">
      <t>ヨクシツ</t>
    </rPh>
    <rPh sb="7" eb="12">
      <t>ナイブザイセツゾク</t>
    </rPh>
    <rPh sb="13" eb="16">
      <t>キュウトウカン</t>
    </rPh>
    <rPh sb="16" eb="17">
      <t>オ</t>
    </rPh>
    <rPh sb="18" eb="19">
      <t>ダ</t>
    </rPh>
    <rPh sb="20" eb="21">
      <t>カン</t>
    </rPh>
    <rPh sb="21" eb="24">
      <t>コウシンズ</t>
    </rPh>
    <rPh sb="26" eb="31">
      <t>キュウトウカンコウシン</t>
    </rPh>
    <rPh sb="35" eb="37">
      <t>ソコイタ</t>
    </rPh>
    <rPh sb="43" eb="45">
      <t>フッキュウ</t>
    </rPh>
    <rPh sb="46" eb="48">
      <t>ハイカン</t>
    </rPh>
    <rPh sb="50" eb="51">
      <t>ダ</t>
    </rPh>
    <rPh sb="53" eb="54">
      <t>タメ</t>
    </rPh>
    <rPh sb="54" eb="58">
      <t>セイタカイコウ</t>
    </rPh>
    <rPh sb="58" eb="59">
      <t>ナ</t>
    </rPh>
    <rPh sb="64" eb="67">
      <t>シスイセン</t>
    </rPh>
    <rPh sb="73" eb="74">
      <t>ツキ</t>
    </rPh>
    <phoneticPr fontId="1"/>
  </si>
  <si>
    <t>浴室ｴﾌﾟﾛﾝ内部材接続洗面所CF長手、トイレCF短手　器具はベランダに置きたい　
ご主人寝たきりで母娘で介護している　ひな段有</t>
    <rPh sb="0" eb="2">
      <t>ヨクシツ</t>
    </rPh>
    <rPh sb="7" eb="12">
      <t>ナイブザイセツゾク</t>
    </rPh>
    <rPh sb="12" eb="15">
      <t>センメンジョ</t>
    </rPh>
    <rPh sb="17" eb="19">
      <t>ナガテ</t>
    </rPh>
    <rPh sb="25" eb="26">
      <t>ミジカ</t>
    </rPh>
    <rPh sb="26" eb="27">
      <t>テ</t>
    </rPh>
    <rPh sb="28" eb="30">
      <t>キグ</t>
    </rPh>
    <rPh sb="36" eb="37">
      <t>オ</t>
    </rPh>
    <rPh sb="43" eb="45">
      <t>シュジン</t>
    </rPh>
    <rPh sb="45" eb="46">
      <t>ネ</t>
    </rPh>
    <rPh sb="50" eb="52">
      <t>ハハムスメ</t>
    </rPh>
    <rPh sb="53" eb="55">
      <t>カイゴ</t>
    </rPh>
    <rPh sb="62" eb="64">
      <t>ダンアリ</t>
    </rPh>
    <phoneticPr fontId="1"/>
  </si>
  <si>
    <t>ﾄｲﾚ床フローリングCF貼替OK　給湯器更新済みかも　
洗面所壁点検口設置　台所ひな段あるが底板開口必要かも</t>
    <rPh sb="3" eb="4">
      <t>ユカ</t>
    </rPh>
    <rPh sb="12" eb="14">
      <t>ハリカエ</t>
    </rPh>
    <rPh sb="17" eb="23">
      <t>キュウトウキコウシンズ</t>
    </rPh>
    <rPh sb="28" eb="31">
      <t>センメンジョ</t>
    </rPh>
    <rPh sb="31" eb="32">
      <t>カベ</t>
    </rPh>
    <rPh sb="32" eb="37">
      <t>テンケンコウセッチ</t>
    </rPh>
    <rPh sb="38" eb="40">
      <t>ダイドコロ</t>
    </rPh>
    <rPh sb="42" eb="43">
      <t>ダン</t>
    </rPh>
    <rPh sb="46" eb="50">
      <t>ソコイタカイコウ</t>
    </rPh>
    <rPh sb="50" eb="52">
      <t>ヒツヨウ</t>
    </rPh>
    <phoneticPr fontId="1"/>
  </si>
  <si>
    <t>洗面所壁に点検口設置　洗面台お水の止水栓が硬くて回らず水が出ないお湯はでる　
台所ﾄﾗｯﾌﾟ補修ﾃｰﾌﾟ巻かれている</t>
    <rPh sb="0" eb="3">
      <t>センメンジョ</t>
    </rPh>
    <rPh sb="3" eb="4">
      <t>カベ</t>
    </rPh>
    <rPh sb="5" eb="8">
      <t>テンケンコウ</t>
    </rPh>
    <rPh sb="8" eb="10">
      <t>セッチ</t>
    </rPh>
    <rPh sb="11" eb="14">
      <t>センメンダイ</t>
    </rPh>
    <rPh sb="15" eb="16">
      <t>ミズ</t>
    </rPh>
    <rPh sb="17" eb="20">
      <t>シスイセン</t>
    </rPh>
    <rPh sb="21" eb="22">
      <t>カタ</t>
    </rPh>
    <rPh sb="24" eb="25">
      <t>マワ</t>
    </rPh>
    <rPh sb="27" eb="28">
      <t>ミズ</t>
    </rPh>
    <rPh sb="29" eb="30">
      <t>デ</t>
    </rPh>
    <rPh sb="33" eb="34">
      <t>ユ</t>
    </rPh>
    <rPh sb="39" eb="41">
      <t>ダイドコロ</t>
    </rPh>
    <rPh sb="46" eb="48">
      <t>ホシュウ</t>
    </rPh>
    <rPh sb="52" eb="53">
      <t>マ</t>
    </rPh>
    <phoneticPr fontId="1"/>
  </si>
  <si>
    <t>給水給湯管更新済み台所浴室作業無し　排水枝管未更新なら洗面所作業有り　
洗面ﾄｲﾚ床FLｿﾌﾄ巾木　ﾄｲﾚ止水栓ｽﾄﾚｰﾅｰ付</t>
    <rPh sb="0" eb="8">
      <t>キュウスイキュウトウカンコウシンズ</t>
    </rPh>
    <rPh sb="9" eb="11">
      <t>ダイドコロ</t>
    </rPh>
    <rPh sb="11" eb="13">
      <t>ヨクシツ</t>
    </rPh>
    <rPh sb="13" eb="16">
      <t>サギョウナ</t>
    </rPh>
    <rPh sb="18" eb="22">
      <t>ハイスイエダカン</t>
    </rPh>
    <rPh sb="22" eb="25">
      <t>ミコウシン</t>
    </rPh>
    <rPh sb="27" eb="30">
      <t>センメンジョ</t>
    </rPh>
    <rPh sb="30" eb="33">
      <t>サギョウアリ</t>
    </rPh>
    <rPh sb="36" eb="38">
      <t>センメン</t>
    </rPh>
    <rPh sb="41" eb="42">
      <t>ユカ</t>
    </rPh>
    <rPh sb="47" eb="49">
      <t>ハバキ</t>
    </rPh>
    <rPh sb="53" eb="56">
      <t>シスイセン</t>
    </rPh>
    <rPh sb="62" eb="63">
      <t>ツキ</t>
    </rPh>
    <phoneticPr fontId="1"/>
  </si>
  <si>
    <t>ﾄｲﾚ壁ﾊﾟﾈﾙ→目地を切って剥がすこともできるが再使用できるか不明、玄関側から作業させてもらう１面貼替　ﾄｲﾚ床は作業あり、止水栓ｽﾄﾚｰﾅｰ付</t>
    <rPh sb="3" eb="4">
      <t>カベ</t>
    </rPh>
    <rPh sb="9" eb="11">
      <t>メジ</t>
    </rPh>
    <rPh sb="12" eb="13">
      <t>キ</t>
    </rPh>
    <rPh sb="15" eb="16">
      <t>ハ</t>
    </rPh>
    <rPh sb="25" eb="28">
      <t>サイシヨウ</t>
    </rPh>
    <rPh sb="32" eb="34">
      <t>フメイ</t>
    </rPh>
    <rPh sb="35" eb="38">
      <t>ゲンカンガワ</t>
    </rPh>
    <rPh sb="40" eb="42">
      <t>サギョウ</t>
    </rPh>
    <rPh sb="49" eb="50">
      <t>メン</t>
    </rPh>
    <rPh sb="50" eb="52">
      <t>ハリカエ</t>
    </rPh>
    <rPh sb="56" eb="57">
      <t>ユカ</t>
    </rPh>
    <rPh sb="58" eb="60">
      <t>サギョウ</t>
    </rPh>
    <rPh sb="63" eb="66">
      <t>シスイセン</t>
    </rPh>
    <rPh sb="72" eb="73">
      <t>ツキ</t>
    </rPh>
    <phoneticPr fontId="1"/>
  </si>
  <si>
    <t>給水給湯排水枝管更新済み　ﾄｲﾚ床塩ビタイル入口見切り無し　
ﾄｲﾚのみ作業　洗濯水栓交換希望　ﾄｲﾚ止水栓ｽﾄﾚｰﾅｰ付</t>
    <rPh sb="0" eb="4">
      <t>キュウスイキュウトウ</t>
    </rPh>
    <rPh sb="4" eb="8">
      <t>ハイスイエダカン</t>
    </rPh>
    <rPh sb="8" eb="11">
      <t>コウシンズ</t>
    </rPh>
    <rPh sb="16" eb="17">
      <t>ユカ</t>
    </rPh>
    <rPh sb="17" eb="18">
      <t>エン</t>
    </rPh>
    <rPh sb="22" eb="24">
      <t>イリグチ</t>
    </rPh>
    <rPh sb="24" eb="26">
      <t>ミキ</t>
    </rPh>
    <rPh sb="27" eb="28">
      <t>ナ</t>
    </rPh>
    <rPh sb="36" eb="38">
      <t>サギョウ</t>
    </rPh>
    <rPh sb="39" eb="43">
      <t>センタクスイセン</t>
    </rPh>
    <rPh sb="43" eb="47">
      <t>コウカンキボウ</t>
    </rPh>
    <rPh sb="51" eb="54">
      <t>シスイセン</t>
    </rPh>
    <rPh sb="60" eb="61">
      <t>ツキ</t>
    </rPh>
    <phoneticPr fontId="1"/>
  </si>
  <si>
    <t>会社で借りているお部屋　内装材等ｵｰﾅｰ様に確認してくれる　
給湯器下ｶﾊﾞｰ付すぐ外せる　工事期間中空家になるかも</t>
    <rPh sb="0" eb="2">
      <t>カイシャ</t>
    </rPh>
    <rPh sb="3" eb="4">
      <t>カ</t>
    </rPh>
    <rPh sb="9" eb="11">
      <t>ヘヤ</t>
    </rPh>
    <rPh sb="12" eb="15">
      <t>ナイソウザイ</t>
    </rPh>
    <rPh sb="15" eb="16">
      <t>トウ</t>
    </rPh>
    <rPh sb="31" eb="34">
      <t>キュウトウキ</t>
    </rPh>
    <rPh sb="34" eb="35">
      <t>シタ</t>
    </rPh>
    <rPh sb="39" eb="40">
      <t>ツ</t>
    </rPh>
    <rPh sb="42" eb="43">
      <t>ハズ</t>
    </rPh>
    <rPh sb="46" eb="51">
      <t>コウジキカンチュウ</t>
    </rPh>
    <rPh sb="51" eb="53">
      <t>アキヤ</t>
    </rPh>
    <phoneticPr fontId="1"/>
  </si>
  <si>
    <t>給水給湯管更新済みかも　立管のみ工事　ﾄｲﾚ床嵩上げ50㎜　
洋室ｸﾛｰｾﾞｯﾄ内床点検口設置　ﾄｲﾚ止水栓ｽﾄﾚｰﾅｰ付</t>
    <rPh sb="0" eb="5">
      <t>キュウスイキュウトウカン</t>
    </rPh>
    <rPh sb="5" eb="8">
      <t>コウシンズ</t>
    </rPh>
    <rPh sb="12" eb="14">
      <t>タテカン</t>
    </rPh>
    <rPh sb="16" eb="18">
      <t>コウジ</t>
    </rPh>
    <rPh sb="22" eb="23">
      <t>ユカ</t>
    </rPh>
    <rPh sb="23" eb="25">
      <t>カサア</t>
    </rPh>
    <rPh sb="31" eb="33">
      <t>ヨウシツ</t>
    </rPh>
    <rPh sb="40" eb="41">
      <t>ナイ</t>
    </rPh>
    <rPh sb="41" eb="42">
      <t>ユカ</t>
    </rPh>
    <rPh sb="42" eb="45">
      <t>テンケンコウ</t>
    </rPh>
    <rPh sb="45" eb="47">
      <t>セッチ</t>
    </rPh>
    <rPh sb="51" eb="54">
      <t>シスイセン</t>
    </rPh>
    <rPh sb="60" eb="61">
      <t>ツキ</t>
    </rPh>
    <phoneticPr fontId="1"/>
  </si>
  <si>
    <t>ﾄｲﾚ止水栓ｽﾄﾚｰﾅｰ付　浴室鏡裏開口orｴﾌﾟﾛﾝ内点検口設置　
ｷｯﾁﾝ底板SUS→ポリ復旧　給湯管更新済み</t>
    <rPh sb="3" eb="6">
      <t>シスイセン</t>
    </rPh>
    <rPh sb="12" eb="13">
      <t>ツキ</t>
    </rPh>
    <rPh sb="14" eb="16">
      <t>ヨクシツ</t>
    </rPh>
    <rPh sb="16" eb="17">
      <t>カガミ</t>
    </rPh>
    <rPh sb="17" eb="18">
      <t>ウラ</t>
    </rPh>
    <rPh sb="18" eb="20">
      <t>カイコウ</t>
    </rPh>
    <rPh sb="27" eb="30">
      <t>テンケンコウ</t>
    </rPh>
    <rPh sb="30" eb="32">
      <t>セッチ</t>
    </rPh>
    <rPh sb="32" eb="33">
      <t>　</t>
    </rPh>
    <rPh sb="38" eb="40">
      <t>ソコイタ</t>
    </rPh>
    <rPh sb="40" eb="41">
      <t>ＳＵ</t>
    </rPh>
    <rPh sb="46" eb="48">
      <t>フッキュウ</t>
    </rPh>
    <rPh sb="48" eb="49">
      <t>　</t>
    </rPh>
    <rPh sb="50" eb="52">
      <t>キュウトウカン</t>
    </rPh>
    <rPh sb="52" eb="54">
      <t>コウシン</t>
    </rPh>
    <rPh sb="54" eb="56">
      <t>ズミ</t>
    </rPh>
    <phoneticPr fontId="1"/>
  </si>
  <si>
    <t>武藤 一男</t>
    <rPh sb="0" eb="2">
      <t>ムトウ</t>
    </rPh>
    <rPh sb="3" eb="5">
      <t>カズオ</t>
    </rPh>
    <phoneticPr fontId="1"/>
  </si>
  <si>
    <t>090-1266-1999</t>
    <phoneticPr fontId="1"/>
  </si>
  <si>
    <t>WRV1117・160E9U</t>
    <phoneticPr fontId="1"/>
  </si>
  <si>
    <t>浴室ｴﾌﾟﾛﾝ内部材接続　ﾄｲﾚ止水栓ｽﾄﾚｰﾅｰ付　ひな段、食洗器付き　台所コルクタイル注意　
洗濯機廻りの床鳴りとシャワーの水圧が気になる</t>
    <rPh sb="0" eb="2">
      <t>ヨクシツ</t>
    </rPh>
    <rPh sb="7" eb="12">
      <t>ナイブザイセツゾク</t>
    </rPh>
    <rPh sb="16" eb="19">
      <t>シスイセン</t>
    </rPh>
    <rPh sb="25" eb="26">
      <t>ツキ</t>
    </rPh>
    <rPh sb="29" eb="30">
      <t>ダン</t>
    </rPh>
    <rPh sb="31" eb="34">
      <t>ショクセンキ</t>
    </rPh>
    <rPh sb="34" eb="35">
      <t>ツ</t>
    </rPh>
    <rPh sb="37" eb="39">
      <t>ダイドコロ</t>
    </rPh>
    <rPh sb="45" eb="47">
      <t>チュウイ</t>
    </rPh>
    <rPh sb="49" eb="53">
      <t>センタクキマワ</t>
    </rPh>
    <rPh sb="55" eb="57">
      <t>ユカナ</t>
    </rPh>
    <rPh sb="64" eb="66">
      <t>スイアツ</t>
    </rPh>
    <rPh sb="67" eb="68">
      <t>キ</t>
    </rPh>
    <phoneticPr fontId="1"/>
  </si>
  <si>
    <t>小口 新吾</t>
    <rPh sb="0" eb="2">
      <t>コグチ</t>
    </rPh>
    <rPh sb="3" eb="5">
      <t>シンゴ</t>
    </rPh>
    <phoneticPr fontId="1"/>
  </si>
  <si>
    <t>090-4917-1606</t>
    <phoneticPr fontId="1"/>
  </si>
  <si>
    <t>ブリヂストン</t>
    <phoneticPr fontId="1"/>
  </si>
  <si>
    <t>CP1216K2NK-N
1900KU5</t>
    <phoneticPr fontId="1"/>
  </si>
  <si>
    <t>浴室ｴﾌﾟﾛﾝ内点検口設置　底板SUS→ポリ復旧　洗面台と便器の交換検討　</t>
    <rPh sb="0" eb="2">
      <t>ヨクシツ</t>
    </rPh>
    <rPh sb="7" eb="13">
      <t>ナイテンケンコウセッチ</t>
    </rPh>
    <rPh sb="14" eb="16">
      <t>ソコイタ</t>
    </rPh>
    <rPh sb="19" eb="24">
      <t>ヤジルシポリフッキュウ</t>
    </rPh>
    <rPh sb="25" eb="28">
      <t>センメンダイ</t>
    </rPh>
    <rPh sb="29" eb="31">
      <t>ベンキ</t>
    </rPh>
    <rPh sb="32" eb="34">
      <t>コウカン</t>
    </rPh>
    <rPh sb="34" eb="36">
      <t>ケントウ</t>
    </rPh>
    <phoneticPr fontId="1"/>
  </si>
  <si>
    <t>齋藤 辰江</t>
    <rPh sb="0" eb="2">
      <t>サイトウ</t>
    </rPh>
    <rPh sb="3" eb="5">
      <t>タツエ</t>
    </rPh>
    <phoneticPr fontId="1"/>
  </si>
  <si>
    <t>048-686-2312②
090-2223-0231①</t>
    <phoneticPr fontId="1"/>
  </si>
  <si>
    <t>WRV1117・1524QF</t>
    <phoneticPr fontId="1"/>
  </si>
  <si>
    <t>浴室ｴﾌﾟﾛﾝ内部材接続、浴槽横に小さいｶｳﾝﾀｰ付き外せる　底板SUS→ポリ復旧
給湯器裏コンセント巾木から移動してモール立ち上げ　トイレ床嵩上げ　
月一で来てる工事中は在宅してくれる</t>
    <rPh sb="0" eb="2">
      <t>ヨクシツ</t>
    </rPh>
    <rPh sb="7" eb="12">
      <t>ナイブザイセツゾク</t>
    </rPh>
    <rPh sb="13" eb="15">
      <t>ヨクソウ</t>
    </rPh>
    <rPh sb="15" eb="16">
      <t>ヨコ</t>
    </rPh>
    <rPh sb="17" eb="18">
      <t>チイ</t>
    </rPh>
    <rPh sb="25" eb="26">
      <t>ツ</t>
    </rPh>
    <rPh sb="27" eb="28">
      <t>ハズ</t>
    </rPh>
    <rPh sb="31" eb="33">
      <t>ソコイタ</t>
    </rPh>
    <rPh sb="36" eb="41">
      <t>ヤジルシポリフッキュウ</t>
    </rPh>
    <rPh sb="42" eb="45">
      <t>キュウトウキ</t>
    </rPh>
    <rPh sb="45" eb="46">
      <t>ウラ</t>
    </rPh>
    <rPh sb="51" eb="53">
      <t>ハバキ</t>
    </rPh>
    <rPh sb="55" eb="57">
      <t>イドウ</t>
    </rPh>
    <rPh sb="62" eb="63">
      <t>タ</t>
    </rPh>
    <rPh sb="64" eb="65">
      <t>ア</t>
    </rPh>
    <rPh sb="70" eb="72">
      <t>ユカカサ</t>
    </rPh>
    <rPh sb="72" eb="73">
      <t>ア</t>
    </rPh>
    <rPh sb="76" eb="78">
      <t>ツキイチ</t>
    </rPh>
    <rPh sb="79" eb="80">
      <t>キ</t>
    </rPh>
    <rPh sb="82" eb="85">
      <t>コウジチュウ</t>
    </rPh>
    <rPh sb="86" eb="88">
      <t>ザイタク</t>
    </rPh>
    <phoneticPr fontId="1"/>
  </si>
  <si>
    <t>吉原 明</t>
    <rPh sb="0" eb="2">
      <t>ヨシワラ</t>
    </rPh>
    <rPh sb="3" eb="4">
      <t>アキラ</t>
    </rPh>
    <phoneticPr fontId="1"/>
  </si>
  <si>
    <t>048-688-4195</t>
    <phoneticPr fontId="1"/>
  </si>
  <si>
    <t>25-201が所有している、お知らせは25-201に投函　電気はつく　底板SUS→ポリ復旧　
洗濯機無し　朝鍵開けに来てくれる、工事終了後は締めに来てくれる</t>
    <rPh sb="7" eb="9">
      <t>ショユウ</t>
    </rPh>
    <rPh sb="15" eb="16">
      <t>シ</t>
    </rPh>
    <rPh sb="26" eb="28">
      <t>トウカン</t>
    </rPh>
    <rPh sb="29" eb="31">
      <t>デンキ</t>
    </rPh>
    <rPh sb="35" eb="37">
      <t>ソコイタ</t>
    </rPh>
    <rPh sb="40" eb="45">
      <t>ヤジルシポリフッキュウ</t>
    </rPh>
    <rPh sb="47" eb="51">
      <t>センタクキナ</t>
    </rPh>
    <rPh sb="53" eb="54">
      <t>アサ</t>
    </rPh>
    <rPh sb="54" eb="56">
      <t>カギア</t>
    </rPh>
    <rPh sb="58" eb="59">
      <t>キ</t>
    </rPh>
    <rPh sb="64" eb="66">
      <t>コウジ</t>
    </rPh>
    <rPh sb="66" eb="69">
      <t>シュウリョウゴ</t>
    </rPh>
    <rPh sb="70" eb="71">
      <t>シ</t>
    </rPh>
    <rPh sb="73" eb="74">
      <t>キ</t>
    </rPh>
    <phoneticPr fontId="1"/>
  </si>
  <si>
    <t>吉田 満</t>
    <rPh sb="0" eb="2">
      <t>ヨシダ</t>
    </rPh>
    <rPh sb="3" eb="4">
      <t>ミツル</t>
    </rPh>
    <phoneticPr fontId="1"/>
  </si>
  <si>
    <t>048-683-4947</t>
    <phoneticPr fontId="1"/>
  </si>
  <si>
    <t>750+250ｷｬﾋﾞ</t>
    <phoneticPr fontId="1"/>
  </si>
  <si>
    <t>ｴﾌﾟﾛﾝ内点検口設置or鏡裏開口　トイレ吊戸棚脱着中のクロスも貼る　洗面所入口引戸　洗面所ふかし壁あり、無くしたい→洗濯パンを10cm右に移動させたい　洗面台とトイレ交換希望OP色々考えている　ひな段</t>
    <rPh sb="5" eb="6">
      <t>ナイ</t>
    </rPh>
    <rPh sb="6" eb="11">
      <t>テンケンコウセッチ</t>
    </rPh>
    <rPh sb="13" eb="17">
      <t>カガミウラカイコウ</t>
    </rPh>
    <rPh sb="21" eb="26">
      <t>ツリトダナダッチャク</t>
    </rPh>
    <rPh sb="26" eb="27">
      <t>ノ</t>
    </rPh>
    <rPh sb="31" eb="33">
      <t>ハル</t>
    </rPh>
    <rPh sb="35" eb="38">
      <t>センメンジョ</t>
    </rPh>
    <rPh sb="38" eb="40">
      <t>イリグチ</t>
    </rPh>
    <rPh sb="40" eb="42">
      <t>ヒキド</t>
    </rPh>
    <rPh sb="43" eb="44">
      <t>センメン</t>
    </rPh>
    <rPh sb="44" eb="45">
      <t>ジョ</t>
    </rPh>
    <rPh sb="45" eb="48">
      <t>フカシ</t>
    </rPh>
    <rPh sb="49" eb="51">
      <t>アリ</t>
    </rPh>
    <rPh sb="52" eb="57">
      <t>ナクシタイ</t>
    </rPh>
    <rPh sb="58" eb="60">
      <t>センタク</t>
    </rPh>
    <rPh sb="60" eb="63">
      <t>パンヲ</t>
    </rPh>
    <rPh sb="67" eb="69">
      <t>ミギニ</t>
    </rPh>
    <rPh sb="69" eb="75">
      <t>イドウサセタイ</t>
    </rPh>
    <rPh sb="77" eb="80">
      <t>センメンダイト</t>
    </rPh>
    <rPh sb="83" eb="85">
      <t>コウカン</t>
    </rPh>
    <rPh sb="85" eb="87">
      <t>キボウ</t>
    </rPh>
    <rPh sb="87" eb="89">
      <t>ＯＰ</t>
    </rPh>
    <rPh sb="89" eb="91">
      <t>イロイロ</t>
    </rPh>
    <rPh sb="91" eb="96">
      <t>カンガエテイル</t>
    </rPh>
    <rPh sb="100" eb="101">
      <t>ダン</t>
    </rPh>
    <phoneticPr fontId="1"/>
  </si>
  <si>
    <t>諏訪　洋子</t>
    <rPh sb="0" eb="2">
      <t>スワ</t>
    </rPh>
    <rPh sb="3" eb="5">
      <t>ヨウコ</t>
    </rPh>
    <phoneticPr fontId="1"/>
  </si>
  <si>
    <t>048-686-4731
070-5076-2542</t>
    <phoneticPr fontId="1"/>
  </si>
  <si>
    <t>JZV1117・131484</t>
    <phoneticPr fontId="1"/>
  </si>
  <si>
    <t>浴室内部材接続　ﾄｲﾚ止水栓ｽﾄﾚｰﾅｰ付　洗面台鏡も外す　ﾄｲﾚ天井カビがすごいので塗りなおしてほしい費用かかってもOK　隠蔽配管検討している　台所ﾄﾗｯﾌﾟ既存</t>
    <rPh sb="0" eb="2">
      <t>ヨクシツ</t>
    </rPh>
    <rPh sb="2" eb="5">
      <t>ナイブザイ</t>
    </rPh>
    <rPh sb="5" eb="7">
      <t>セツゾク</t>
    </rPh>
    <rPh sb="11" eb="14">
      <t>シスイセン</t>
    </rPh>
    <rPh sb="20" eb="21">
      <t>ツキ</t>
    </rPh>
    <rPh sb="22" eb="25">
      <t>センメンダイ</t>
    </rPh>
    <rPh sb="25" eb="26">
      <t>カガミ</t>
    </rPh>
    <rPh sb="27" eb="28">
      <t>ハズ</t>
    </rPh>
    <rPh sb="33" eb="35">
      <t>テンジョウ</t>
    </rPh>
    <rPh sb="43" eb="44">
      <t>ヌ</t>
    </rPh>
    <rPh sb="52" eb="54">
      <t>ヒヨウ</t>
    </rPh>
    <rPh sb="62" eb="68">
      <t>インペイハイカンケントウ</t>
    </rPh>
    <rPh sb="73" eb="75">
      <t>ダイドコロ</t>
    </rPh>
    <rPh sb="80" eb="82">
      <t>キゾン</t>
    </rPh>
    <phoneticPr fontId="1"/>
  </si>
  <si>
    <t>小川 哲子</t>
    <rPh sb="0" eb="2">
      <t>オガワ</t>
    </rPh>
    <rPh sb="3" eb="5">
      <t>テツコ</t>
    </rPh>
    <phoneticPr fontId="1"/>
  </si>
  <si>
    <t>048-685-7206</t>
    <phoneticPr fontId="1"/>
  </si>
  <si>
    <t>JZC1116・131021</t>
    <phoneticPr fontId="1"/>
  </si>
  <si>
    <t>浴室ｴﾌﾟﾛﾝ内点検口設置　ひな段既存壁だし　洗面所床防音FL→CF貼替OK　洗濯パンと無線機を洗面台側にずらす</t>
    <rPh sb="0" eb="2">
      <t>ヨクシツ</t>
    </rPh>
    <rPh sb="7" eb="8">
      <t>ナイ</t>
    </rPh>
    <rPh sb="8" eb="13">
      <t>テンケンコウセッチ</t>
    </rPh>
    <rPh sb="16" eb="17">
      <t>ダン</t>
    </rPh>
    <rPh sb="17" eb="20">
      <t>キゾンカベ</t>
    </rPh>
    <rPh sb="23" eb="26">
      <t>センメンジョ</t>
    </rPh>
    <rPh sb="26" eb="27">
      <t>ユカ</t>
    </rPh>
    <rPh sb="27" eb="29">
      <t>ボウオン</t>
    </rPh>
    <rPh sb="34" eb="36">
      <t>ハリカエ</t>
    </rPh>
    <rPh sb="39" eb="41">
      <t>センタク</t>
    </rPh>
    <rPh sb="44" eb="47">
      <t>ムセンキ</t>
    </rPh>
    <rPh sb="48" eb="52">
      <t>センメンダイガワ</t>
    </rPh>
    <phoneticPr fontId="1"/>
  </si>
  <si>
    <t>佐野 恒夫</t>
    <rPh sb="0" eb="2">
      <t>サノ</t>
    </rPh>
    <rPh sb="3" eb="5">
      <t>ツネオ</t>
    </rPh>
    <phoneticPr fontId="1"/>
  </si>
  <si>
    <t>048-684-2291</t>
    <phoneticPr fontId="1"/>
  </si>
  <si>
    <t>浴室ｴﾌﾟﾛﾝ内点検口設置　底板SUS→ポリ復旧　</t>
    <rPh sb="0" eb="2">
      <t>ヨクシツ</t>
    </rPh>
    <rPh sb="7" eb="13">
      <t>ナイテンケンコウセッチ</t>
    </rPh>
    <rPh sb="14" eb="16">
      <t>ソコイタ</t>
    </rPh>
    <rPh sb="19" eb="24">
      <t>ヤジルシポリフッキュウ</t>
    </rPh>
    <phoneticPr fontId="1"/>
  </si>
  <si>
    <t>吉川 裕</t>
    <rPh sb="0" eb="2">
      <t>ヨシカワ</t>
    </rPh>
    <rPh sb="3" eb="4">
      <t>ユウ</t>
    </rPh>
    <phoneticPr fontId="1"/>
  </si>
  <si>
    <t>070-4819-1705</t>
    <phoneticPr fontId="1"/>
  </si>
  <si>
    <t>WZV1117・1484A8</t>
    <phoneticPr fontId="1"/>
  </si>
  <si>
    <t>日野 宗敬</t>
    <rPh sb="0" eb="2">
      <t>ヒノ</t>
    </rPh>
    <rPh sb="3" eb="5">
      <t>ムネタカ</t>
    </rPh>
    <phoneticPr fontId="1"/>
  </si>
  <si>
    <t>048-686-4755</t>
    <phoneticPr fontId="1"/>
  </si>
  <si>
    <t>750+460ｷｬﾋﾞ</t>
    <phoneticPr fontId="1"/>
  </si>
  <si>
    <t>JZV1216・144640</t>
    <phoneticPr fontId="1"/>
  </si>
  <si>
    <t>浴室ｴﾌﾟﾛﾝ内点検口設置　洗面所吊戸棚外さない　ﾄｲﾚ床嵩上げ、ｿﾌﾄ巾木高さかえあること説明OK　上階から水漏れ有　給湯器下ｶﾊﾞｰ付きすぐ外せる</t>
    <rPh sb="0" eb="2">
      <t>ヨクシツ</t>
    </rPh>
    <rPh sb="7" eb="8">
      <t>ナイ</t>
    </rPh>
    <rPh sb="8" eb="13">
      <t>テンケンコウセッチ</t>
    </rPh>
    <rPh sb="14" eb="17">
      <t>センメンジョ</t>
    </rPh>
    <rPh sb="19" eb="21">
      <t>ハズ</t>
    </rPh>
    <rPh sb="28" eb="31">
      <t>ユカカサア</t>
    </rPh>
    <rPh sb="36" eb="38">
      <t>ハバキ</t>
    </rPh>
    <rPh sb="38" eb="39">
      <t>タカ</t>
    </rPh>
    <rPh sb="46" eb="48">
      <t>セツメイ</t>
    </rPh>
    <rPh sb="51" eb="53">
      <t>ジョウカイ</t>
    </rPh>
    <rPh sb="55" eb="57">
      <t>ミズモ</t>
    </rPh>
    <rPh sb="58" eb="59">
      <t>アリ</t>
    </rPh>
    <rPh sb="60" eb="64">
      <t>キュウトウキシタ</t>
    </rPh>
    <rPh sb="68" eb="69">
      <t>ツ</t>
    </rPh>
    <rPh sb="72" eb="73">
      <t>ハズ</t>
    </rPh>
    <phoneticPr fontId="1"/>
  </si>
  <si>
    <t>松本　勝</t>
    <rPh sb="0" eb="2">
      <t>マツモト</t>
    </rPh>
    <rPh sb="3" eb="4">
      <t>マサル</t>
    </rPh>
    <phoneticPr fontId="1"/>
  </si>
  <si>
    <t>048-686-2469</t>
    <phoneticPr fontId="1"/>
  </si>
  <si>
    <t>浴室ｴﾌﾟﾛﾝ内点検口設置　給湯器ﾍﾞﾗﾝﾀﾞ配管途中までしか変わってない　ﾄｲﾚ止水栓ｽﾄﾚｰﾅｰ付ﾀﾝｸﾚｽ　玄関天井木が張ってある天井低い　洗面所入口床鳴りする　給湯器があった所床テープ貼りしてある途中までCF貼れると説明した　底板SUS→ポリ復旧　</t>
    <rPh sb="0" eb="2">
      <t>ヨクシツ</t>
    </rPh>
    <rPh sb="7" eb="8">
      <t>ナイ</t>
    </rPh>
    <rPh sb="8" eb="13">
      <t>テンケンコウセッチ</t>
    </rPh>
    <rPh sb="14" eb="17">
      <t>キュウトウキ</t>
    </rPh>
    <rPh sb="23" eb="25">
      <t>ハイカン</t>
    </rPh>
    <rPh sb="25" eb="27">
      <t>トチュウ</t>
    </rPh>
    <rPh sb="31" eb="32">
      <t>カ</t>
    </rPh>
    <rPh sb="41" eb="44">
      <t>シスイセン</t>
    </rPh>
    <rPh sb="50" eb="51">
      <t>ツキ</t>
    </rPh>
    <rPh sb="117" eb="119">
      <t>ソコイタ</t>
    </rPh>
    <rPh sb="122" eb="127">
      <t>ヤジルシポリフッキュウ</t>
    </rPh>
    <phoneticPr fontId="1"/>
  </si>
  <si>
    <t>豊田 豊</t>
    <rPh sb="0" eb="2">
      <t>トヨタ</t>
    </rPh>
    <rPh sb="3" eb="4">
      <t>ユカタ</t>
    </rPh>
    <phoneticPr fontId="1"/>
  </si>
  <si>
    <t>090-5784-8811</t>
    <phoneticPr fontId="1"/>
  </si>
  <si>
    <t>フロアタイル</t>
    <phoneticPr fontId="1"/>
  </si>
  <si>
    <t>ホーロー</t>
  </si>
  <si>
    <t>浴室ｴﾌﾟﾛﾝ内点検口設置　洗面所床フロアタイル→CF貼替OK、ソフト巾木も選んでもらう　内装後日カタログから選定する　</t>
    <rPh sb="0" eb="2">
      <t>ヨクシツ</t>
    </rPh>
    <rPh sb="7" eb="8">
      <t>ナイ</t>
    </rPh>
    <rPh sb="8" eb="13">
      <t>テンケンコウセッチ</t>
    </rPh>
    <rPh sb="14" eb="17">
      <t>センメンジョ</t>
    </rPh>
    <rPh sb="17" eb="18">
      <t>ユカ</t>
    </rPh>
    <rPh sb="27" eb="29">
      <t>ハリカエ</t>
    </rPh>
    <rPh sb="35" eb="37">
      <t>ハバキ</t>
    </rPh>
    <rPh sb="38" eb="39">
      <t>エラ</t>
    </rPh>
    <rPh sb="45" eb="49">
      <t>ナイソウゴジツ</t>
    </rPh>
    <rPh sb="55" eb="57">
      <t>センテイ</t>
    </rPh>
    <phoneticPr fontId="1"/>
  </si>
  <si>
    <t>長澤 久美子</t>
    <rPh sb="0" eb="2">
      <t>ナガサワ</t>
    </rPh>
    <rPh sb="3" eb="6">
      <t>クミコ</t>
    </rPh>
    <phoneticPr fontId="1"/>
  </si>
  <si>
    <t>048-686-4702
090-1466-4322</t>
    <phoneticPr fontId="1"/>
  </si>
  <si>
    <t>洗面所壁点検口設置　浴室デッキタイプ　洗濯水栓モール立ち上げの為洗濯パンを洗面台に5㎝寄せる　台所ﾄﾗｯﾌﾟ既存</t>
    <rPh sb="0" eb="9">
      <t>センメンジョカベテンケンコウセッチ</t>
    </rPh>
    <rPh sb="10" eb="12">
      <t>ヨクシツ</t>
    </rPh>
    <rPh sb="19" eb="23">
      <t>センタクスイセン</t>
    </rPh>
    <rPh sb="26" eb="27">
      <t>タ</t>
    </rPh>
    <rPh sb="28" eb="29">
      <t>ア</t>
    </rPh>
    <rPh sb="31" eb="32">
      <t>タメ</t>
    </rPh>
    <rPh sb="32" eb="34">
      <t>センタク</t>
    </rPh>
    <rPh sb="37" eb="40">
      <t>センメンダイ</t>
    </rPh>
    <rPh sb="43" eb="44">
      <t>ヨ</t>
    </rPh>
    <rPh sb="47" eb="49">
      <t>ダイドコロ</t>
    </rPh>
    <rPh sb="54" eb="56">
      <t>キゾン</t>
    </rPh>
    <phoneticPr fontId="1"/>
  </si>
  <si>
    <t>柳澤 武典</t>
    <rPh sb="0" eb="2">
      <t>ヤナギサワ</t>
    </rPh>
    <rPh sb="3" eb="5">
      <t>タケノリ</t>
    </rPh>
    <phoneticPr fontId="1"/>
  </si>
  <si>
    <t>048-686-4727
090-5520-5729</t>
    <phoneticPr fontId="1"/>
  </si>
  <si>
    <t>WHV1116UT・197
195A1J</t>
    <phoneticPr fontId="1"/>
  </si>
  <si>
    <t>ｴﾌﾟﾛﾝ外せなかった為工事初日に確認する　洗面所壁点検口あり　ひな段食洗器あり　洗濯パン給水付きのもの床下で接続する　給湯管更新済、給水は途中まで更新されている→全更新希望　</t>
    <rPh sb="5" eb="6">
      <t>ハズ</t>
    </rPh>
    <rPh sb="11" eb="12">
      <t>タメ</t>
    </rPh>
    <rPh sb="12" eb="14">
      <t>コウジ</t>
    </rPh>
    <rPh sb="14" eb="16">
      <t>ショニチ</t>
    </rPh>
    <rPh sb="17" eb="19">
      <t>カクニン</t>
    </rPh>
    <rPh sb="22" eb="25">
      <t>センメンジョ</t>
    </rPh>
    <rPh sb="25" eb="26">
      <t>カベ</t>
    </rPh>
    <rPh sb="28" eb="30">
      <t>アリ</t>
    </rPh>
    <rPh sb="34" eb="37">
      <t>ショクセンキ</t>
    </rPh>
    <rPh sb="37" eb="39">
      <t>アリ</t>
    </rPh>
    <rPh sb="41" eb="43">
      <t>センタク</t>
    </rPh>
    <rPh sb="45" eb="48">
      <t>キュウスイツ</t>
    </rPh>
    <rPh sb="52" eb="54">
      <t>ユカシタ</t>
    </rPh>
    <rPh sb="55" eb="57">
      <t>セツゾク</t>
    </rPh>
    <rPh sb="60" eb="63">
      <t>キュウトウカン</t>
    </rPh>
    <rPh sb="63" eb="65">
      <t>コウシン</t>
    </rPh>
    <rPh sb="65" eb="66">
      <t>ズミ</t>
    </rPh>
    <rPh sb="67" eb="69">
      <t>キュウスイ</t>
    </rPh>
    <rPh sb="70" eb="72">
      <t>トチュウ</t>
    </rPh>
    <rPh sb="74" eb="76">
      <t>コウシン</t>
    </rPh>
    <rPh sb="81" eb="87">
      <t>ヤジルシゼンコウシンキボウ</t>
    </rPh>
    <phoneticPr fontId="1"/>
  </si>
  <si>
    <t>鈴木 理恵</t>
    <rPh sb="0" eb="2">
      <t>スズキ</t>
    </rPh>
    <rPh sb="3" eb="5">
      <t>リエ</t>
    </rPh>
    <phoneticPr fontId="1"/>
  </si>
  <si>
    <t>048-685-0679
090-4027-2990</t>
    <phoneticPr fontId="1"/>
  </si>
  <si>
    <t>浴室ｴﾌﾟﾛﾝ内点検口設置　底板SUS→ポリ復旧　モール立ち上げの為洗濯パンを洗面台側に寄せる　洗面台移動の際に倒れやすい置き方をしないように気を付けてほしい、和室に洗濯機を移動したとき畳に跡が残らない不安されている　母親足が悪いため玄関廊下の養生は貼らない台所は養生OK　ﾄｲﾚ手すり有</t>
    <rPh sb="0" eb="2">
      <t>ヨクシツ</t>
    </rPh>
    <rPh sb="7" eb="8">
      <t>ナイ</t>
    </rPh>
    <rPh sb="8" eb="13">
      <t>テンケンコウセッチ</t>
    </rPh>
    <rPh sb="14" eb="16">
      <t>ソコイタ</t>
    </rPh>
    <rPh sb="19" eb="24">
      <t>ヤジルシポリフッキュウ</t>
    </rPh>
    <rPh sb="28" eb="29">
      <t>タ</t>
    </rPh>
    <rPh sb="30" eb="31">
      <t>ア</t>
    </rPh>
    <rPh sb="33" eb="34">
      <t>タメ</t>
    </rPh>
    <rPh sb="34" eb="36">
      <t>センタク</t>
    </rPh>
    <rPh sb="39" eb="43">
      <t>センメンダイガワ</t>
    </rPh>
    <rPh sb="44" eb="45">
      <t>ヨ</t>
    </rPh>
    <rPh sb="48" eb="53">
      <t>センメンダイイドウ</t>
    </rPh>
    <rPh sb="54" eb="55">
      <t>サイ</t>
    </rPh>
    <rPh sb="56" eb="57">
      <t>タオ</t>
    </rPh>
    <rPh sb="61" eb="62">
      <t>オ</t>
    </rPh>
    <rPh sb="80" eb="82">
      <t>ワシツ</t>
    </rPh>
    <rPh sb="83" eb="86">
      <t>センタクキ</t>
    </rPh>
    <rPh sb="87" eb="89">
      <t>イドウ</t>
    </rPh>
    <rPh sb="93" eb="94">
      <t>タタミ</t>
    </rPh>
    <rPh sb="95" eb="96">
      <t>アト</t>
    </rPh>
    <rPh sb="97" eb="98">
      <t>ノコ</t>
    </rPh>
    <rPh sb="109" eb="111">
      <t>ハハオヤ</t>
    </rPh>
    <rPh sb="111" eb="112">
      <t>アシ</t>
    </rPh>
    <rPh sb="113" eb="114">
      <t>ワル</t>
    </rPh>
    <rPh sb="117" eb="119">
      <t>ゲンカン</t>
    </rPh>
    <rPh sb="119" eb="121">
      <t>ロウカ</t>
    </rPh>
    <rPh sb="122" eb="124">
      <t>ヨウジョウ</t>
    </rPh>
    <rPh sb="125" eb="126">
      <t>ハ</t>
    </rPh>
    <rPh sb="129" eb="131">
      <t>ダイドコロ</t>
    </rPh>
    <rPh sb="132" eb="134">
      <t>ヨウジョウ</t>
    </rPh>
    <rPh sb="140" eb="141">
      <t>テ</t>
    </rPh>
    <rPh sb="143" eb="144">
      <t>アリ</t>
    </rPh>
    <phoneticPr fontId="1"/>
  </si>
  <si>
    <t>國松 美子</t>
    <rPh sb="0" eb="2">
      <t>クニマツ</t>
    </rPh>
    <rPh sb="3" eb="5">
      <t>ヨシコ</t>
    </rPh>
    <phoneticPr fontId="1"/>
  </si>
  <si>
    <t>080-5657-4449</t>
    <phoneticPr fontId="1"/>
  </si>
  <si>
    <t>750+440</t>
    <phoneticPr fontId="1"/>
  </si>
  <si>
    <t>給水給湯排水枝管更新済み　トイレのみ作業3日目作業無し　トイレ止水栓D式ｱﾝｸﾞﾙ　トイレ背面アクセントクロス残せるなら残す、5番で張り替えても大丈夫　トイレｿﾌﾄ巾木</t>
    <rPh sb="0" eb="4">
      <t>キュウスイキュウトウ</t>
    </rPh>
    <rPh sb="4" eb="8">
      <t>ハイスイエダカン</t>
    </rPh>
    <rPh sb="8" eb="11">
      <t>コウシンズ</t>
    </rPh>
    <rPh sb="18" eb="20">
      <t>サギョウ</t>
    </rPh>
    <rPh sb="20" eb="23">
      <t>ミッカメ</t>
    </rPh>
    <rPh sb="23" eb="26">
      <t>サギョウナ</t>
    </rPh>
    <rPh sb="31" eb="34">
      <t>シスイセン</t>
    </rPh>
    <rPh sb="35" eb="36">
      <t>シキ</t>
    </rPh>
    <rPh sb="45" eb="47">
      <t>ハイメン</t>
    </rPh>
    <rPh sb="55" eb="56">
      <t>ノコ</t>
    </rPh>
    <rPh sb="60" eb="61">
      <t>ノコ</t>
    </rPh>
    <rPh sb="64" eb="65">
      <t>バン</t>
    </rPh>
    <rPh sb="66" eb="67">
      <t>ハ</t>
    </rPh>
    <rPh sb="68" eb="69">
      <t>カ</t>
    </rPh>
    <rPh sb="72" eb="75">
      <t>ダイジョウブ</t>
    </rPh>
    <rPh sb="82" eb="84">
      <t>ハバキ</t>
    </rPh>
    <phoneticPr fontId="1"/>
  </si>
  <si>
    <t>蓜島 大助</t>
    <rPh sb="0" eb="2">
      <t>ハイシマ</t>
    </rPh>
    <rPh sb="3" eb="5">
      <t>ダイスケ</t>
    </rPh>
    <phoneticPr fontId="1"/>
  </si>
  <si>
    <t>048-683-7939
080-6512-8938</t>
    <phoneticPr fontId="1"/>
  </si>
  <si>
    <t>なし</t>
    <phoneticPr fontId="1"/>
  </si>
  <si>
    <t>給水給湯排水枝管更新済み、MB内少しだけ配管残っているので3日目庭と一緒にMB内の作業あり　トイレのみ作業、玄関収納無くしてトイレになっているパイプスペース２面開口全面貼替　手洗い付き脱着工事期間中使えなくなること説明済み、手すり有　内装して品番かも　排水立管遮音材でぐるぐる巻きにしているらしい、工事の時も遮音材元通りにしてほしい　庭の人工芝は剥がしてもらう</t>
    <rPh sb="0" eb="11">
      <t>キュウスイキュウトウハイスイエダカンコウシンズ</t>
    </rPh>
    <rPh sb="15" eb="16">
      <t>ナイ</t>
    </rPh>
    <rPh sb="16" eb="17">
      <t>スコ</t>
    </rPh>
    <rPh sb="20" eb="22">
      <t>ハイカン</t>
    </rPh>
    <rPh sb="22" eb="23">
      <t>ノコ</t>
    </rPh>
    <rPh sb="41" eb="43">
      <t>サギョウ</t>
    </rPh>
    <rPh sb="51" eb="53">
      <t>サギョウ</t>
    </rPh>
    <rPh sb="54" eb="58">
      <t>ゲンカンシュウノウ</t>
    </rPh>
    <rPh sb="58" eb="59">
      <t>ナ</t>
    </rPh>
    <rPh sb="78" eb="80">
      <t>ニメン</t>
    </rPh>
    <rPh sb="80" eb="82">
      <t>カイコウ</t>
    </rPh>
    <rPh sb="82" eb="86">
      <t>ゼンメンハリカエ</t>
    </rPh>
    <rPh sb="87" eb="89">
      <t>テアラ</t>
    </rPh>
    <rPh sb="90" eb="91">
      <t>ツ</t>
    </rPh>
    <rPh sb="92" eb="94">
      <t>ダッチャク</t>
    </rPh>
    <rPh sb="94" eb="99">
      <t>コウジキカンチュウ</t>
    </rPh>
    <rPh sb="99" eb="100">
      <t>ツカ</t>
    </rPh>
    <rPh sb="107" eb="110">
      <t>セツメイズ</t>
    </rPh>
    <rPh sb="112" eb="113">
      <t>テ</t>
    </rPh>
    <rPh sb="115" eb="116">
      <t>アリ</t>
    </rPh>
    <rPh sb="117" eb="119">
      <t>ナイソウ</t>
    </rPh>
    <rPh sb="167" eb="168">
      <t>ニワ</t>
    </rPh>
    <rPh sb="169" eb="172">
      <t>ジンコウシバ</t>
    </rPh>
    <rPh sb="173" eb="174">
      <t>ハ</t>
    </rPh>
    <phoneticPr fontId="1"/>
  </si>
  <si>
    <t>手すり</t>
    <rPh sb="0" eb="1">
      <t>テ</t>
    </rPh>
    <phoneticPr fontId="1"/>
  </si>
  <si>
    <t>松本 武美</t>
    <rPh sb="0" eb="2">
      <t>マツモト</t>
    </rPh>
    <rPh sb="3" eb="5">
      <t>タケミ</t>
    </rPh>
    <phoneticPr fontId="1"/>
  </si>
  <si>
    <t>048-686-4777①
090-8874-4568②</t>
    <phoneticPr fontId="1"/>
  </si>
  <si>
    <t>赤池 喜久子</t>
    <rPh sb="0" eb="2">
      <t>アカイケ</t>
    </rPh>
    <rPh sb="3" eb="6">
      <t>キクコ</t>
    </rPh>
    <phoneticPr fontId="1"/>
  </si>
  <si>
    <t>048-685-4672</t>
    <phoneticPr fontId="1"/>
  </si>
  <si>
    <t>WZV1117・186224</t>
    <phoneticPr fontId="1"/>
  </si>
  <si>
    <t>浴室ｴﾌﾟﾛﾝ内部材接続　トイレ止水栓ｽﾄﾚｰﾅｰ付　食洗器あり　給湯管追い焚き管更新済み、残すか交換するか検討中　隠蔽配管検討　工事期間中別のところに住むかも　ひな段</t>
    <rPh sb="0" eb="2">
      <t>ヨクシツ</t>
    </rPh>
    <rPh sb="7" eb="9">
      <t>ナイブ</t>
    </rPh>
    <rPh sb="9" eb="12">
      <t>ザイセツゾク</t>
    </rPh>
    <rPh sb="16" eb="19">
      <t>シスイセン</t>
    </rPh>
    <rPh sb="25" eb="26">
      <t>ツキ</t>
    </rPh>
    <rPh sb="27" eb="30">
      <t>ショクセンキ</t>
    </rPh>
    <rPh sb="33" eb="36">
      <t>キュウトウカン</t>
    </rPh>
    <rPh sb="36" eb="37">
      <t>オ</t>
    </rPh>
    <rPh sb="38" eb="39">
      <t>ダ</t>
    </rPh>
    <rPh sb="40" eb="41">
      <t>カン</t>
    </rPh>
    <rPh sb="41" eb="44">
      <t>コウシンズ</t>
    </rPh>
    <rPh sb="46" eb="47">
      <t>ノコ</t>
    </rPh>
    <rPh sb="49" eb="51">
      <t>コウカン</t>
    </rPh>
    <rPh sb="54" eb="57">
      <t>ケントウチュウ</t>
    </rPh>
    <rPh sb="58" eb="64">
      <t>インペイハイカンケントウ</t>
    </rPh>
    <rPh sb="65" eb="70">
      <t>コウジキカンチュウ</t>
    </rPh>
    <rPh sb="70" eb="71">
      <t>ベツ</t>
    </rPh>
    <rPh sb="76" eb="77">
      <t>ス</t>
    </rPh>
    <rPh sb="83" eb="84">
      <t>ダン</t>
    </rPh>
    <phoneticPr fontId="1"/>
  </si>
  <si>
    <t>福島 尚光</t>
    <rPh sb="0" eb="2">
      <t>フクシマ</t>
    </rPh>
    <rPh sb="3" eb="4">
      <t>ナオ</t>
    </rPh>
    <rPh sb="4" eb="5">
      <t>ヒカリ</t>
    </rPh>
    <phoneticPr fontId="1"/>
  </si>
  <si>
    <t>090-9836-2044</t>
    <phoneticPr fontId="1"/>
  </si>
  <si>
    <t>洗面所点検口設置する浴室デッキタイプ　底板SUS→ポリ復旧　洗濯水栓モール立ち上げの為洗濯パン洗面台に寄せる　トイレ仮復旧無し　電気通ってない、荷物なし　追い焚き管交換検討中、見積郵送する(住所控えた)</t>
    <rPh sb="0" eb="3">
      <t>センメンジョ</t>
    </rPh>
    <rPh sb="3" eb="6">
      <t>テンケンコウ</t>
    </rPh>
    <rPh sb="6" eb="8">
      <t>セッチ</t>
    </rPh>
    <rPh sb="10" eb="12">
      <t>ヨクシツ</t>
    </rPh>
    <rPh sb="19" eb="21">
      <t>ソコイタ</t>
    </rPh>
    <rPh sb="24" eb="29">
      <t>ヤジルシポリフッキュウ</t>
    </rPh>
    <rPh sb="30" eb="34">
      <t>センタクスイセン</t>
    </rPh>
    <rPh sb="37" eb="38">
      <t>タ</t>
    </rPh>
    <rPh sb="39" eb="40">
      <t>ア</t>
    </rPh>
    <rPh sb="42" eb="45">
      <t>タメセンタク</t>
    </rPh>
    <rPh sb="47" eb="50">
      <t>センメンダイ</t>
    </rPh>
    <rPh sb="51" eb="52">
      <t>ヨ</t>
    </rPh>
    <rPh sb="58" eb="62">
      <t>カリフッキュウナ</t>
    </rPh>
    <rPh sb="64" eb="66">
      <t>デンキ</t>
    </rPh>
    <rPh sb="66" eb="67">
      <t>トオ</t>
    </rPh>
    <rPh sb="72" eb="74">
      <t>ニモツ</t>
    </rPh>
    <rPh sb="77" eb="78">
      <t>オ</t>
    </rPh>
    <rPh sb="79" eb="80">
      <t>ダ</t>
    </rPh>
    <rPh sb="81" eb="82">
      <t>カン</t>
    </rPh>
    <rPh sb="82" eb="84">
      <t>コウカン</t>
    </rPh>
    <rPh sb="84" eb="87">
      <t>ケントウチュウ</t>
    </rPh>
    <rPh sb="88" eb="90">
      <t>ミツモリ</t>
    </rPh>
    <rPh sb="90" eb="92">
      <t>ユウソウ</t>
    </rPh>
    <rPh sb="95" eb="97">
      <t>ジュウショ</t>
    </rPh>
    <rPh sb="97" eb="98">
      <t>ヒカ</t>
    </rPh>
    <phoneticPr fontId="1"/>
  </si>
  <si>
    <t>浴室ｴﾌﾟﾛﾝ内点検口再使用　洗面所壁に点検口ありｺｰｷﾝｸﾞ打ち　給湯管追い焚き管更新済み、給湯管残すか交換するか検討中　トイレ吊戸棚脱着　洗濯水栓モール立ち上げの為洗濯パン洗面台に寄せる(ぴったりくっつける)　喘息持ちなのとプライバシーの為にドア全開にしないようにしてほしい※プライバシー気にしている細かい　ひな段、浄水器ホース外れないように注意する</t>
    <rPh sb="0" eb="2">
      <t>ヨクシツ</t>
    </rPh>
    <rPh sb="7" eb="8">
      <t>ナイ</t>
    </rPh>
    <rPh sb="8" eb="14">
      <t>テンケンコウサイシヨウ</t>
    </rPh>
    <rPh sb="15" eb="19">
      <t>センメンジョカベ</t>
    </rPh>
    <rPh sb="20" eb="23">
      <t>テンケンコウ</t>
    </rPh>
    <rPh sb="31" eb="32">
      <t>ウ</t>
    </rPh>
    <rPh sb="34" eb="37">
      <t>キュウトウカン</t>
    </rPh>
    <rPh sb="37" eb="38">
      <t>オ</t>
    </rPh>
    <rPh sb="39" eb="40">
      <t>ダ</t>
    </rPh>
    <rPh sb="41" eb="42">
      <t>カン</t>
    </rPh>
    <rPh sb="42" eb="45">
      <t>コウシンズ</t>
    </rPh>
    <rPh sb="47" eb="50">
      <t>キュウトウカン</t>
    </rPh>
    <rPh sb="50" eb="51">
      <t>ノコ</t>
    </rPh>
    <rPh sb="53" eb="55">
      <t>コウカン</t>
    </rPh>
    <rPh sb="58" eb="60">
      <t>ケントウ</t>
    </rPh>
    <rPh sb="60" eb="61">
      <t>チュウ</t>
    </rPh>
    <rPh sb="65" eb="70">
      <t>ツリトダナダッチャク</t>
    </rPh>
    <rPh sb="71" eb="75">
      <t>センタクスイセン</t>
    </rPh>
    <rPh sb="78" eb="79">
      <t>タ</t>
    </rPh>
    <rPh sb="80" eb="81">
      <t>ア</t>
    </rPh>
    <rPh sb="83" eb="86">
      <t>タメセンタク</t>
    </rPh>
    <rPh sb="88" eb="91">
      <t>センメンダイ</t>
    </rPh>
    <rPh sb="92" eb="93">
      <t>ヨ</t>
    </rPh>
    <rPh sb="107" eb="110">
      <t>ゼンソクモ</t>
    </rPh>
    <rPh sb="121" eb="122">
      <t>タメ</t>
    </rPh>
    <rPh sb="125" eb="127">
      <t>ゼンカイ</t>
    </rPh>
    <rPh sb="146" eb="147">
      <t>キ</t>
    </rPh>
    <rPh sb="152" eb="153">
      <t>コマ</t>
    </rPh>
    <rPh sb="158" eb="159">
      <t>ダン</t>
    </rPh>
    <rPh sb="160" eb="163">
      <t>ジョウスイキ</t>
    </rPh>
    <rPh sb="166" eb="167">
      <t>ハズ</t>
    </rPh>
    <rPh sb="173" eb="175">
      <t>チュウイ</t>
    </rPh>
    <phoneticPr fontId="1"/>
  </si>
  <si>
    <t>玄関嵩上げ　給水給湯管更新済みらしい　後日再調査　トイレ手洗いあり</t>
    <rPh sb="0" eb="2">
      <t>ゲンカン</t>
    </rPh>
    <rPh sb="2" eb="4">
      <t>カサア</t>
    </rPh>
    <rPh sb="6" eb="11">
      <t>キュウスイキュウトウカン</t>
    </rPh>
    <rPh sb="11" eb="14">
      <t>コウシンズ</t>
    </rPh>
    <rPh sb="19" eb="21">
      <t>ゴジツ</t>
    </rPh>
    <rPh sb="21" eb="24">
      <t>サイチョウサ</t>
    </rPh>
    <rPh sb="28" eb="30">
      <t>テアラ</t>
    </rPh>
    <phoneticPr fontId="1"/>
  </si>
  <si>
    <t>タオル掛け</t>
    <rPh sb="3" eb="4">
      <t>カ</t>
    </rPh>
    <phoneticPr fontId="1"/>
  </si>
  <si>
    <t>宋 修日</t>
    <rPh sb="0" eb="1">
      <t>ソウ</t>
    </rPh>
    <rPh sb="2" eb="3">
      <t>シュウ</t>
    </rPh>
    <rPh sb="3" eb="4">
      <t>ニチ</t>
    </rPh>
    <phoneticPr fontId="1"/>
  </si>
  <si>
    <t>090-7342-6784</t>
    <phoneticPr fontId="1"/>
  </si>
  <si>
    <t>WRV1216UT・168H0F</t>
    <phoneticPr fontId="1"/>
  </si>
  <si>
    <t>浴室ｴﾌﾟﾛﾝ内断熱材でパンパンに入っているため洗面所壁に点検口設置して作業する　給湯器下ｶﾊﾞｰ付き、加工して配管分の隙間作る　玄関収納内シート貼ってあるベニヤ復旧でOK 台所養生しない布団敷いてやる、玄関廊下は通常通りに養生する　ひな段既存壁だし</t>
    <rPh sb="0" eb="2">
      <t>ヨクシツ</t>
    </rPh>
    <rPh sb="7" eb="8">
      <t>ナイ</t>
    </rPh>
    <rPh sb="8" eb="11">
      <t>ダンネツザイ</t>
    </rPh>
    <rPh sb="17" eb="18">
      <t>ハイ</t>
    </rPh>
    <rPh sb="24" eb="27">
      <t>センメンジョ</t>
    </rPh>
    <rPh sb="27" eb="28">
      <t>カベ</t>
    </rPh>
    <rPh sb="29" eb="34">
      <t>テンケンコウセッチ</t>
    </rPh>
    <rPh sb="36" eb="38">
      <t>サギョウ</t>
    </rPh>
    <rPh sb="41" eb="45">
      <t>キュウトウキシタ</t>
    </rPh>
    <rPh sb="49" eb="50">
      <t>ツ</t>
    </rPh>
    <rPh sb="52" eb="54">
      <t>カコウ</t>
    </rPh>
    <rPh sb="56" eb="59">
      <t>ハイカンブン</t>
    </rPh>
    <rPh sb="60" eb="63">
      <t>スキマツク</t>
    </rPh>
    <rPh sb="65" eb="69">
      <t>ゲンカンシュウノウ</t>
    </rPh>
    <rPh sb="69" eb="70">
      <t>ナイ</t>
    </rPh>
    <rPh sb="73" eb="74">
      <t>ハ</t>
    </rPh>
    <rPh sb="81" eb="83">
      <t>フッキュウ</t>
    </rPh>
    <rPh sb="87" eb="89">
      <t>ダイドコロ</t>
    </rPh>
    <rPh sb="89" eb="91">
      <t>ヨウジョウ</t>
    </rPh>
    <rPh sb="94" eb="97">
      <t>フトンシ</t>
    </rPh>
    <rPh sb="102" eb="106">
      <t>ゲンカンロウカ</t>
    </rPh>
    <rPh sb="107" eb="109">
      <t>ツウジョウ</t>
    </rPh>
    <rPh sb="109" eb="110">
      <t>トオ</t>
    </rPh>
    <rPh sb="112" eb="114">
      <t>ヨウジョウ</t>
    </rPh>
    <rPh sb="119" eb="123">
      <t>ダンキゾンカベ</t>
    </rPh>
    <phoneticPr fontId="1"/>
  </si>
  <si>
    <t>関口 高史</t>
    <rPh sb="0" eb="2">
      <t>セキグチ</t>
    </rPh>
    <rPh sb="3" eb="5">
      <t>タカシ</t>
    </rPh>
    <phoneticPr fontId="1"/>
  </si>
  <si>
    <t>080-5187-6575</t>
    <phoneticPr fontId="1"/>
  </si>
  <si>
    <t>浴室デッキタイプ　洗面所壁に点検口設置する　底板SUS→ポリ復旧　洗面台鏡も外す、洗面所床二重床　トイレ排水Sソケ　夜勤の仕事しているらしい</t>
    <rPh sb="0" eb="2">
      <t>ヨクシツ</t>
    </rPh>
    <rPh sb="9" eb="13">
      <t>センメンジョカベ</t>
    </rPh>
    <rPh sb="14" eb="19">
      <t>テンケンコウセッチ</t>
    </rPh>
    <rPh sb="22" eb="24">
      <t>ソコイタ</t>
    </rPh>
    <rPh sb="27" eb="32">
      <t>ヤジルシポリフッキュウ</t>
    </rPh>
    <rPh sb="33" eb="36">
      <t>センメンダイ</t>
    </rPh>
    <rPh sb="36" eb="37">
      <t>カガミ</t>
    </rPh>
    <rPh sb="38" eb="39">
      <t>ハズ</t>
    </rPh>
    <rPh sb="41" eb="44">
      <t>センメンジョ</t>
    </rPh>
    <rPh sb="44" eb="45">
      <t>ユカ</t>
    </rPh>
    <rPh sb="45" eb="47">
      <t>ニジュウ</t>
    </rPh>
    <rPh sb="47" eb="48">
      <t>ユカ</t>
    </rPh>
    <rPh sb="52" eb="54">
      <t>ハイスイ</t>
    </rPh>
    <rPh sb="58" eb="60">
      <t>ヤキン</t>
    </rPh>
    <rPh sb="61" eb="63">
      <t>シゴト</t>
    </rPh>
    <phoneticPr fontId="1"/>
  </si>
  <si>
    <t>タオル掛け</t>
    <rPh sb="3" eb="4">
      <t>カ</t>
    </rPh>
    <phoneticPr fontId="1"/>
  </si>
  <si>
    <t>コーチュ 奈美</t>
    <rPh sb="5" eb="7">
      <t>ナミ</t>
    </rPh>
    <phoneticPr fontId="1"/>
  </si>
  <si>
    <t>080-4623-0073</t>
    <phoneticPr fontId="1"/>
  </si>
  <si>
    <t>W80049007・635866A
BPR-1116LBEL2</t>
    <phoneticPr fontId="1"/>
  </si>
  <si>
    <t>浴室ｴﾌﾟﾛﾝ内点検口設置　洗濯給湯モール配管、床下で接続する水栓は変える　今住んでいない工事前に住む人が見つかるかもしれない　台所既存壁だし背板+底板開口</t>
    <rPh sb="0" eb="2">
      <t>ヨクシツ</t>
    </rPh>
    <rPh sb="7" eb="13">
      <t>ナイテンケンコウセッチ</t>
    </rPh>
    <rPh sb="14" eb="16">
      <t>センタク</t>
    </rPh>
    <rPh sb="16" eb="18">
      <t>キュウトウ</t>
    </rPh>
    <rPh sb="21" eb="23">
      <t>ハイカン</t>
    </rPh>
    <rPh sb="24" eb="26">
      <t>ユカシタ</t>
    </rPh>
    <rPh sb="27" eb="29">
      <t>セツゾク</t>
    </rPh>
    <rPh sb="31" eb="33">
      <t>スイセン</t>
    </rPh>
    <rPh sb="34" eb="35">
      <t>カ</t>
    </rPh>
    <rPh sb="38" eb="40">
      <t>イマス</t>
    </rPh>
    <rPh sb="45" eb="48">
      <t>コウジマエ</t>
    </rPh>
    <rPh sb="49" eb="50">
      <t>ス</t>
    </rPh>
    <rPh sb="51" eb="52">
      <t>ヒト</t>
    </rPh>
    <rPh sb="53" eb="54">
      <t>ミ</t>
    </rPh>
    <rPh sb="64" eb="66">
      <t>ダイドコロ</t>
    </rPh>
    <rPh sb="66" eb="69">
      <t>キゾンカベ</t>
    </rPh>
    <rPh sb="72" eb="73">
      <t>＋</t>
    </rPh>
    <rPh sb="73" eb="75">
      <t>ソコイタ</t>
    </rPh>
    <rPh sb="75" eb="77">
      <t>カイコウ</t>
    </rPh>
    <phoneticPr fontId="1"/>
  </si>
  <si>
    <t>平野 貴昭</t>
    <rPh sb="0" eb="2">
      <t>ヒラノ</t>
    </rPh>
    <rPh sb="3" eb="5">
      <t>タカアキ</t>
    </rPh>
    <phoneticPr fontId="1"/>
  </si>
  <si>
    <t>090-9398-0855</t>
    <phoneticPr fontId="1"/>
  </si>
  <si>
    <t>フロアタイル</t>
    <phoneticPr fontId="1"/>
  </si>
  <si>
    <t>給水給湯排水枝管更新済み、トイレのみ作業　トイレ天井下がっている為開口あり、床はあけなくてOK　内装指定品番もらった、お客様で用意するか検討中</t>
    <rPh sb="0" eb="11">
      <t>キュウスイキュウトウハイスイエダカンコウシンズ</t>
    </rPh>
    <rPh sb="18" eb="20">
      <t>サギョウ</t>
    </rPh>
    <rPh sb="24" eb="26">
      <t>テンジョウ</t>
    </rPh>
    <rPh sb="26" eb="27">
      <t>サ</t>
    </rPh>
    <rPh sb="32" eb="33">
      <t>タメ</t>
    </rPh>
    <rPh sb="33" eb="35">
      <t>カイコウ</t>
    </rPh>
    <rPh sb="38" eb="39">
      <t>ユカ</t>
    </rPh>
    <rPh sb="48" eb="50">
      <t>ナイソウ</t>
    </rPh>
    <rPh sb="50" eb="52">
      <t>シテイ</t>
    </rPh>
    <rPh sb="52" eb="54">
      <t>ヒンバン</t>
    </rPh>
    <rPh sb="60" eb="62">
      <t>キャクサマ</t>
    </rPh>
    <rPh sb="63" eb="65">
      <t>ヨウイ</t>
    </rPh>
    <rPh sb="68" eb="70">
      <t>ケントウ</t>
    </rPh>
    <rPh sb="70" eb="71">
      <t>チュウ</t>
    </rPh>
    <phoneticPr fontId="1"/>
  </si>
  <si>
    <t>池田 正博</t>
    <rPh sb="0" eb="2">
      <t>イケダ</t>
    </rPh>
    <rPh sb="3" eb="5">
      <t>マサヒロ</t>
    </rPh>
    <phoneticPr fontId="1"/>
  </si>
  <si>
    <t>090-1709-6325</t>
    <phoneticPr fontId="1"/>
  </si>
  <si>
    <t>WBV1117JT・137GHX</t>
    <phoneticPr fontId="1"/>
  </si>
  <si>
    <t>浴室ｴﾌﾟﾛﾝ内部材接続　ひな段既存壁だし、真ん中の引き出しの背板開口化粧ベニヤ復旧　洗面所とトイレｿﾌﾄ巾木高さ変わるかも説明OK　猫いる玄関ドア開けっ放しにしない　玄関収納内塗装有り、ベニヤ復旧OK　洗面所にふかし壁有</t>
    <rPh sb="0" eb="2">
      <t>ヨクシツ</t>
    </rPh>
    <rPh sb="7" eb="12">
      <t>ナイブザイセツゾク</t>
    </rPh>
    <rPh sb="15" eb="19">
      <t>ダンキゾンカベ</t>
    </rPh>
    <rPh sb="22" eb="23">
      <t>マ</t>
    </rPh>
    <rPh sb="24" eb="25">
      <t>ナカ</t>
    </rPh>
    <rPh sb="26" eb="27">
      <t>ヒ</t>
    </rPh>
    <rPh sb="28" eb="29">
      <t>ダ</t>
    </rPh>
    <rPh sb="31" eb="35">
      <t>セイタカイコウ</t>
    </rPh>
    <rPh sb="35" eb="37">
      <t>ケショウ</t>
    </rPh>
    <rPh sb="40" eb="42">
      <t>フッキュウ</t>
    </rPh>
    <rPh sb="43" eb="46">
      <t>センメンジョ</t>
    </rPh>
    <rPh sb="53" eb="55">
      <t>ハバキ</t>
    </rPh>
    <rPh sb="55" eb="56">
      <t>タカ</t>
    </rPh>
    <rPh sb="57" eb="58">
      <t>カ</t>
    </rPh>
    <rPh sb="62" eb="64">
      <t>セツメイ</t>
    </rPh>
    <rPh sb="67" eb="68">
      <t>ネコ</t>
    </rPh>
    <rPh sb="70" eb="72">
      <t>ゲンカン</t>
    </rPh>
    <rPh sb="74" eb="75">
      <t>ア</t>
    </rPh>
    <rPh sb="77" eb="78">
      <t>パナ</t>
    </rPh>
    <rPh sb="84" eb="89">
      <t>ゲンカンシュウノウナイ</t>
    </rPh>
    <rPh sb="89" eb="92">
      <t>トソウアリ</t>
    </rPh>
    <rPh sb="97" eb="99">
      <t>フッキュウ</t>
    </rPh>
    <rPh sb="102" eb="105">
      <t>センメンジョ</t>
    </rPh>
    <rPh sb="109" eb="111">
      <t>カベアリ</t>
    </rPh>
    <phoneticPr fontId="1"/>
  </si>
  <si>
    <t>大崎 静夫</t>
    <rPh sb="0" eb="2">
      <t>オオサキ</t>
    </rPh>
    <rPh sb="3" eb="5">
      <t>シズオ</t>
    </rPh>
    <phoneticPr fontId="1"/>
  </si>
  <si>
    <t>048-686-4770</t>
    <phoneticPr fontId="1"/>
  </si>
  <si>
    <t>740+740ｷｬﾋﾞ</t>
    <phoneticPr fontId="1"/>
  </si>
  <si>
    <t>WZV1117・170850</t>
    <phoneticPr fontId="1"/>
  </si>
  <si>
    <t>洗面所壁点検口設置　トイレ手すり吊戸棚脱着床嵩上げ　玄関廊下の扉丁番調子が悪いので交換検討中</t>
    <rPh sb="0" eb="3">
      <t>センメンジョ</t>
    </rPh>
    <rPh sb="3" eb="4">
      <t>カベ</t>
    </rPh>
    <rPh sb="4" eb="9">
      <t>テンケンコウセッチ</t>
    </rPh>
    <rPh sb="13" eb="14">
      <t>テ</t>
    </rPh>
    <rPh sb="16" eb="21">
      <t>ツリトダナダッチャク</t>
    </rPh>
    <rPh sb="21" eb="24">
      <t>ユカカサア</t>
    </rPh>
    <rPh sb="26" eb="30">
      <t>ゲンカンロウカ</t>
    </rPh>
    <rPh sb="31" eb="32">
      <t>トビラ</t>
    </rPh>
    <rPh sb="32" eb="34">
      <t>チョウバン</t>
    </rPh>
    <rPh sb="34" eb="36">
      <t>チョウシ</t>
    </rPh>
    <rPh sb="37" eb="38">
      <t>ワル</t>
    </rPh>
    <rPh sb="41" eb="45">
      <t>コウカンケントウ</t>
    </rPh>
    <rPh sb="45" eb="46">
      <t>チュウ</t>
    </rPh>
    <phoneticPr fontId="1"/>
  </si>
  <si>
    <t>杉崎 正治</t>
    <rPh sb="0" eb="2">
      <t>スギサキ</t>
    </rPh>
    <rPh sb="3" eb="4">
      <t>セイ</t>
    </rPh>
    <rPh sb="4" eb="5">
      <t>ジ</t>
    </rPh>
    <phoneticPr fontId="1"/>
  </si>
  <si>
    <t>048-687-0144</t>
    <phoneticPr fontId="1"/>
  </si>
  <si>
    <t>600+270ｷｬﾋﾞ</t>
    <phoneticPr fontId="1"/>
  </si>
  <si>
    <t>WBV1117JT・169JFG</t>
    <phoneticPr fontId="1"/>
  </si>
  <si>
    <t>浴室ｴﾌﾟﾛﾝ内部材接続　トイレ手すり吊戸棚脱着、手すりは内装貼替まで外さない、外した際は作業後つけた状態にする　洗面台鏡も外す　食洗器下の背板開口する　玄関物入ガチャレールあり　ひな段</t>
    <rPh sb="0" eb="2">
      <t>ヨクシツ</t>
    </rPh>
    <rPh sb="7" eb="8">
      <t>ナイ</t>
    </rPh>
    <rPh sb="8" eb="12">
      <t>ブザイセツゾク</t>
    </rPh>
    <rPh sb="16" eb="17">
      <t>テ</t>
    </rPh>
    <rPh sb="19" eb="24">
      <t>ツリトダナダッチャク</t>
    </rPh>
    <rPh sb="25" eb="26">
      <t>テ</t>
    </rPh>
    <rPh sb="29" eb="33">
      <t>ナイソウハリカエ</t>
    </rPh>
    <rPh sb="35" eb="36">
      <t>ハズ</t>
    </rPh>
    <rPh sb="40" eb="41">
      <t>ハズ</t>
    </rPh>
    <rPh sb="43" eb="44">
      <t>サイ</t>
    </rPh>
    <rPh sb="45" eb="48">
      <t>サギョウゴ</t>
    </rPh>
    <rPh sb="51" eb="53">
      <t>ジョウタイ</t>
    </rPh>
    <rPh sb="57" eb="60">
      <t>センメンダイ</t>
    </rPh>
    <rPh sb="60" eb="61">
      <t>カガミ</t>
    </rPh>
    <rPh sb="62" eb="63">
      <t>ハズ</t>
    </rPh>
    <rPh sb="65" eb="68">
      <t>ショクセンキ</t>
    </rPh>
    <rPh sb="68" eb="69">
      <t>シタ</t>
    </rPh>
    <rPh sb="70" eb="74">
      <t>セイタカイコウ</t>
    </rPh>
    <rPh sb="77" eb="81">
      <t>ゲンカンモノイレ</t>
    </rPh>
    <rPh sb="92" eb="93">
      <t>ダン</t>
    </rPh>
    <phoneticPr fontId="1"/>
  </si>
  <si>
    <t>岡澤 浩</t>
    <rPh sb="0" eb="2">
      <t>オカザワ</t>
    </rPh>
    <rPh sb="3" eb="4">
      <t>ヒロシ</t>
    </rPh>
    <phoneticPr fontId="1"/>
  </si>
  <si>
    <t>090-2799-0325</t>
    <phoneticPr fontId="1"/>
  </si>
  <si>
    <t>WRV1116・15648T</t>
    <phoneticPr fontId="1"/>
  </si>
  <si>
    <t>浴室ｴﾌﾟﾛﾝ内部材接続　洗面所フローリング→CF選んでもらった　きゅうとうきかこっている壁有り、ビス止めされているため外せる配管分の穴開けて洗濯水栓つなげる　</t>
    <rPh sb="0" eb="2">
      <t>ヨクシツ</t>
    </rPh>
    <rPh sb="7" eb="12">
      <t>ナイブザイセツゾク</t>
    </rPh>
    <rPh sb="13" eb="16">
      <t>センメンジョ</t>
    </rPh>
    <rPh sb="25" eb="26">
      <t>エラ</t>
    </rPh>
    <rPh sb="45" eb="47">
      <t>カベアリ</t>
    </rPh>
    <rPh sb="51" eb="52">
      <t>ド</t>
    </rPh>
    <rPh sb="60" eb="61">
      <t>ハズ</t>
    </rPh>
    <rPh sb="63" eb="66">
      <t>ハイカンブン</t>
    </rPh>
    <rPh sb="67" eb="69">
      <t>アナア</t>
    </rPh>
    <rPh sb="71" eb="75">
      <t>センタクスイセン</t>
    </rPh>
    <phoneticPr fontId="1"/>
  </si>
  <si>
    <t>福地 啓子</t>
    <rPh sb="0" eb="2">
      <t>フクチ</t>
    </rPh>
    <rPh sb="3" eb="5">
      <t>ケイコ</t>
    </rPh>
    <phoneticPr fontId="1"/>
  </si>
  <si>
    <t>048-797-9592
090-8442-5997</t>
    <phoneticPr fontId="1"/>
  </si>
  <si>
    <t>浴室ｴﾌﾟﾛﾝ内点検口設置　洗面所壁点検口あり　給湯追い焚き管更新済み、追い焚き管交換検討　ひな段既存壁だし　猫居る玄関開けっ放しにしない</t>
    <rPh sb="0" eb="2">
      <t>ヨクシツ</t>
    </rPh>
    <rPh sb="7" eb="8">
      <t>ナイ</t>
    </rPh>
    <rPh sb="8" eb="13">
      <t>テンケンコウセッチ</t>
    </rPh>
    <rPh sb="14" eb="21">
      <t>センメンジョカベテンケンコウ</t>
    </rPh>
    <rPh sb="24" eb="26">
      <t>キュウトウ</t>
    </rPh>
    <rPh sb="26" eb="27">
      <t>オ</t>
    </rPh>
    <rPh sb="28" eb="29">
      <t>ダ</t>
    </rPh>
    <rPh sb="30" eb="34">
      <t>カンコウシンズ</t>
    </rPh>
    <rPh sb="36" eb="37">
      <t>オ</t>
    </rPh>
    <rPh sb="38" eb="39">
      <t>ダ</t>
    </rPh>
    <rPh sb="40" eb="41">
      <t>カン</t>
    </rPh>
    <rPh sb="41" eb="45">
      <t>コウカンケントウ</t>
    </rPh>
    <rPh sb="48" eb="52">
      <t>ダンキゾンカベ</t>
    </rPh>
    <rPh sb="55" eb="57">
      <t>ネコイ</t>
    </rPh>
    <rPh sb="58" eb="61">
      <t>ゲンカンア</t>
    </rPh>
    <rPh sb="63" eb="64">
      <t>パナ</t>
    </rPh>
    <phoneticPr fontId="1"/>
  </si>
  <si>
    <t>加藤 将弘</t>
    <rPh sb="0" eb="2">
      <t>カトウ</t>
    </rPh>
    <rPh sb="3" eb="5">
      <t>マサヒロ</t>
    </rPh>
    <phoneticPr fontId="1"/>
  </si>
  <si>
    <t>様</t>
    <rPh sb="0" eb="1">
      <t>サマ</t>
    </rPh>
    <phoneticPr fontId="1"/>
  </si>
  <si>
    <t>048-685-0229
090-3162-6132</t>
    <phoneticPr fontId="1"/>
  </si>
  <si>
    <t>浴室エプロン内部材接続、デッキタイプ　洗面所壁点検口あり　給湯、追い焚き管更新済み　ひな段　トイレ交換と天井塗装OPしたい</t>
    <rPh sb="0" eb="2">
      <t>ヨクシツ</t>
    </rPh>
    <rPh sb="6" eb="11">
      <t>ナイブザイセツゾク</t>
    </rPh>
    <rPh sb="19" eb="23">
      <t>センメンジョカベ</t>
    </rPh>
    <rPh sb="23" eb="26">
      <t>テンケンコウ</t>
    </rPh>
    <rPh sb="29" eb="31">
      <t>キュウトウ</t>
    </rPh>
    <rPh sb="32" eb="33">
      <t>オ</t>
    </rPh>
    <rPh sb="34" eb="35">
      <t>ダ</t>
    </rPh>
    <rPh sb="36" eb="40">
      <t>カンコウシンズ</t>
    </rPh>
    <rPh sb="44" eb="45">
      <t>ダン</t>
    </rPh>
    <rPh sb="49" eb="51">
      <t>コウカン</t>
    </rPh>
    <rPh sb="52" eb="54">
      <t>テンジョウ</t>
    </rPh>
    <rPh sb="54" eb="56">
      <t>トソウ</t>
    </rPh>
    <phoneticPr fontId="1"/>
  </si>
  <si>
    <t>美原 桃子</t>
    <rPh sb="0" eb="2">
      <t>ミハラ</t>
    </rPh>
    <rPh sb="3" eb="5">
      <t>モモコ</t>
    </rPh>
    <phoneticPr fontId="1"/>
  </si>
  <si>
    <t>080-4739-8525</t>
    <phoneticPr fontId="1"/>
  </si>
  <si>
    <t>1000+600ｷｬﾋﾞ</t>
    <phoneticPr fontId="1"/>
  </si>
  <si>
    <t>WRV11117UT・165HXM</t>
    <phoneticPr fontId="1"/>
  </si>
  <si>
    <t>ｴﾌﾟﾛﾝ内狭いため洗面所壁点検口設置　給湯器下ふかし壁点検口付き　ひな段　便器交換希望、トイレ壁後日選定する</t>
    <rPh sb="5" eb="6">
      <t>ナイ</t>
    </rPh>
    <rPh sb="6" eb="7">
      <t>セマ</t>
    </rPh>
    <rPh sb="10" eb="13">
      <t>センメンジョ</t>
    </rPh>
    <rPh sb="13" eb="19">
      <t>カベテンケンコウセッチ</t>
    </rPh>
    <rPh sb="20" eb="24">
      <t>キュウトウキシタ</t>
    </rPh>
    <rPh sb="27" eb="28">
      <t>カベ</t>
    </rPh>
    <rPh sb="28" eb="32">
      <t>テンケンコウツ</t>
    </rPh>
    <rPh sb="36" eb="37">
      <t>ダン</t>
    </rPh>
    <rPh sb="38" eb="42">
      <t>ベンキコウカン</t>
    </rPh>
    <rPh sb="42" eb="44">
      <t>キボウ</t>
    </rPh>
    <rPh sb="48" eb="49">
      <t>カベ</t>
    </rPh>
    <rPh sb="49" eb="53">
      <t>ゴジツセンテイ</t>
    </rPh>
    <phoneticPr fontId="1"/>
  </si>
  <si>
    <t>ｴﾌﾟﾛﾝ内壁点検口設置　ﾄｲﾚ壁給水止水栓ｽﾄﾚｰﾅｰ付　工事期間中不在　ﾄｲﾚ仮復旧無し</t>
    <rPh sb="5" eb="6">
      <t>ナイ</t>
    </rPh>
    <rPh sb="6" eb="9">
      <t>テンケンコウ</t>
    </rPh>
    <rPh sb="9" eb="11">
      <t>セッチ</t>
    </rPh>
    <rPh sb="11" eb="12">
      <t>　</t>
    </rPh>
    <rPh sb="16" eb="19">
      <t>カベキュウスイ</t>
    </rPh>
    <rPh sb="19" eb="22">
      <t>シスイセン</t>
    </rPh>
    <rPh sb="28" eb="29">
      <t>ツキ</t>
    </rPh>
    <rPh sb="30" eb="35">
      <t>コウジキカンチュウ</t>
    </rPh>
    <rPh sb="35" eb="37">
      <t>フザイ</t>
    </rPh>
    <rPh sb="41" eb="44">
      <t>カリフッキュウ</t>
    </rPh>
    <rPh sb="44" eb="45">
      <t>ナ</t>
    </rPh>
    <phoneticPr fontId="1"/>
  </si>
  <si>
    <t>後藤 多美</t>
    <rPh sb="0" eb="2">
      <t>ゴトウ</t>
    </rPh>
    <rPh sb="3" eb="5">
      <t>タミ</t>
    </rPh>
    <phoneticPr fontId="1"/>
  </si>
  <si>
    <t>048-686-4754</t>
    <phoneticPr fontId="1"/>
  </si>
  <si>
    <t>給湯管、追い焚き管更新済み→給湯管全更新希望　洗面所壁に点検口あり　浴室デッキタイプ　底板SUS→ポリ復旧　モール立ち上げの為洗濯パン洗面台に寄せる　廊下と洗面台の床鳴りがすごい　ﾄｲﾚ止水栓D式ｱﾝｸﾞﾙ</t>
    <rPh sb="0" eb="3">
      <t>キュウトウカン</t>
    </rPh>
    <rPh sb="4" eb="5">
      <t>オ</t>
    </rPh>
    <rPh sb="6" eb="7">
      <t>ダ</t>
    </rPh>
    <rPh sb="8" eb="12">
      <t>カンコウシンズ</t>
    </rPh>
    <rPh sb="14" eb="17">
      <t>キュウトウカン</t>
    </rPh>
    <rPh sb="17" eb="18">
      <t>ゼン</t>
    </rPh>
    <rPh sb="18" eb="20">
      <t>コウシン</t>
    </rPh>
    <rPh sb="20" eb="22">
      <t>キボウ</t>
    </rPh>
    <rPh sb="23" eb="26">
      <t>センメ</t>
    </rPh>
    <rPh sb="26" eb="27">
      <t>カベ</t>
    </rPh>
    <rPh sb="28" eb="31">
      <t>テンケンコウ</t>
    </rPh>
    <rPh sb="34" eb="36">
      <t>ヨクシツ</t>
    </rPh>
    <rPh sb="43" eb="45">
      <t>ソコイタ</t>
    </rPh>
    <rPh sb="51" eb="53">
      <t>フッキュウ</t>
    </rPh>
    <rPh sb="57" eb="58">
      <t>タ</t>
    </rPh>
    <rPh sb="59" eb="60">
      <t>ア</t>
    </rPh>
    <rPh sb="62" eb="63">
      <t>タメ</t>
    </rPh>
    <rPh sb="63" eb="65">
      <t>センタク</t>
    </rPh>
    <rPh sb="67" eb="70">
      <t>センメンダイ</t>
    </rPh>
    <rPh sb="71" eb="72">
      <t>ヨ</t>
    </rPh>
    <rPh sb="75" eb="77">
      <t>ロウカ</t>
    </rPh>
    <rPh sb="78" eb="81">
      <t>センメンダイ</t>
    </rPh>
    <rPh sb="82" eb="83">
      <t>ユカ</t>
    </rPh>
    <rPh sb="83" eb="84">
      <t>ナ</t>
    </rPh>
    <rPh sb="93" eb="96">
      <t>シスイセン</t>
    </rPh>
    <rPh sb="97" eb="98">
      <t>シキ</t>
    </rPh>
    <phoneticPr fontId="1"/>
  </si>
  <si>
    <t>小林 民雄</t>
    <rPh sb="0" eb="2">
      <t>コバヤシ</t>
    </rPh>
    <rPh sb="3" eb="5">
      <t>タミオ</t>
    </rPh>
    <phoneticPr fontId="1"/>
  </si>
  <si>
    <t>048-686-1218②
070-6448-2475①</t>
    <phoneticPr fontId="1"/>
  </si>
  <si>
    <t>浴室ｴﾌﾟﾛﾝ内点検口設置する　底板SUS→ポリ復旧　モール立ち上げの為洗濯パン洗面台に寄せる　洗面台鏡も外す　ﾄｲﾚ止水栓D式ｱﾝｸﾞﾙ　洗面所床鳴りする</t>
    <rPh sb="0" eb="2">
      <t>ヨクシツ</t>
    </rPh>
    <rPh sb="7" eb="13">
      <t>ナイテンケンコウセッチ</t>
    </rPh>
    <rPh sb="16" eb="18">
      <t>ソコイタ</t>
    </rPh>
    <rPh sb="21" eb="26">
      <t>ヤジルシポリフッキュウ</t>
    </rPh>
    <rPh sb="30" eb="31">
      <t>タ</t>
    </rPh>
    <rPh sb="32" eb="33">
      <t>ア</t>
    </rPh>
    <rPh sb="35" eb="38">
      <t>タメセンタク</t>
    </rPh>
    <rPh sb="40" eb="43">
      <t>センメンダイ</t>
    </rPh>
    <rPh sb="44" eb="45">
      <t>ヨ</t>
    </rPh>
    <rPh sb="48" eb="51">
      <t>センメンダイ</t>
    </rPh>
    <rPh sb="51" eb="52">
      <t>カガミ</t>
    </rPh>
    <rPh sb="53" eb="54">
      <t>ハズ</t>
    </rPh>
    <rPh sb="59" eb="62">
      <t>シスイセン</t>
    </rPh>
    <rPh sb="63" eb="64">
      <t>シキ</t>
    </rPh>
    <rPh sb="70" eb="75">
      <t>センメンジョユカナ</t>
    </rPh>
    <phoneticPr fontId="1"/>
  </si>
  <si>
    <t>高森 珠美</t>
    <rPh sb="0" eb="2">
      <t>タカモリ</t>
    </rPh>
    <rPh sb="3" eb="5">
      <t>タマミ</t>
    </rPh>
    <phoneticPr fontId="1"/>
  </si>
  <si>
    <t>080-1037-2886</t>
    <phoneticPr fontId="1"/>
  </si>
  <si>
    <t>タオル掛け</t>
    <rPh sb="3" eb="4">
      <t>カ</t>
    </rPh>
    <phoneticPr fontId="1"/>
  </si>
  <si>
    <t>WZV1117・178965</t>
    <phoneticPr fontId="1"/>
  </si>
  <si>
    <t>浴室鏡裏開口orｴﾌﾟﾛﾝ内点検口設置　洗面所ふかし壁あり、給湯器から配管がどこまで更新されているかわからなかったので、ふかし壁開口or点検口設置するかもと説明した　ふかし壁のところだけｿﾌﾄ巾木　ひな段</t>
    <rPh sb="0" eb="2">
      <t>ヨクシツ</t>
    </rPh>
    <rPh sb="2" eb="6">
      <t>カガミウラカイコウ</t>
    </rPh>
    <rPh sb="13" eb="19">
      <t>ナイテンケンコウセッチ</t>
    </rPh>
    <rPh sb="20" eb="23">
      <t>センメンジョ</t>
    </rPh>
    <rPh sb="26" eb="27">
      <t>カベ</t>
    </rPh>
    <rPh sb="30" eb="33">
      <t>キュウトウキ</t>
    </rPh>
    <rPh sb="35" eb="37">
      <t>ハイカン</t>
    </rPh>
    <rPh sb="42" eb="44">
      <t>コウシン</t>
    </rPh>
    <rPh sb="63" eb="66">
      <t>カベカイコウ</t>
    </rPh>
    <rPh sb="68" eb="73">
      <t>テンケンコウセッチ</t>
    </rPh>
    <rPh sb="78" eb="80">
      <t>セツメイ</t>
    </rPh>
    <rPh sb="86" eb="87">
      <t>カベ</t>
    </rPh>
    <rPh sb="96" eb="98">
      <t>ハバキ</t>
    </rPh>
    <rPh sb="101" eb="102">
      <t>ダン</t>
    </rPh>
    <phoneticPr fontId="1"/>
  </si>
  <si>
    <t>刀禰 誠也</t>
    <rPh sb="0" eb="2">
      <t>トネ</t>
    </rPh>
    <rPh sb="3" eb="5">
      <t>セイヤ</t>
    </rPh>
    <phoneticPr fontId="1"/>
  </si>
  <si>
    <t>048-767-7223
090-3916-4921</t>
    <phoneticPr fontId="1"/>
  </si>
  <si>
    <t>浴室デッキタイプ　洗面所壁に点検口設置する　ひな段</t>
    <rPh sb="0" eb="2">
      <t>ヨクシツ</t>
    </rPh>
    <rPh sb="9" eb="12">
      <t>センメンジョ</t>
    </rPh>
    <rPh sb="12" eb="13">
      <t>カベ</t>
    </rPh>
    <rPh sb="14" eb="19">
      <t>テンケンコウセッチ</t>
    </rPh>
    <rPh sb="24" eb="25">
      <t>ダン</t>
    </rPh>
    <phoneticPr fontId="1"/>
  </si>
  <si>
    <t>竹田 実</t>
    <rPh sb="0" eb="2">
      <t>タケダ</t>
    </rPh>
    <rPh sb="3" eb="4">
      <t>ミノ</t>
    </rPh>
    <phoneticPr fontId="1"/>
  </si>
  <si>
    <t>048-687-1521</t>
    <phoneticPr fontId="1"/>
  </si>
  <si>
    <t>浴室デッキタイプ　洗面所壁に点検口設置　玄関壁もとから穴開いてる</t>
    <rPh sb="0" eb="2">
      <t>ヨクシツ</t>
    </rPh>
    <rPh sb="9" eb="13">
      <t>センメンジョカベ</t>
    </rPh>
    <rPh sb="14" eb="19">
      <t>テンケンコウセッチ</t>
    </rPh>
    <rPh sb="20" eb="22">
      <t>ゲンカン</t>
    </rPh>
    <rPh sb="22" eb="23">
      <t>カベ</t>
    </rPh>
    <rPh sb="27" eb="28">
      <t>アナ</t>
    </rPh>
    <rPh sb="28" eb="29">
      <t>ア</t>
    </rPh>
    <phoneticPr fontId="1"/>
  </si>
  <si>
    <t>茂木 篤子</t>
    <rPh sb="0" eb="2">
      <t>モテキ</t>
    </rPh>
    <rPh sb="3" eb="5">
      <t>アツコ</t>
    </rPh>
    <phoneticPr fontId="1"/>
  </si>
  <si>
    <t>048-686-4751</t>
    <phoneticPr fontId="1"/>
  </si>
  <si>
    <t>ひな段既存壁だし　浴室デッキタイプ　洗面所壁に点検口設置する　奥さんと母親足が悪い</t>
    <rPh sb="2" eb="3">
      <t>ダン</t>
    </rPh>
    <rPh sb="3" eb="6">
      <t>キゾンカベ</t>
    </rPh>
    <rPh sb="9" eb="11">
      <t>ヨクシツ</t>
    </rPh>
    <rPh sb="18" eb="21">
      <t>センメンジョ</t>
    </rPh>
    <rPh sb="21" eb="22">
      <t>カベ</t>
    </rPh>
    <rPh sb="23" eb="27">
      <t>テンケンコウセツ</t>
    </rPh>
    <rPh sb="27" eb="28">
      <t>チ</t>
    </rPh>
    <rPh sb="31" eb="32">
      <t>オク</t>
    </rPh>
    <rPh sb="35" eb="37">
      <t>ハハオヤ</t>
    </rPh>
    <rPh sb="37" eb="38">
      <t>アシ</t>
    </rPh>
    <rPh sb="39" eb="40">
      <t>ワル</t>
    </rPh>
    <phoneticPr fontId="1"/>
  </si>
  <si>
    <t>森下 実</t>
    <rPh sb="0" eb="2">
      <t>モリシタ</t>
    </rPh>
    <rPh sb="3" eb="4">
      <t>ミノル</t>
    </rPh>
    <phoneticPr fontId="1"/>
  </si>
  <si>
    <t>080-1171-0112</t>
    <phoneticPr fontId="1"/>
  </si>
  <si>
    <t>給湯管どこまで変わっているかわからないので通常工事の説明した　玄関物入合板→現状復旧希望　洗面所と玄関物入ソフト巾木　洗濯パン給水付きのもの、UB交換検討　内装等も見積り次第で検討する</t>
    <rPh sb="0" eb="3">
      <t>キュウトウカン</t>
    </rPh>
    <rPh sb="7" eb="8">
      <t>カ</t>
    </rPh>
    <rPh sb="21" eb="25">
      <t>ツウジョウコウジ</t>
    </rPh>
    <rPh sb="26" eb="28">
      <t>セツメイ</t>
    </rPh>
    <rPh sb="31" eb="35">
      <t>ゲンカンモノイレ</t>
    </rPh>
    <rPh sb="35" eb="37">
      <t>ゴウバン</t>
    </rPh>
    <rPh sb="38" eb="44">
      <t>ゲンジョウフッキュウキボウ</t>
    </rPh>
    <rPh sb="45" eb="48">
      <t>センメンジョ</t>
    </rPh>
    <rPh sb="49" eb="51">
      <t>ゲンカン</t>
    </rPh>
    <rPh sb="51" eb="53">
      <t>モノイレ</t>
    </rPh>
    <rPh sb="56" eb="58">
      <t>ハバキ</t>
    </rPh>
    <rPh sb="59" eb="61">
      <t>センタク</t>
    </rPh>
    <rPh sb="63" eb="66">
      <t>キュウスイツ</t>
    </rPh>
    <rPh sb="73" eb="75">
      <t>コウカン</t>
    </rPh>
    <rPh sb="75" eb="77">
      <t>ケントウ</t>
    </rPh>
    <rPh sb="78" eb="81">
      <t>ナイソウトウ</t>
    </rPh>
    <rPh sb="82" eb="84">
      <t>ミツモ</t>
    </rPh>
    <rPh sb="85" eb="87">
      <t>シダイ</t>
    </rPh>
    <rPh sb="88" eb="90">
      <t>ケントウ</t>
    </rPh>
    <phoneticPr fontId="1"/>
  </si>
  <si>
    <t>入江 進</t>
    <rPh sb="0" eb="2">
      <t>イリエ</t>
    </rPh>
    <rPh sb="3" eb="4">
      <t>ススム</t>
    </rPh>
    <phoneticPr fontId="1"/>
  </si>
  <si>
    <t>080-5652-7453</t>
    <phoneticPr fontId="1"/>
  </si>
  <si>
    <t>タカラスタンダード</t>
    <phoneticPr fontId="1"/>
  </si>
  <si>
    <t>玄関吊戸棚あり、外せるか不明　配管どこまで変わっているか再調査　ﾄｲﾚ吊戸棚と手洗い脱着　玄関物入無くしてﾄｲﾚ広くしている　配管更新済みのところは残したい　息子めんどくさい</t>
    <rPh sb="0" eb="2">
      <t>ゲンカン</t>
    </rPh>
    <rPh sb="2" eb="5">
      <t>ツリトダナ</t>
    </rPh>
    <rPh sb="8" eb="9">
      <t>ハズ</t>
    </rPh>
    <rPh sb="12" eb="14">
      <t>フメイ</t>
    </rPh>
    <rPh sb="15" eb="17">
      <t>ハイカン</t>
    </rPh>
    <rPh sb="21" eb="22">
      <t>カ</t>
    </rPh>
    <rPh sb="28" eb="31">
      <t>サイチョウサ</t>
    </rPh>
    <rPh sb="35" eb="38">
      <t>ツリトダナ</t>
    </rPh>
    <rPh sb="39" eb="41">
      <t>テアラ</t>
    </rPh>
    <rPh sb="42" eb="44">
      <t>ダッチャク</t>
    </rPh>
    <rPh sb="45" eb="49">
      <t>ゲンカンモノイレ</t>
    </rPh>
    <rPh sb="49" eb="50">
      <t>ナ</t>
    </rPh>
    <rPh sb="56" eb="57">
      <t>ヒロ</t>
    </rPh>
    <rPh sb="63" eb="68">
      <t>ハイカンコウシンズ</t>
    </rPh>
    <rPh sb="74" eb="75">
      <t>ノコ</t>
    </rPh>
    <rPh sb="79" eb="81">
      <t>ムスコ</t>
    </rPh>
    <phoneticPr fontId="1"/>
  </si>
  <si>
    <t>タオル掛け</t>
    <rPh sb="3" eb="4">
      <t>カ</t>
    </rPh>
    <phoneticPr fontId="1"/>
  </si>
  <si>
    <t>瀬田 氻</t>
    <rPh sb="0" eb="2">
      <t>セタ</t>
    </rPh>
    <phoneticPr fontId="1"/>
  </si>
  <si>
    <t>048-684-0252
090-1615-0801</t>
    <phoneticPr fontId="1"/>
  </si>
  <si>
    <t>タオル掛け</t>
    <rPh sb="3" eb="4">
      <t>カ</t>
    </rPh>
    <phoneticPr fontId="1"/>
  </si>
  <si>
    <t>浴室デッキタイプ　洗面所壁に点検口設置する　底板SUS→ポリ復旧　モール立ち上げの為洗濯パン洗面台に寄せる　日中いない　UBキッチン交換検討している</t>
    <rPh sb="0" eb="2">
      <t>ヨクシツ</t>
    </rPh>
    <rPh sb="9" eb="13">
      <t>センメンジョカベ</t>
    </rPh>
    <rPh sb="14" eb="19">
      <t>テンケンコウセッチ</t>
    </rPh>
    <rPh sb="22" eb="24">
      <t>ソコイタ</t>
    </rPh>
    <rPh sb="27" eb="32">
      <t>ヤジルシポリフッキュウ</t>
    </rPh>
    <rPh sb="36" eb="37">
      <t>タ</t>
    </rPh>
    <rPh sb="38" eb="39">
      <t>ア</t>
    </rPh>
    <rPh sb="41" eb="44">
      <t>タメセンタク</t>
    </rPh>
    <rPh sb="46" eb="49">
      <t>センメンダイ</t>
    </rPh>
    <rPh sb="50" eb="51">
      <t>ヨ</t>
    </rPh>
    <rPh sb="54" eb="56">
      <t>ニッチュウ</t>
    </rPh>
    <rPh sb="66" eb="70">
      <t>コウカンケントウ</t>
    </rPh>
    <phoneticPr fontId="1"/>
  </si>
  <si>
    <t>渡辺</t>
    <rPh sb="0" eb="2">
      <t>ワタナベ</t>
    </rPh>
    <phoneticPr fontId="1"/>
  </si>
  <si>
    <t>048-671-9494</t>
    <phoneticPr fontId="1"/>
  </si>
  <si>
    <t>浴室ｴﾌﾟﾛﾝ内点検口設置　食洗器下の引き出し背板開口ポリ復旧　モール立ち上げの為洗濯パン洗面台に寄せる　トイレ手すり有　開口した壁床から虫が入ってこないように養生等しっかりしてほしい　ひな段既存壁だし</t>
    <rPh sb="0" eb="2">
      <t>ヨクシツ</t>
    </rPh>
    <rPh sb="7" eb="13">
      <t>ナイテンケンコウセッチ</t>
    </rPh>
    <rPh sb="14" eb="18">
      <t>ショクセンキシタ</t>
    </rPh>
    <rPh sb="19" eb="20">
      <t>ヒ</t>
    </rPh>
    <rPh sb="21" eb="22">
      <t>ダ</t>
    </rPh>
    <rPh sb="23" eb="25">
      <t>セイタ</t>
    </rPh>
    <rPh sb="25" eb="27">
      <t>カイコウ</t>
    </rPh>
    <rPh sb="29" eb="31">
      <t>フッキュウ</t>
    </rPh>
    <rPh sb="35" eb="36">
      <t>タ</t>
    </rPh>
    <rPh sb="37" eb="38">
      <t>ア</t>
    </rPh>
    <rPh sb="40" eb="43">
      <t>タメセンタク</t>
    </rPh>
    <rPh sb="45" eb="48">
      <t>センメンダイ</t>
    </rPh>
    <rPh sb="49" eb="50">
      <t>ヨ</t>
    </rPh>
    <rPh sb="56" eb="57">
      <t>テ</t>
    </rPh>
    <rPh sb="59" eb="60">
      <t>アリ</t>
    </rPh>
    <rPh sb="61" eb="63">
      <t>カイコウ</t>
    </rPh>
    <rPh sb="65" eb="67">
      <t>カベユカ</t>
    </rPh>
    <rPh sb="69" eb="70">
      <t>ムシ</t>
    </rPh>
    <rPh sb="71" eb="72">
      <t>ハイ</t>
    </rPh>
    <rPh sb="80" eb="83">
      <t>ヨウジョウトウ</t>
    </rPh>
    <rPh sb="95" eb="96">
      <t>ダン</t>
    </rPh>
    <rPh sb="96" eb="98">
      <t>キゾン</t>
    </rPh>
    <rPh sb="98" eb="99">
      <t>カベ</t>
    </rPh>
    <phoneticPr fontId="1"/>
  </si>
  <si>
    <t>海野 千秋</t>
    <rPh sb="0" eb="2">
      <t>ウミノ</t>
    </rPh>
    <rPh sb="3" eb="5">
      <t>チアキ</t>
    </rPh>
    <phoneticPr fontId="1"/>
  </si>
  <si>
    <t>048-6886-4699
0902936-4573</t>
    <phoneticPr fontId="1"/>
  </si>
  <si>
    <t>浴室デッキタイプ　洗面所壁に点検口設置する　モール立ち上げの為洗濯パン洗面台に寄せる　背板底板SUS→ポリ復旧OK　</t>
    <rPh sb="0" eb="2">
      <t>ヨクシツ</t>
    </rPh>
    <rPh sb="9" eb="12">
      <t>センメンジョ</t>
    </rPh>
    <rPh sb="12" eb="13">
      <t>カベ</t>
    </rPh>
    <rPh sb="14" eb="19">
      <t>テンケンコウセッチ</t>
    </rPh>
    <rPh sb="25" eb="26">
      <t>タ</t>
    </rPh>
    <rPh sb="27" eb="28">
      <t>ア</t>
    </rPh>
    <rPh sb="30" eb="33">
      <t>タメセンタク</t>
    </rPh>
    <rPh sb="35" eb="38">
      <t>センメンダイ</t>
    </rPh>
    <rPh sb="39" eb="40">
      <t>ヨ</t>
    </rPh>
    <rPh sb="43" eb="47">
      <t>セイタソコイタ</t>
    </rPh>
    <rPh sb="53" eb="55">
      <t>フッキュウ</t>
    </rPh>
    <phoneticPr fontId="1"/>
  </si>
  <si>
    <t>橋本 喜美子</t>
    <rPh sb="0" eb="2">
      <t>ハシモト</t>
    </rPh>
    <rPh sb="3" eb="6">
      <t>キミコ</t>
    </rPh>
    <phoneticPr fontId="1"/>
  </si>
  <si>
    <t>090-2636-4159</t>
    <phoneticPr fontId="1"/>
  </si>
  <si>
    <t>WYV1116JN・1822Y3</t>
    <phoneticPr fontId="1"/>
  </si>
  <si>
    <t>給湯管更新済み　玄関物入床作業入らないようにする、トイレのルート変える　洗面所と台所ふかし壁　キッチンカウンターあり　内装貼替はリフォーム会社で行うか品番もらってこっちで張り替えるか連絡待ち　内装のこだわりがすごい　洗面台外さない　洗濯モール立ち上げは洗面台側から(右側)</t>
    <rPh sb="0" eb="6">
      <t>キュウトウカンコウシンズ</t>
    </rPh>
    <rPh sb="8" eb="12">
      <t>ゲンカンモノイレ</t>
    </rPh>
    <rPh sb="12" eb="13">
      <t>ユカ</t>
    </rPh>
    <rPh sb="13" eb="15">
      <t>サギョウ</t>
    </rPh>
    <rPh sb="15" eb="16">
      <t>ハイ</t>
    </rPh>
    <rPh sb="32" eb="33">
      <t>カ</t>
    </rPh>
    <rPh sb="36" eb="39">
      <t>センメンジョ</t>
    </rPh>
    <rPh sb="40" eb="42">
      <t>ダイドコロ</t>
    </rPh>
    <rPh sb="45" eb="46">
      <t>カベ</t>
    </rPh>
    <rPh sb="59" eb="63">
      <t>ナイソウハリカエ</t>
    </rPh>
    <rPh sb="69" eb="71">
      <t>ガイシャ</t>
    </rPh>
    <rPh sb="72" eb="73">
      <t>オコナ</t>
    </rPh>
    <rPh sb="75" eb="77">
      <t>ヒンバン</t>
    </rPh>
    <rPh sb="85" eb="86">
      <t>ハ</t>
    </rPh>
    <rPh sb="87" eb="88">
      <t>カ</t>
    </rPh>
    <rPh sb="91" eb="94">
      <t>レンラクマ</t>
    </rPh>
    <rPh sb="96" eb="98">
      <t>ナイソウ</t>
    </rPh>
    <rPh sb="108" eb="112">
      <t>センメンダイハズ</t>
    </rPh>
    <rPh sb="116" eb="118">
      <t>センタク</t>
    </rPh>
    <rPh sb="121" eb="122">
      <t>タ</t>
    </rPh>
    <rPh sb="123" eb="124">
      <t>ア</t>
    </rPh>
    <rPh sb="126" eb="130">
      <t>センメンダイガワ</t>
    </rPh>
    <rPh sb="133" eb="135">
      <t>ミギガワ</t>
    </rPh>
    <phoneticPr fontId="1"/>
  </si>
  <si>
    <t>島村 美恵子</t>
    <rPh sb="0" eb="2">
      <t>シマムラ</t>
    </rPh>
    <rPh sb="3" eb="6">
      <t>ミエコ</t>
    </rPh>
    <phoneticPr fontId="1"/>
  </si>
  <si>
    <t>048-686-4672</t>
    <phoneticPr fontId="1"/>
  </si>
  <si>
    <t>WBV1117JN・132XY9</t>
    <phoneticPr fontId="1"/>
  </si>
  <si>
    <t>浴室ｴﾌﾟﾛﾝ内部材接続　給湯器のところだけ給湯管変わっている通常工事　底板SUS→ポリ復旧　追い焚き管なし　ﾄｲﾚ止水栓D式ｱﾝｸﾞﾙ　給湯器下にカバー付き　　</t>
    <rPh sb="0" eb="2">
      <t>ヨクシツ</t>
    </rPh>
    <rPh sb="7" eb="8">
      <t>ナイ</t>
    </rPh>
    <rPh sb="8" eb="12">
      <t>ブザイセツゾク</t>
    </rPh>
    <rPh sb="13" eb="16">
      <t>キュウトウキ</t>
    </rPh>
    <rPh sb="24" eb="28">
      <t>カワッテ</t>
    </rPh>
    <rPh sb="30" eb="32">
      <t>ツウジョウ</t>
    </rPh>
    <rPh sb="32" eb="34">
      <t>コウジ</t>
    </rPh>
    <rPh sb="34" eb="35">
      <t>　</t>
    </rPh>
    <rPh sb="36" eb="37">
      <t>ソコイタ</t>
    </rPh>
    <rPh sb="37" eb="38">
      <t>ＳＵ</t>
    </rPh>
    <rPh sb="43" eb="45">
      <t>フッキュウ</t>
    </rPh>
    <rPh sb="45" eb="46">
      <t>　</t>
    </rPh>
    <rPh sb="47" eb="50">
      <t>オイダキ</t>
    </rPh>
    <rPh sb="51" eb="53">
      <t>ナシ</t>
    </rPh>
    <rPh sb="57" eb="60">
      <t>シスイセン</t>
    </rPh>
    <rPh sb="60" eb="61">
      <t>Ｄ</t>
    </rPh>
    <rPh sb="62" eb="66">
      <t>アングル</t>
    </rPh>
    <rPh sb="67" eb="70">
      <t>キュウトウキ</t>
    </rPh>
    <rPh sb="70" eb="72">
      <t>シタニ</t>
    </rPh>
    <rPh sb="72" eb="75">
      <t>カバー</t>
    </rPh>
    <rPh sb="77" eb="79">
      <t>　　</t>
    </rPh>
    <phoneticPr fontId="1"/>
  </si>
  <si>
    <t>宇佐美 篤</t>
    <rPh sb="0" eb="3">
      <t>ウサミ</t>
    </rPh>
    <rPh sb="4" eb="5">
      <t>アツシ</t>
    </rPh>
    <phoneticPr fontId="1"/>
  </si>
  <si>
    <t>048-686-4697</t>
    <phoneticPr fontId="1"/>
  </si>
  <si>
    <t>パネル</t>
    <phoneticPr fontId="1"/>
  </si>
  <si>
    <t>長尺シート</t>
    <rPh sb="0" eb="2">
      <t>チョウシャク</t>
    </rPh>
    <phoneticPr fontId="1"/>
  </si>
  <si>
    <t>浴室ｴﾌﾟﾛﾝ内点検口再使用　トイレ壁パネル玄関側開口１面貼替　底板SUS→ポリ復旧</t>
    <rPh sb="0" eb="2">
      <t>ヨクシツ</t>
    </rPh>
    <rPh sb="7" eb="8">
      <t>ナイ</t>
    </rPh>
    <rPh sb="8" eb="14">
      <t>テンケンコウサイシヨウ</t>
    </rPh>
    <rPh sb="18" eb="19">
      <t>カベ</t>
    </rPh>
    <rPh sb="22" eb="27">
      <t>ゲンカンガワカイコウ</t>
    </rPh>
    <rPh sb="28" eb="31">
      <t>メンハリカエ</t>
    </rPh>
    <rPh sb="32" eb="34">
      <t>ソコイタ</t>
    </rPh>
    <rPh sb="37" eb="42">
      <t>ヤジルシポリフッキュウ</t>
    </rPh>
    <phoneticPr fontId="1"/>
  </si>
  <si>
    <t>飯田 和広</t>
    <rPh sb="0" eb="2">
      <t>イイダ</t>
    </rPh>
    <rPh sb="3" eb="5">
      <t>カズヒロ</t>
    </rPh>
    <phoneticPr fontId="1"/>
  </si>
  <si>
    <t>090-4537-2373</t>
    <phoneticPr fontId="1"/>
  </si>
  <si>
    <t>JZC1116・1489T9</t>
    <phoneticPr fontId="1"/>
  </si>
  <si>
    <t>浴室ｴﾌﾟﾛﾝ内点検口設置　ﾄｲﾚ止水栓D式ｱﾝｸﾞﾙ　底板SUS→ポリ復旧　モール立ち上げの為洗濯パン洗面台に寄せる</t>
    <rPh sb="0" eb="2">
      <t>ヨクシツ</t>
    </rPh>
    <rPh sb="7" eb="10">
      <t>テンケンコウ</t>
    </rPh>
    <rPh sb="10" eb="12">
      <t>セッチ</t>
    </rPh>
    <rPh sb="12" eb="13">
      <t>　</t>
    </rPh>
    <rPh sb="16" eb="19">
      <t>シスイセン</t>
    </rPh>
    <rPh sb="19" eb="20">
      <t>Ｄ</t>
    </rPh>
    <rPh sb="21" eb="25">
      <t>アングル</t>
    </rPh>
    <rPh sb="28" eb="30">
      <t>ＳＵ</t>
    </rPh>
    <rPh sb="36" eb="37">
      <t>　</t>
    </rPh>
    <rPh sb="37" eb="40">
      <t>モール</t>
    </rPh>
    <rPh sb="40" eb="45">
      <t>タチアゲノ</t>
    </rPh>
    <rPh sb="46" eb="48">
      <t>センタク</t>
    </rPh>
    <rPh sb="48" eb="50">
      <t>パン</t>
    </rPh>
    <rPh sb="50" eb="54">
      <t>センメンダイニ</t>
    </rPh>
    <rPh sb="54" eb="57">
      <t>ヨセル</t>
    </rPh>
    <phoneticPr fontId="1"/>
  </si>
  <si>
    <t>朝比奈 文雄</t>
    <rPh sb="0" eb="3">
      <t>アサヒナ</t>
    </rPh>
    <rPh sb="4" eb="6">
      <t>フミオ</t>
    </rPh>
    <phoneticPr fontId="1"/>
  </si>
  <si>
    <t>090-2200-4162</t>
    <phoneticPr fontId="1"/>
  </si>
  <si>
    <t>タオル掛け</t>
    <rPh sb="3" eb="4">
      <t>カ</t>
    </rPh>
    <phoneticPr fontId="1"/>
  </si>
  <si>
    <t>JZC1117・161316</t>
    <phoneticPr fontId="1"/>
  </si>
  <si>
    <t>浴室ｴﾌﾟﾛﾝ内点検口設置　底板SUS復旧方法検討中　洗面所床のきしみが気になる</t>
    <rPh sb="0" eb="2">
      <t>ヨクシツ</t>
    </rPh>
    <rPh sb="7" eb="8">
      <t>ナイ</t>
    </rPh>
    <rPh sb="8" eb="13">
      <t>テンケンコウセッチ</t>
    </rPh>
    <rPh sb="14" eb="16">
      <t>ソコイタ</t>
    </rPh>
    <rPh sb="19" eb="26">
      <t>フッキュウホウホウケントウチュウ</t>
    </rPh>
    <rPh sb="27" eb="30">
      <t>センメンジョ</t>
    </rPh>
    <rPh sb="30" eb="31">
      <t>ユカ</t>
    </rPh>
    <rPh sb="36" eb="37">
      <t>キ</t>
    </rPh>
    <phoneticPr fontId="1"/>
  </si>
  <si>
    <t>齋藤 博之</t>
    <rPh sb="0" eb="2">
      <t>サイトウ</t>
    </rPh>
    <rPh sb="3" eb="5">
      <t>ヒロユキ</t>
    </rPh>
    <phoneticPr fontId="1"/>
  </si>
  <si>
    <t>048-686-4696</t>
    <phoneticPr fontId="1"/>
  </si>
  <si>
    <t>JBC1116・144974</t>
    <phoneticPr fontId="1"/>
  </si>
  <si>
    <t>浴室ｴﾌﾟﾛﾝ内点検口設置する　台所既存ﾄﾗｯﾌﾟ　洗濯パン位置移動するかも</t>
    <rPh sb="0" eb="2">
      <t>ヨクシツ</t>
    </rPh>
    <rPh sb="7" eb="8">
      <t>ナイ</t>
    </rPh>
    <rPh sb="8" eb="13">
      <t>テンケンコウセッチ</t>
    </rPh>
    <rPh sb="16" eb="18">
      <t>ダイドコロ</t>
    </rPh>
    <rPh sb="18" eb="20">
      <t>キゾン</t>
    </rPh>
    <rPh sb="26" eb="28">
      <t>センタク</t>
    </rPh>
    <rPh sb="30" eb="32">
      <t>イチ</t>
    </rPh>
    <rPh sb="32" eb="34">
      <t>イドウ</t>
    </rPh>
    <phoneticPr fontId="1"/>
  </si>
  <si>
    <t>後藤 久子</t>
    <rPh sb="0" eb="2">
      <t>ゴトウ</t>
    </rPh>
    <rPh sb="3" eb="5">
      <t>ヒサコ</t>
    </rPh>
    <phoneticPr fontId="1"/>
  </si>
  <si>
    <t>048-686-4670</t>
    <phoneticPr fontId="1"/>
  </si>
  <si>
    <t>WBV1117JT・170A4Y</t>
    <phoneticPr fontId="1"/>
  </si>
  <si>
    <t>浴室鏡裏開口　ﾄｲﾚ止水栓D式ｱﾝｸﾞﾙ　モール立ち上げ隙間なし蛇口付き洗濯パンに交換するかも　ﾎﾟｰﾀﾌﾞﾙﾄｲﾚ2個ほしい　給湯器下ｶﾊﾞｰ付きビス止め、掃除したいそうなので開けたままにしておいた</t>
    <rPh sb="0" eb="2">
      <t>ヨクシツ</t>
    </rPh>
    <rPh sb="2" eb="6">
      <t>カガミウラカイコウ</t>
    </rPh>
    <rPh sb="10" eb="13">
      <t>シスイセン</t>
    </rPh>
    <rPh sb="14" eb="15">
      <t>シキ</t>
    </rPh>
    <rPh sb="24" eb="25">
      <t>タ</t>
    </rPh>
    <rPh sb="26" eb="27">
      <t>ア</t>
    </rPh>
    <rPh sb="28" eb="30">
      <t>スキマ</t>
    </rPh>
    <rPh sb="32" eb="34">
      <t>ジャグチ</t>
    </rPh>
    <rPh sb="34" eb="35">
      <t>ツ</t>
    </rPh>
    <rPh sb="36" eb="38">
      <t>センタク</t>
    </rPh>
    <rPh sb="41" eb="43">
      <t>コウカン</t>
    </rPh>
    <rPh sb="58" eb="60">
      <t>ニコ</t>
    </rPh>
    <rPh sb="64" eb="68">
      <t>キュウトウキシタ</t>
    </rPh>
    <rPh sb="72" eb="73">
      <t>ツ</t>
    </rPh>
    <rPh sb="76" eb="77">
      <t>ド</t>
    </rPh>
    <rPh sb="79" eb="81">
      <t>ソウジ</t>
    </rPh>
    <rPh sb="89" eb="90">
      <t>ア</t>
    </rPh>
    <phoneticPr fontId="1"/>
  </si>
  <si>
    <t>武内 幸子</t>
    <rPh sb="0" eb="2">
      <t>タケウチ</t>
    </rPh>
    <rPh sb="3" eb="5">
      <t>サチコ</t>
    </rPh>
    <phoneticPr fontId="1"/>
  </si>
  <si>
    <t>048-686-4695</t>
    <phoneticPr fontId="1"/>
  </si>
  <si>
    <t>WZV1117・148251</t>
    <phoneticPr fontId="1"/>
  </si>
  <si>
    <t>エプロン内部材接続　底板SUS→ポリ復旧　ﾄｲﾚ止水栓D式ｱﾝｸﾞﾙ　モール立ち上げの為洗濯パンを洗面台に寄せる</t>
    <rPh sb="4" eb="9">
      <t>ナイブザイセツゾク</t>
    </rPh>
    <rPh sb="10" eb="12">
      <t>ソコイタ</t>
    </rPh>
    <rPh sb="15" eb="20">
      <t>ヤジルシポリフッキュウ</t>
    </rPh>
    <rPh sb="24" eb="27">
      <t>シスイセン</t>
    </rPh>
    <rPh sb="28" eb="29">
      <t>シキ</t>
    </rPh>
    <rPh sb="38" eb="39">
      <t>タ</t>
    </rPh>
    <rPh sb="40" eb="41">
      <t>ア</t>
    </rPh>
    <rPh sb="43" eb="44">
      <t>タメ</t>
    </rPh>
    <rPh sb="44" eb="46">
      <t>センタク</t>
    </rPh>
    <rPh sb="49" eb="52">
      <t>センメンダイ</t>
    </rPh>
    <rPh sb="53" eb="54">
      <t>ヨ</t>
    </rPh>
    <phoneticPr fontId="1"/>
  </si>
  <si>
    <t>福田 智恵美</t>
    <rPh sb="0" eb="2">
      <t>フクダ</t>
    </rPh>
    <rPh sb="3" eb="6">
      <t>チエミ</t>
    </rPh>
    <phoneticPr fontId="1"/>
  </si>
  <si>
    <t>090-7009-6822</t>
    <phoneticPr fontId="1"/>
  </si>
  <si>
    <t>ｴﾌﾟﾛﾝ内点検口設置　ひな段　床材指定品番　</t>
    <rPh sb="5" eb="11">
      <t>ナイテンケンコウセッチ</t>
    </rPh>
    <rPh sb="14" eb="15">
      <t>ダン</t>
    </rPh>
    <rPh sb="16" eb="18">
      <t>ユカザイ</t>
    </rPh>
    <rPh sb="19" eb="21">
      <t>ヒンバン</t>
    </rPh>
    <rPh sb="21" eb="22">
      <t>　</t>
    </rPh>
    <phoneticPr fontId="1"/>
  </si>
  <si>
    <t>太田 尚美</t>
    <rPh sb="0" eb="2">
      <t>オオタ</t>
    </rPh>
    <rPh sb="3" eb="5">
      <t>ナオミ</t>
    </rPh>
    <phoneticPr fontId="1"/>
  </si>
  <si>
    <t>048-685-9382</t>
    <phoneticPr fontId="1"/>
  </si>
  <si>
    <t>740+140ｷｬﾋﾞ</t>
    <phoneticPr fontId="1"/>
  </si>
  <si>
    <t>JZV1117・160521</t>
    <phoneticPr fontId="1"/>
  </si>
  <si>
    <t>ｴﾌﾟﾛﾝ内点検口設置する　トイレ手すりあり、棚の位置を少し下にしたい　ひな段既存壁だし　水栓付きの洗濯パンに交換予定　</t>
    <rPh sb="5" eb="11">
      <t>ナイテンケンコウセッチ</t>
    </rPh>
    <rPh sb="17" eb="18">
      <t>テ</t>
    </rPh>
    <rPh sb="23" eb="24">
      <t>タナ</t>
    </rPh>
    <rPh sb="25" eb="27">
      <t>イチ</t>
    </rPh>
    <rPh sb="28" eb="29">
      <t>スコ</t>
    </rPh>
    <rPh sb="30" eb="31">
      <t>シタ</t>
    </rPh>
    <rPh sb="38" eb="42">
      <t>ダンキゾンカベ</t>
    </rPh>
    <rPh sb="45" eb="48">
      <t>スイセンツ</t>
    </rPh>
    <rPh sb="50" eb="52">
      <t>センタク</t>
    </rPh>
    <rPh sb="55" eb="57">
      <t>コウカン</t>
    </rPh>
    <rPh sb="57" eb="59">
      <t>ヨテイ</t>
    </rPh>
    <phoneticPr fontId="1"/>
  </si>
  <si>
    <t>吉備 睦</t>
    <rPh sb="0" eb="2">
      <t>キビ</t>
    </rPh>
    <rPh sb="3" eb="4">
      <t>ムツミ</t>
    </rPh>
    <phoneticPr fontId="1"/>
  </si>
  <si>
    <t>048-686-4620
090-3965-4470</t>
    <phoneticPr fontId="1"/>
  </si>
  <si>
    <t>WZV1216・174750</t>
    <phoneticPr fontId="1"/>
  </si>
  <si>
    <t>ｴﾌﾟﾛﾝ内部材接続or洗面所壁に点検口設置する、浴室水栓2つ　トイレ手すりあり　ひな段既存壁だし　洗濯パン水栓付きに交換検討</t>
    <rPh sb="5" eb="6">
      <t>ナイ</t>
    </rPh>
    <rPh sb="6" eb="10">
      <t>ブザイセツゾク</t>
    </rPh>
    <rPh sb="12" eb="16">
      <t>センメンジョカベ</t>
    </rPh>
    <rPh sb="17" eb="22">
      <t>テンケンコウセッチ</t>
    </rPh>
    <rPh sb="25" eb="27">
      <t>ヨクシツ</t>
    </rPh>
    <rPh sb="27" eb="29">
      <t>スイセン</t>
    </rPh>
    <rPh sb="35" eb="36">
      <t>テ</t>
    </rPh>
    <rPh sb="43" eb="47">
      <t>ダンキゾンカベ</t>
    </rPh>
    <rPh sb="50" eb="52">
      <t>センタク</t>
    </rPh>
    <rPh sb="54" eb="57">
      <t>スイセンツ</t>
    </rPh>
    <rPh sb="59" eb="63">
      <t>コウカンケントウ</t>
    </rPh>
    <phoneticPr fontId="1"/>
  </si>
  <si>
    <t>千田 隼人</t>
    <rPh sb="0" eb="2">
      <t>センダ</t>
    </rPh>
    <rPh sb="3" eb="5">
      <t>ハヤト</t>
    </rPh>
    <phoneticPr fontId="1"/>
  </si>
  <si>
    <t>048-686-8889
090-4242-1724</t>
    <phoneticPr fontId="1"/>
  </si>
  <si>
    <t>吉田 広和</t>
    <rPh sb="0" eb="2">
      <t>ヨシダ</t>
    </rPh>
    <rPh sb="3" eb="5">
      <t>ヒロカズ</t>
    </rPh>
    <phoneticPr fontId="1"/>
  </si>
  <si>
    <t>090-2315-4811
090-8801-9700</t>
    <phoneticPr fontId="1"/>
  </si>
  <si>
    <t>フロアタイル</t>
    <phoneticPr fontId="1"/>
  </si>
  <si>
    <t>W80989091・831944A
BPR-1116LBE</t>
    <phoneticPr fontId="1"/>
  </si>
  <si>
    <t>洗面トイレフロアタイル→CFカタログから選定する？、ｿﾌﾄ巾木(洗面所は途中まで)　水栓付き洗濯パン交換検討　トイレ手すり有　玄関物入内作業はいらずトイレで排水ルート変更予定難しい場合は要相談　トイレアクセントクロス残したい、壁給水を床にする説明した検討中　ひな段</t>
    <rPh sb="0" eb="2">
      <t>センメン</t>
    </rPh>
    <rPh sb="20" eb="22">
      <t>センテイ</t>
    </rPh>
    <rPh sb="29" eb="31">
      <t>ハバキ</t>
    </rPh>
    <rPh sb="32" eb="35">
      <t>センメンジョ</t>
    </rPh>
    <rPh sb="36" eb="38">
      <t>トチュウ</t>
    </rPh>
    <rPh sb="42" eb="45">
      <t>スイセンツ</t>
    </rPh>
    <rPh sb="46" eb="48">
      <t>センタク</t>
    </rPh>
    <rPh sb="50" eb="54">
      <t>コウカンケントウ</t>
    </rPh>
    <rPh sb="58" eb="59">
      <t>テ</t>
    </rPh>
    <rPh sb="61" eb="62">
      <t>アリ</t>
    </rPh>
    <rPh sb="63" eb="68">
      <t>ゲンカンモノイレナイ</t>
    </rPh>
    <rPh sb="68" eb="70">
      <t>サギョウ</t>
    </rPh>
    <rPh sb="78" eb="80">
      <t>ハイスイ</t>
    </rPh>
    <rPh sb="83" eb="87">
      <t>ヘンコウヨテイ</t>
    </rPh>
    <rPh sb="87" eb="88">
      <t>ムズカ</t>
    </rPh>
    <rPh sb="90" eb="92">
      <t>バアイ</t>
    </rPh>
    <rPh sb="93" eb="96">
      <t>ヨウソウダン</t>
    </rPh>
    <rPh sb="108" eb="109">
      <t>ノコ</t>
    </rPh>
    <rPh sb="113" eb="114">
      <t>カベ</t>
    </rPh>
    <rPh sb="114" eb="116">
      <t>キュウスイ</t>
    </rPh>
    <rPh sb="117" eb="118">
      <t>ユカ</t>
    </rPh>
    <rPh sb="121" eb="123">
      <t>セツメイ</t>
    </rPh>
    <rPh sb="125" eb="128">
      <t>ケントウチュウ</t>
    </rPh>
    <rPh sb="131" eb="132">
      <t>ダン</t>
    </rPh>
    <phoneticPr fontId="1"/>
  </si>
  <si>
    <t>吉沢 佑也</t>
    <rPh sb="0" eb="2">
      <t>ヨシザワ</t>
    </rPh>
    <rPh sb="3" eb="5">
      <t>ユウヤ</t>
    </rPh>
    <phoneticPr fontId="1"/>
  </si>
  <si>
    <t>090-7216-4221</t>
    <phoneticPr fontId="1"/>
  </si>
  <si>
    <t>750+300ｷｬﾋﾞ</t>
    <phoneticPr fontId="1"/>
  </si>
  <si>
    <t>WBV1117JT・1894Y2</t>
    <phoneticPr fontId="1"/>
  </si>
  <si>
    <t>エプロン内部材接続　トイレ吊戸棚脱着廻りｺｰｷﾝｸﾞ打ち　底板SUS→ポリ復旧　玄関壁障害物あり、玄関のコア位置からまっすぐ横に伸ばして壁に貫通させる</t>
    <rPh sb="4" eb="9">
      <t>ナイブザイセツゾク</t>
    </rPh>
    <rPh sb="13" eb="18">
      <t>ツリトダナダッチャク</t>
    </rPh>
    <rPh sb="18" eb="19">
      <t>マワ</t>
    </rPh>
    <rPh sb="26" eb="27">
      <t>ウ</t>
    </rPh>
    <rPh sb="29" eb="31">
      <t>ソコイタ</t>
    </rPh>
    <rPh sb="34" eb="39">
      <t>ヤジルシポリフッキュウ</t>
    </rPh>
    <rPh sb="40" eb="43">
      <t>ゲンカンカベ</t>
    </rPh>
    <rPh sb="43" eb="46">
      <t>ショウガイブツ</t>
    </rPh>
    <rPh sb="49" eb="51">
      <t>ゲンカン</t>
    </rPh>
    <rPh sb="54" eb="56">
      <t>イチ</t>
    </rPh>
    <rPh sb="62" eb="63">
      <t>ヨコ</t>
    </rPh>
    <rPh sb="64" eb="65">
      <t>ノ</t>
    </rPh>
    <rPh sb="68" eb="69">
      <t>カベ</t>
    </rPh>
    <rPh sb="70" eb="72">
      <t>カンツウ</t>
    </rPh>
    <phoneticPr fontId="1"/>
  </si>
  <si>
    <t>三好</t>
    <rPh sb="0" eb="2">
      <t>ミヨシ</t>
    </rPh>
    <phoneticPr fontId="1"/>
  </si>
  <si>
    <t>090-4111-7270</t>
    <phoneticPr fontId="1"/>
  </si>
  <si>
    <t>WZV1117・1474PS</t>
    <phoneticPr fontId="1"/>
  </si>
  <si>
    <t>エプロン内部材接続　洗面所ふかし壁ありｿﾌﾄ巾木　床下でつなげられなかったらふかし壁に点検口設置する　ひな段　ﾄｲﾚ止水栓D式ｱﾝｸﾞﾙ</t>
    <rPh sb="4" eb="9">
      <t>ナイブザイセツゾク</t>
    </rPh>
    <rPh sb="10" eb="13">
      <t>センメンジョ</t>
    </rPh>
    <rPh sb="16" eb="17">
      <t>カベ</t>
    </rPh>
    <rPh sb="22" eb="24">
      <t>ハバキ</t>
    </rPh>
    <rPh sb="25" eb="27">
      <t>ユカシタ</t>
    </rPh>
    <rPh sb="41" eb="42">
      <t>カベ</t>
    </rPh>
    <rPh sb="43" eb="48">
      <t>テンケンコウセッチ</t>
    </rPh>
    <rPh sb="53" eb="54">
      <t>ダン</t>
    </rPh>
    <rPh sb="58" eb="61">
      <t>シスイセン</t>
    </rPh>
    <rPh sb="62" eb="63">
      <t>シキ</t>
    </rPh>
    <phoneticPr fontId="1"/>
  </si>
  <si>
    <t>柿崎 真由美</t>
    <rPh sb="0" eb="2">
      <t>カキザキ</t>
    </rPh>
    <rPh sb="3" eb="6">
      <t>マユミ</t>
    </rPh>
    <phoneticPr fontId="1"/>
  </si>
  <si>
    <t>048-686-2774
090-3517-8799</t>
    <phoneticPr fontId="1"/>
  </si>
  <si>
    <t>タオル掛け</t>
    <rPh sb="3" eb="4">
      <t>カ</t>
    </rPh>
    <phoneticPr fontId="1"/>
  </si>
  <si>
    <t>ｴﾌﾟﾛﾝ内点検口設置　給湯器カバー穴開けて作業はいるかもと説明　台所既存ﾄﾗｯﾌﾟ　追い焚き管交換検討</t>
    <rPh sb="5" eb="9">
      <t>ナイテンケンコウ</t>
    </rPh>
    <rPh sb="9" eb="11">
      <t>セッチ</t>
    </rPh>
    <rPh sb="12" eb="15">
      <t>キュウトウキ</t>
    </rPh>
    <rPh sb="18" eb="20">
      <t>アナア</t>
    </rPh>
    <rPh sb="22" eb="24">
      <t>サギョウ</t>
    </rPh>
    <rPh sb="30" eb="32">
      <t>セツメイ</t>
    </rPh>
    <rPh sb="33" eb="35">
      <t>ダイドコロ</t>
    </rPh>
    <rPh sb="35" eb="37">
      <t>キゾン</t>
    </rPh>
    <rPh sb="43" eb="44">
      <t>オ</t>
    </rPh>
    <rPh sb="45" eb="46">
      <t>ダ</t>
    </rPh>
    <rPh sb="47" eb="52">
      <t>カンコウカンケントウ</t>
    </rPh>
    <phoneticPr fontId="1"/>
  </si>
  <si>
    <t>長澤 絋史</t>
    <rPh sb="0" eb="2">
      <t>ナガサワ</t>
    </rPh>
    <rPh sb="3" eb="5">
      <t>ヒロシ</t>
    </rPh>
    <phoneticPr fontId="1"/>
  </si>
  <si>
    <t>048-683-6975</t>
    <phoneticPr fontId="1"/>
  </si>
  <si>
    <t>浴室デッキタイプ洗面所に壁点検口あり、ｴﾌﾟﾛﾝｺｰｷﾝｸﾞ打ちされているため外せなかった　給湯、追い焚き管更新済み　底板SUS→ポリ復旧　洗濯パン洗面台に寄せる　洗面台蛇口交換検討</t>
    <rPh sb="0" eb="2">
      <t>ヨクシツ</t>
    </rPh>
    <rPh sb="8" eb="11">
      <t>センメンジョ</t>
    </rPh>
    <rPh sb="12" eb="16">
      <t>カベテンケンコウ</t>
    </rPh>
    <rPh sb="30" eb="31">
      <t>ウ</t>
    </rPh>
    <rPh sb="39" eb="40">
      <t>ハズ</t>
    </rPh>
    <rPh sb="46" eb="48">
      <t>キュウトウ</t>
    </rPh>
    <rPh sb="49" eb="50">
      <t>オ</t>
    </rPh>
    <rPh sb="51" eb="52">
      <t>ダ</t>
    </rPh>
    <rPh sb="53" eb="54">
      <t>カン</t>
    </rPh>
    <rPh sb="54" eb="56">
      <t>コウシン</t>
    </rPh>
    <rPh sb="56" eb="57">
      <t>ズ</t>
    </rPh>
    <rPh sb="59" eb="61">
      <t>ソコイタ</t>
    </rPh>
    <rPh sb="67" eb="69">
      <t>フッキュウ</t>
    </rPh>
    <rPh sb="70" eb="72">
      <t>センタク</t>
    </rPh>
    <rPh sb="74" eb="77">
      <t>センメンダイ</t>
    </rPh>
    <rPh sb="78" eb="79">
      <t>ヨ</t>
    </rPh>
    <rPh sb="82" eb="85">
      <t>センメンダイ</t>
    </rPh>
    <rPh sb="85" eb="87">
      <t>ジャグチ</t>
    </rPh>
    <rPh sb="87" eb="89">
      <t>コウカン</t>
    </rPh>
    <rPh sb="89" eb="91">
      <t>ケントウ</t>
    </rPh>
    <phoneticPr fontId="1"/>
  </si>
  <si>
    <t>上田 俊介</t>
    <rPh sb="0" eb="2">
      <t>ウエダ</t>
    </rPh>
    <rPh sb="3" eb="5">
      <t>シュンスケ</t>
    </rPh>
    <phoneticPr fontId="1"/>
  </si>
  <si>
    <t>048-686-4647</t>
    <phoneticPr fontId="1"/>
  </si>
  <si>
    <t>WZV1117・149CWB</t>
    <phoneticPr fontId="1"/>
  </si>
  <si>
    <t>エプロン内部材接続　底板SUS→ポリ復旧　洗濯パン洗面台に寄せる　ﾎﾟｰﾀﾌﾞﾙﾄｲﾚ４セット　洗面台トイレ追い焚き管交換検討中　お母さんハキハキしているがお父さんはボーっとしていて話聞いていなかった認知っぽい？</t>
    <rPh sb="4" eb="9">
      <t>ナイブザイセツゾク</t>
    </rPh>
    <rPh sb="10" eb="12">
      <t>ソコイタ</t>
    </rPh>
    <rPh sb="15" eb="20">
      <t>ヤジルシポリフッキュウ</t>
    </rPh>
    <rPh sb="21" eb="23">
      <t>センタク</t>
    </rPh>
    <rPh sb="25" eb="28">
      <t>センメンダイ</t>
    </rPh>
    <rPh sb="29" eb="30">
      <t>ヨ</t>
    </rPh>
    <rPh sb="48" eb="51">
      <t>センメンダイ</t>
    </rPh>
    <rPh sb="54" eb="55">
      <t>オ</t>
    </rPh>
    <rPh sb="56" eb="57">
      <t>ダ</t>
    </rPh>
    <rPh sb="58" eb="63">
      <t>カンコウカンケントウ</t>
    </rPh>
    <rPh sb="63" eb="64">
      <t>チュウ</t>
    </rPh>
    <rPh sb="66" eb="67">
      <t>カア</t>
    </rPh>
    <rPh sb="79" eb="80">
      <t>トウ</t>
    </rPh>
    <rPh sb="91" eb="93">
      <t>ハナシキ</t>
    </rPh>
    <rPh sb="100" eb="102">
      <t>ニンチ</t>
    </rPh>
    <phoneticPr fontId="1"/>
  </si>
  <si>
    <t>　</t>
    <phoneticPr fontId="1"/>
  </si>
  <si>
    <t>大沢 雅昭</t>
    <rPh sb="0" eb="2">
      <t>オオサワ</t>
    </rPh>
    <rPh sb="3" eb="4">
      <t>マサ</t>
    </rPh>
    <rPh sb="4" eb="5">
      <t>アキ</t>
    </rPh>
    <phoneticPr fontId="1"/>
  </si>
  <si>
    <t>048-685-6822
080-5387-6822</t>
    <phoneticPr fontId="1"/>
  </si>
  <si>
    <t>タオル掛け</t>
    <rPh sb="3" eb="4">
      <t>カ</t>
    </rPh>
    <phoneticPr fontId="1"/>
  </si>
  <si>
    <t>普段空家だが工事期間中人の出入りがあるかもしれない　浴室デッキタイプ　洗面所壁に点検口設置する　トイレ止水栓ｽﾄﾚｰﾅｰ付</t>
    <rPh sb="0" eb="4">
      <t>フダンアキヤ</t>
    </rPh>
    <rPh sb="6" eb="11">
      <t>コウジキカンチュウ</t>
    </rPh>
    <rPh sb="11" eb="12">
      <t>ヒト</t>
    </rPh>
    <rPh sb="13" eb="15">
      <t>デイ</t>
    </rPh>
    <rPh sb="26" eb="28">
      <t>ヨクシツ</t>
    </rPh>
    <rPh sb="35" eb="38">
      <t>センメンジョ</t>
    </rPh>
    <rPh sb="38" eb="39">
      <t>カベ</t>
    </rPh>
    <rPh sb="40" eb="45">
      <t>テンケンコウセッチ</t>
    </rPh>
    <rPh sb="51" eb="54">
      <t>シスイセン</t>
    </rPh>
    <rPh sb="60" eb="61">
      <t>ツキ</t>
    </rPh>
    <phoneticPr fontId="1"/>
  </si>
  <si>
    <t>野田 健史</t>
    <rPh sb="0" eb="2">
      <t>ノダ</t>
    </rPh>
    <rPh sb="3" eb="4">
      <t>ケン</t>
    </rPh>
    <rPh sb="4" eb="5">
      <t>シ</t>
    </rPh>
    <phoneticPr fontId="1"/>
  </si>
  <si>
    <t>048-688-8841
090-8313-9785</t>
    <phoneticPr fontId="1"/>
  </si>
  <si>
    <t>720×500</t>
    <phoneticPr fontId="1"/>
  </si>
  <si>
    <t>WZV1117・169321</t>
    <phoneticPr fontId="1"/>
  </si>
  <si>
    <t>水栓付き洗濯パン、追い焚き管交換希望　隠蔽配管希望年内に連絡もらう　乾燥機有　トイレ手すりあり</t>
    <rPh sb="0" eb="3">
      <t>スイセンツ</t>
    </rPh>
    <rPh sb="4" eb="6">
      <t>センタク</t>
    </rPh>
    <rPh sb="9" eb="10">
      <t>オ</t>
    </rPh>
    <rPh sb="11" eb="12">
      <t>ダ</t>
    </rPh>
    <rPh sb="13" eb="14">
      <t>カン</t>
    </rPh>
    <rPh sb="14" eb="16">
      <t>コウカン</t>
    </rPh>
    <rPh sb="16" eb="18">
      <t>キボウ</t>
    </rPh>
    <rPh sb="19" eb="23">
      <t>インペイハイカン</t>
    </rPh>
    <rPh sb="23" eb="25">
      <t>キボウ</t>
    </rPh>
    <rPh sb="25" eb="27">
      <t>ネンナイ</t>
    </rPh>
    <rPh sb="28" eb="30">
      <t>レンラク</t>
    </rPh>
    <rPh sb="34" eb="38">
      <t>カンソウキアリ</t>
    </rPh>
    <rPh sb="42" eb="43">
      <t>テ</t>
    </rPh>
    <phoneticPr fontId="1"/>
  </si>
  <si>
    <t>手島 周吉</t>
    <rPh sb="0" eb="2">
      <t>テジマ</t>
    </rPh>
    <rPh sb="3" eb="5">
      <t>シュウキチ</t>
    </rPh>
    <phoneticPr fontId="1"/>
  </si>
  <si>
    <t>048-684-2620</t>
    <phoneticPr fontId="1"/>
  </si>
  <si>
    <t>WRV1216・161BJ0</t>
    <phoneticPr fontId="1"/>
  </si>
  <si>
    <t>大塩 晃正</t>
    <rPh sb="0" eb="2">
      <t>オオシオ</t>
    </rPh>
    <rPh sb="3" eb="4">
      <t>ヒカル</t>
    </rPh>
    <rPh sb="4" eb="5">
      <t>セイ</t>
    </rPh>
    <phoneticPr fontId="1"/>
  </si>
  <si>
    <t>090-3007-0543</t>
    <phoneticPr fontId="1"/>
  </si>
  <si>
    <t>ｗ80049986・280016Ａ
BYU-W1216LBSH</t>
    <phoneticPr fontId="1"/>
  </si>
  <si>
    <t>給湯管更新済み全更新希望　玄関棚ある撤去して基本ルートか隠蔽配管か検討中　できれば基本ルート希望　撤去した場合は３番で部分的に貼る　</t>
    <rPh sb="0" eb="6">
      <t>キュウトウカンコウシンズ</t>
    </rPh>
    <rPh sb="7" eb="12">
      <t>ゼンコウシンキボウ</t>
    </rPh>
    <rPh sb="13" eb="16">
      <t>ゲンカンタナ</t>
    </rPh>
    <rPh sb="18" eb="20">
      <t>テッキョ</t>
    </rPh>
    <rPh sb="22" eb="24">
      <t>キホン</t>
    </rPh>
    <rPh sb="28" eb="32">
      <t>インペイハイカン</t>
    </rPh>
    <rPh sb="33" eb="35">
      <t>ケントウ</t>
    </rPh>
    <rPh sb="35" eb="36">
      <t>チュウ</t>
    </rPh>
    <rPh sb="41" eb="43">
      <t>キホン</t>
    </rPh>
    <rPh sb="46" eb="48">
      <t>キボウ</t>
    </rPh>
    <rPh sb="49" eb="51">
      <t>テッキョ</t>
    </rPh>
    <rPh sb="53" eb="55">
      <t>バアイ</t>
    </rPh>
    <rPh sb="57" eb="58">
      <t>バン</t>
    </rPh>
    <rPh sb="59" eb="62">
      <t>ブブンテキ</t>
    </rPh>
    <rPh sb="63" eb="64">
      <t>ハ</t>
    </rPh>
    <phoneticPr fontId="1"/>
  </si>
  <si>
    <t>横川 小百合</t>
    <rPh sb="0" eb="2">
      <t>ヨコカワ</t>
    </rPh>
    <rPh sb="3" eb="6">
      <t>サユリ</t>
    </rPh>
    <phoneticPr fontId="1"/>
  </si>
  <si>
    <t>090-2319-8990</t>
    <phoneticPr fontId="1"/>
  </si>
  <si>
    <t>底板SUS→ポリ復旧　洗面台交換と水栓付き洗濯パン交換検討</t>
    <rPh sb="0" eb="2">
      <t>ソコイタ</t>
    </rPh>
    <rPh sb="5" eb="10">
      <t>ヤジルシポリフッキュウ</t>
    </rPh>
    <rPh sb="11" eb="16">
      <t>センメンダイコウカン</t>
    </rPh>
    <rPh sb="17" eb="20">
      <t>スイセンツ</t>
    </rPh>
    <rPh sb="21" eb="23">
      <t>センタク</t>
    </rPh>
    <rPh sb="25" eb="29">
      <t>コウカンケントウ</t>
    </rPh>
    <phoneticPr fontId="1"/>
  </si>
  <si>
    <t>橋本 篤</t>
    <rPh sb="0" eb="2">
      <t>ハシモト</t>
    </rPh>
    <rPh sb="3" eb="4">
      <t>アツシ</t>
    </rPh>
    <phoneticPr fontId="1"/>
  </si>
  <si>
    <t>090-1047-0247</t>
    <phoneticPr fontId="1"/>
  </si>
  <si>
    <t>JZC1117・454640</t>
    <phoneticPr fontId="1"/>
  </si>
  <si>
    <t>クロス</t>
    <phoneticPr fontId="1"/>
  </si>
  <si>
    <t>調査票集計</t>
    <rPh sb="0" eb="3">
      <t>チョウサヒョウ</t>
    </rPh>
    <rPh sb="3" eb="5">
      <t>シュウケイ</t>
    </rPh>
    <phoneticPr fontId="1"/>
  </si>
  <si>
    <t>吊戸棚</t>
    <rPh sb="0" eb="3">
      <t>ツリトダナ</t>
    </rPh>
    <phoneticPr fontId="1"/>
  </si>
  <si>
    <t>トイレ</t>
    <phoneticPr fontId="1"/>
  </si>
  <si>
    <t>タオル掛け</t>
    <rPh sb="3" eb="4">
      <t>カ</t>
    </rPh>
    <phoneticPr fontId="1"/>
  </si>
  <si>
    <t>合計</t>
    <rPh sb="0" eb="2">
      <t>ゴウケイ</t>
    </rPh>
    <phoneticPr fontId="1"/>
  </si>
  <si>
    <t>野坂 賢二</t>
    <rPh sb="0" eb="2">
      <t>ノサカ</t>
    </rPh>
    <rPh sb="3" eb="5">
      <t>ケンジ</t>
    </rPh>
    <phoneticPr fontId="1"/>
  </si>
  <si>
    <t>048-686-6332</t>
    <phoneticPr fontId="1"/>
  </si>
  <si>
    <t>WZV1117・146400</t>
    <phoneticPr fontId="1"/>
  </si>
  <si>
    <t>洗面所床に点検口あり無くしてCF貼り　ひな段既存壁だし　ﾄｲﾚ止水栓D式ｱﾝｸﾞﾙ</t>
    <rPh sb="0" eb="3">
      <t>センメンジョ</t>
    </rPh>
    <rPh sb="3" eb="4">
      <t>ユカ</t>
    </rPh>
    <rPh sb="5" eb="8">
      <t>テンケンコウ</t>
    </rPh>
    <rPh sb="10" eb="11">
      <t>ナ</t>
    </rPh>
    <rPh sb="16" eb="17">
      <t>ハ</t>
    </rPh>
    <rPh sb="21" eb="25">
      <t>ダンキゾンカベ</t>
    </rPh>
    <rPh sb="31" eb="34">
      <t>シスイセン</t>
    </rPh>
    <rPh sb="35" eb="36">
      <t>シキ</t>
    </rPh>
    <phoneticPr fontId="1"/>
  </si>
  <si>
    <t>山元 紀美</t>
    <rPh sb="0" eb="2">
      <t>ヤマモト</t>
    </rPh>
    <rPh sb="3" eb="5">
      <t>キミ</t>
    </rPh>
    <phoneticPr fontId="1"/>
  </si>
  <si>
    <t>048-686-4692</t>
    <phoneticPr fontId="1"/>
  </si>
  <si>
    <t>JZV1117・178634</t>
    <phoneticPr fontId="1"/>
  </si>
  <si>
    <t>給湯管更新済み、残すか更新するか検討中　浴室鏡裏開口　ﾄｲﾚ吊り戸あり、扉だけ外せる棚受けは既存のもの　洗濯パン洗面台に寄せる　トイレ止水栓D式ｱﾝｸﾞﾙ　ひな段既存壁だし</t>
    <rPh sb="0" eb="3">
      <t>キュウトウカン</t>
    </rPh>
    <rPh sb="3" eb="5">
      <t>コウシン</t>
    </rPh>
    <rPh sb="5" eb="6">
      <t>ズ</t>
    </rPh>
    <rPh sb="8" eb="9">
      <t>ノコ</t>
    </rPh>
    <rPh sb="11" eb="13">
      <t>コウシン</t>
    </rPh>
    <rPh sb="16" eb="19">
      <t>ケントウチュウ</t>
    </rPh>
    <rPh sb="20" eb="22">
      <t>ヨクシツ</t>
    </rPh>
    <rPh sb="22" eb="23">
      <t>カガミ</t>
    </rPh>
    <rPh sb="23" eb="24">
      <t>ウラ</t>
    </rPh>
    <rPh sb="24" eb="26">
      <t>カイコウ</t>
    </rPh>
    <rPh sb="30" eb="31">
      <t>ツ</t>
    </rPh>
    <rPh sb="32" eb="33">
      <t>ト</t>
    </rPh>
    <rPh sb="36" eb="37">
      <t>トビラ</t>
    </rPh>
    <rPh sb="39" eb="40">
      <t>ハズ</t>
    </rPh>
    <rPh sb="42" eb="44">
      <t>タナウ</t>
    </rPh>
    <rPh sb="46" eb="48">
      <t>キゾン</t>
    </rPh>
    <rPh sb="52" eb="54">
      <t>センタク</t>
    </rPh>
    <rPh sb="56" eb="59">
      <t>センメンダイ</t>
    </rPh>
    <rPh sb="60" eb="61">
      <t>ヨ</t>
    </rPh>
    <rPh sb="67" eb="70">
      <t>シスイセン</t>
    </rPh>
    <rPh sb="71" eb="72">
      <t>シキ</t>
    </rPh>
    <rPh sb="80" eb="84">
      <t>ダンキゾンカベ</t>
    </rPh>
    <phoneticPr fontId="1"/>
  </si>
  <si>
    <t>空家　23-301の人が鍵持っていて立会してくれた　洗濯パン洗面台に寄せる　　</t>
    <rPh sb="0" eb="2">
      <t>アキヤ</t>
    </rPh>
    <rPh sb="10" eb="11">
      <t>ヒト</t>
    </rPh>
    <rPh sb="12" eb="14">
      <t>カギモ</t>
    </rPh>
    <rPh sb="18" eb="20">
      <t>タチアイ</t>
    </rPh>
    <rPh sb="26" eb="28">
      <t>センタク</t>
    </rPh>
    <rPh sb="30" eb="33">
      <t>センメンダイ</t>
    </rPh>
    <rPh sb="34" eb="35">
      <t>ヨ</t>
    </rPh>
    <phoneticPr fontId="1"/>
  </si>
  <si>
    <t>吉田 昌則</t>
    <rPh sb="0" eb="2">
      <t>ヨシダ</t>
    </rPh>
    <rPh sb="3" eb="5">
      <t>アキノリ</t>
    </rPh>
    <phoneticPr fontId="1"/>
  </si>
  <si>
    <t>048-686-4640</t>
    <phoneticPr fontId="1"/>
  </si>
  <si>
    <t>900×600</t>
    <phoneticPr fontId="1"/>
  </si>
  <si>
    <t>WBV1117JT・153JTF</t>
    <phoneticPr fontId="1"/>
  </si>
  <si>
    <t>ﾓｰﾙ立ち上げスペースがない巾木の上からﾓｰﾙならいける　テスト施工の部屋便器交換検討　ひな段既存壁だし</t>
    <rPh sb="3" eb="4">
      <t>タ</t>
    </rPh>
    <rPh sb="5" eb="6">
      <t>ア</t>
    </rPh>
    <rPh sb="14" eb="16">
      <t>ハバキ</t>
    </rPh>
    <rPh sb="17" eb="18">
      <t>ウエ</t>
    </rPh>
    <rPh sb="32" eb="34">
      <t>セコウ</t>
    </rPh>
    <rPh sb="35" eb="37">
      <t>ヘヤ</t>
    </rPh>
    <rPh sb="37" eb="41">
      <t>ベンキコウカン</t>
    </rPh>
    <rPh sb="41" eb="43">
      <t>ケントウ</t>
    </rPh>
    <rPh sb="46" eb="47">
      <t>ダン</t>
    </rPh>
    <rPh sb="47" eb="50">
      <t>キゾンカベ</t>
    </rPh>
    <phoneticPr fontId="1"/>
  </si>
  <si>
    <t>渡辺 清子</t>
    <rPh sb="0" eb="2">
      <t>ワタナベ</t>
    </rPh>
    <rPh sb="3" eb="5">
      <t>キヨコ</t>
    </rPh>
    <phoneticPr fontId="1"/>
  </si>
  <si>
    <t>048-685-6999</t>
    <phoneticPr fontId="1"/>
  </si>
  <si>
    <t>WZV1117・140832</t>
    <phoneticPr fontId="1"/>
  </si>
  <si>
    <t>ﾄｲﾚ止水栓ｽﾄﾚｰﾅｰ付　底板SUS→ポリ復旧　</t>
    <rPh sb="3" eb="6">
      <t>シスイセン</t>
    </rPh>
    <rPh sb="12" eb="13">
      <t>ツキ</t>
    </rPh>
    <rPh sb="14" eb="16">
      <t>ソコイタ</t>
    </rPh>
    <rPh sb="19" eb="24">
      <t>ヤジルシポリフッキュウ</t>
    </rPh>
    <phoneticPr fontId="1"/>
  </si>
  <si>
    <t>井口 信子</t>
    <rPh sb="0" eb="2">
      <t>イグチ</t>
    </rPh>
    <rPh sb="3" eb="5">
      <t>ノブコ</t>
    </rPh>
    <phoneticPr fontId="1"/>
  </si>
  <si>
    <t>048-686-4691
090-3215-9159</t>
    <phoneticPr fontId="1"/>
  </si>
  <si>
    <t>WBV1117JN・172BQS</t>
    <phoneticPr fontId="1"/>
  </si>
  <si>
    <t>浴室ｴﾌﾟﾛﾝ内作業スペースない、壁開口して鏡取付ける　洗濯パン洗面所に寄せる　ﾄｲﾚ止水栓ｽﾄﾚｰﾅｰ付</t>
    <rPh sb="0" eb="2">
      <t>ヨクシツ</t>
    </rPh>
    <rPh sb="7" eb="9">
      <t>サギョウ</t>
    </rPh>
    <rPh sb="9" eb="10">
      <t>スペー</t>
    </rPh>
    <rPh sb="17" eb="20">
      <t>カイコウ</t>
    </rPh>
    <rPh sb="22" eb="25">
      <t>トリツ</t>
    </rPh>
    <rPh sb="28" eb="29">
      <t>センタク</t>
    </rPh>
    <rPh sb="29" eb="31">
      <t>パン</t>
    </rPh>
    <rPh sb="31" eb="33">
      <t>センメン</t>
    </rPh>
    <rPh sb="33" eb="35">
      <t>ジョニ</t>
    </rPh>
    <rPh sb="35" eb="38">
      <t>ヨセル</t>
    </rPh>
    <rPh sb="42" eb="45">
      <t>シスイセン</t>
    </rPh>
    <rPh sb="45" eb="51">
      <t>ストレーナー</t>
    </rPh>
    <phoneticPr fontId="1"/>
  </si>
  <si>
    <t>永井 初子</t>
    <rPh sb="0" eb="2">
      <t>ナガイ</t>
    </rPh>
    <rPh sb="3" eb="5">
      <t>ハツコ</t>
    </rPh>
    <phoneticPr fontId="1"/>
  </si>
  <si>
    <t>090-5347-4334</t>
    <phoneticPr fontId="1"/>
  </si>
  <si>
    <t>底板SUS→ポリ復旧　ﾄｲﾚ止水栓ｽﾄﾚｰﾅｰ付　廊下床鳴りすごい</t>
    <rPh sb="0" eb="2">
      <t>ソコイタ</t>
    </rPh>
    <rPh sb="5" eb="10">
      <t>ヤジルシポリフッキュウ</t>
    </rPh>
    <rPh sb="14" eb="17">
      <t>シスイセン</t>
    </rPh>
    <rPh sb="23" eb="24">
      <t>ツキ</t>
    </rPh>
    <rPh sb="25" eb="29">
      <t>ロウカユカナ</t>
    </rPh>
    <phoneticPr fontId="1"/>
  </si>
  <si>
    <t>？</t>
    <phoneticPr fontId="1"/>
  </si>
  <si>
    <t>?</t>
    <phoneticPr fontId="1"/>
  </si>
  <si>
    <t>national</t>
    <phoneticPr fontId="1"/>
  </si>
  <si>
    <t>キーボックス4126　ｵｰﾅｰ様不在の中調査した　台所既存ﾄﾗｯﾌﾟ
①トイレ壁パネル玄関側から作業する②浴室鏡裏開口③洗濯パン洗面台に寄せることを後日説明したい</t>
    <rPh sb="15" eb="16">
      <t>サマ</t>
    </rPh>
    <rPh sb="16" eb="18">
      <t>フザイ</t>
    </rPh>
    <rPh sb="19" eb="20">
      <t>ナカ</t>
    </rPh>
    <rPh sb="20" eb="22">
      <t>チョウサ</t>
    </rPh>
    <rPh sb="25" eb="29">
      <t>ダイドコロキゾン</t>
    </rPh>
    <rPh sb="39" eb="40">
      <t>カベ</t>
    </rPh>
    <rPh sb="43" eb="45">
      <t>ゲンカン</t>
    </rPh>
    <rPh sb="45" eb="46">
      <t>ガワ</t>
    </rPh>
    <rPh sb="48" eb="50">
      <t>サギョウ</t>
    </rPh>
    <rPh sb="53" eb="55">
      <t>ヨクシツ</t>
    </rPh>
    <rPh sb="55" eb="59">
      <t>カガミウラカイコウ</t>
    </rPh>
    <rPh sb="60" eb="62">
      <t>センタク</t>
    </rPh>
    <rPh sb="64" eb="67">
      <t>センメンダイ</t>
    </rPh>
    <rPh sb="68" eb="69">
      <t>ヨ</t>
    </rPh>
    <rPh sb="74" eb="76">
      <t>ゴジツ</t>
    </rPh>
    <rPh sb="76" eb="78">
      <t>セツメイ</t>
    </rPh>
    <phoneticPr fontId="1"/>
  </si>
  <si>
    <t>江利川 洋子</t>
    <rPh sb="0" eb="3">
      <t>エトカワ</t>
    </rPh>
    <rPh sb="4" eb="6">
      <t>ヨウコ</t>
    </rPh>
    <phoneticPr fontId="1"/>
  </si>
  <si>
    <t>048-686-4643</t>
    <phoneticPr fontId="1"/>
  </si>
  <si>
    <t>WZV1117・147RLN</t>
    <phoneticPr fontId="1"/>
  </si>
  <si>
    <t>浴室ｴﾌﾟﾛﾝ内部材接続or洗面所壁に点検口設置する　給湯管更新済み　ﾄｲﾚ止水栓ｽﾄﾚｰﾅｰ付　洗濯パンを洗面台に寄せる　ひな段</t>
    <rPh sb="0" eb="2">
      <t>ヨクシツ</t>
    </rPh>
    <rPh sb="7" eb="12">
      <t>ナイブザイセツゾク</t>
    </rPh>
    <rPh sb="14" eb="18">
      <t>センメンジョカベ</t>
    </rPh>
    <rPh sb="19" eb="24">
      <t>テンケンコウセッチ</t>
    </rPh>
    <rPh sb="27" eb="33">
      <t>キュウトウカンコウシンズ</t>
    </rPh>
    <rPh sb="38" eb="41">
      <t>シスイセン</t>
    </rPh>
    <rPh sb="47" eb="48">
      <t>ツキ</t>
    </rPh>
    <rPh sb="49" eb="51">
      <t>センタク</t>
    </rPh>
    <rPh sb="54" eb="57">
      <t>センメンダイ</t>
    </rPh>
    <rPh sb="58" eb="59">
      <t>ヨ</t>
    </rPh>
    <rPh sb="64" eb="65">
      <t>ダン</t>
    </rPh>
    <phoneticPr fontId="1"/>
  </si>
  <si>
    <t>食洗器あり　洗濯水栓モール立ち上げスペースギリギリかも</t>
    <rPh sb="0" eb="3">
      <t>ショクセンキ</t>
    </rPh>
    <rPh sb="6" eb="10">
      <t>センタクスイセン</t>
    </rPh>
    <rPh sb="13" eb="14">
      <t>タ</t>
    </rPh>
    <rPh sb="15" eb="16">
      <t>ア</t>
    </rPh>
    <phoneticPr fontId="1"/>
  </si>
  <si>
    <t>草木 泰二</t>
    <rPh sb="0" eb="2">
      <t>クサキ</t>
    </rPh>
    <rPh sb="3" eb="5">
      <t>タイジ</t>
    </rPh>
    <phoneticPr fontId="1"/>
  </si>
  <si>
    <t>048-686-9316
090-4737-4288</t>
    <phoneticPr fontId="1"/>
  </si>
  <si>
    <t>塩ﾋﾞﾀｲﾙ</t>
    <rPh sb="0" eb="1">
      <t>エン</t>
    </rPh>
    <phoneticPr fontId="1"/>
  </si>
  <si>
    <t>750+600ｷｬﾋﾞ</t>
    <phoneticPr fontId="1"/>
  </si>
  <si>
    <t>WYV1116JN・1590T8</t>
    <phoneticPr fontId="1"/>
  </si>
  <si>
    <t>浴室壁開口、鏡取付(費用かかることOK)洗面下でつなげられそうだったら取付無し　トイレ壁塩ﾋﾞﾀｲﾙ、玄関側開口１面貼替　トイレ水栓を壁から床にする、壁プラグふさぎ　底板SUS→ポリ復旧　工事初日の８時までに鍵取付と片付け確認</t>
    <rPh sb="0" eb="2">
      <t>ヨクシツ</t>
    </rPh>
    <rPh sb="2" eb="5">
      <t>カベカイコウ</t>
    </rPh>
    <rPh sb="6" eb="9">
      <t>カガミトリツケ</t>
    </rPh>
    <rPh sb="10" eb="12">
      <t>ヒヨウ</t>
    </rPh>
    <rPh sb="20" eb="23">
      <t>センメンシタ</t>
    </rPh>
    <rPh sb="35" eb="38">
      <t>トリツケナ</t>
    </rPh>
    <rPh sb="43" eb="44">
      <t>カベ</t>
    </rPh>
    <rPh sb="44" eb="45">
      <t>エン</t>
    </rPh>
    <rPh sb="51" eb="54">
      <t>ゲンカンガワ</t>
    </rPh>
    <rPh sb="54" eb="56">
      <t>カイコウ</t>
    </rPh>
    <rPh sb="57" eb="60">
      <t>メンハリカエ</t>
    </rPh>
    <rPh sb="64" eb="66">
      <t>スイセン</t>
    </rPh>
    <rPh sb="67" eb="68">
      <t>カベ</t>
    </rPh>
    <rPh sb="70" eb="71">
      <t>ユカ</t>
    </rPh>
    <rPh sb="75" eb="76">
      <t>カベ</t>
    </rPh>
    <rPh sb="83" eb="85">
      <t>ソコイタ</t>
    </rPh>
    <rPh sb="88" eb="93">
      <t>ヤジルシポリフッキュウ</t>
    </rPh>
    <rPh sb="94" eb="98">
      <t>コウジショニチ</t>
    </rPh>
    <rPh sb="100" eb="101">
      <t>ジ</t>
    </rPh>
    <rPh sb="104" eb="107">
      <t>カギトリツケ</t>
    </rPh>
    <rPh sb="108" eb="110">
      <t>カタヅ</t>
    </rPh>
    <rPh sb="111" eb="113">
      <t>カクニン</t>
    </rPh>
    <phoneticPr fontId="1"/>
  </si>
  <si>
    <t>藤原 和子</t>
    <rPh sb="0" eb="2">
      <t>フジワラ</t>
    </rPh>
    <rPh sb="3" eb="5">
      <t>カズコ</t>
    </rPh>
    <phoneticPr fontId="1"/>
  </si>
  <si>
    <t>048-686-4668</t>
    <phoneticPr fontId="1"/>
  </si>
  <si>
    <t>WBV1117JN・1667D2</t>
    <phoneticPr fontId="1"/>
  </si>
  <si>
    <t>給湯管更新済み、浴室は給水もやっているらしい洗面所壁開けてつなげる予定→点検口設置する難しい場合は鏡取付する(費用かかる説明OK、見た目上鏡取付は嫌)　洗濯パン洗面台に寄せる　底板SUS→ポリ復旧　洗面所入口引戸工事期間中取り外す</t>
    <rPh sb="0" eb="3">
      <t>キュウトウカン</t>
    </rPh>
    <rPh sb="3" eb="6">
      <t>コウシンズ</t>
    </rPh>
    <rPh sb="8" eb="10">
      <t>ヨクシツ</t>
    </rPh>
    <rPh sb="11" eb="13">
      <t>キュウスイ</t>
    </rPh>
    <rPh sb="22" eb="27">
      <t>センメンジョカベア</t>
    </rPh>
    <rPh sb="33" eb="35">
      <t>ヨテイ</t>
    </rPh>
    <rPh sb="36" eb="41">
      <t>テンケンコウセッチ</t>
    </rPh>
    <rPh sb="43" eb="44">
      <t>ムズカ</t>
    </rPh>
    <rPh sb="46" eb="48">
      <t>バアイ</t>
    </rPh>
    <rPh sb="49" eb="52">
      <t>カガミトリツケ</t>
    </rPh>
    <rPh sb="55" eb="57">
      <t>ヒヨウ</t>
    </rPh>
    <rPh sb="60" eb="62">
      <t>セツメイ</t>
    </rPh>
    <rPh sb="65" eb="66">
      <t>ミ</t>
    </rPh>
    <rPh sb="67" eb="69">
      <t>メジョウ</t>
    </rPh>
    <rPh sb="69" eb="72">
      <t>カガミトリツケ</t>
    </rPh>
    <rPh sb="73" eb="74">
      <t>イヤ</t>
    </rPh>
    <rPh sb="76" eb="78">
      <t>センタク</t>
    </rPh>
    <rPh sb="80" eb="83">
      <t>センメンダイ</t>
    </rPh>
    <rPh sb="84" eb="85">
      <t>ヨ</t>
    </rPh>
    <rPh sb="88" eb="90">
      <t>ソコイタ</t>
    </rPh>
    <rPh sb="93" eb="98">
      <t>ヤジルシポリフッキュウ</t>
    </rPh>
    <rPh sb="99" eb="104">
      <t>センメンジョイリグチ</t>
    </rPh>
    <rPh sb="104" eb="106">
      <t>ヒキド</t>
    </rPh>
    <phoneticPr fontId="1"/>
  </si>
  <si>
    <t>李</t>
    <rPh sb="0" eb="1">
      <t>リ</t>
    </rPh>
    <phoneticPr fontId="1"/>
  </si>
  <si>
    <t>090-2460-6991</t>
    <phoneticPr fontId="1"/>
  </si>
  <si>
    <t>WHV1116UT・1475HG</t>
    <phoneticPr fontId="1"/>
  </si>
  <si>
    <t>ﾄｲﾚ止水栓ｽﾄﾚｰﾅｰ付　ひな段　浴室ｴﾌﾟﾛﾝ外したらスラブ直　</t>
    <rPh sb="3" eb="6">
      <t>シスイセン</t>
    </rPh>
    <rPh sb="12" eb="13">
      <t>ツキ</t>
    </rPh>
    <rPh sb="16" eb="17">
      <t>ダン</t>
    </rPh>
    <rPh sb="18" eb="20">
      <t>ヨクシツ</t>
    </rPh>
    <rPh sb="25" eb="26">
      <t>ハズ</t>
    </rPh>
    <rPh sb="32" eb="33">
      <t>チョク</t>
    </rPh>
    <phoneticPr fontId="1"/>
  </si>
  <si>
    <t>今鉾 文夫</t>
    <rPh sb="0" eb="2">
      <t>イマホコ</t>
    </rPh>
    <rPh sb="3" eb="5">
      <t>フミオ</t>
    </rPh>
    <phoneticPr fontId="1"/>
  </si>
  <si>
    <t>048-686-4616</t>
    <phoneticPr fontId="1"/>
  </si>
  <si>
    <t>JZV1117・154875</t>
    <phoneticPr fontId="1"/>
  </si>
  <si>
    <t>洗濯パン洗面台に寄せる　洗面所壁に点検口設置する　トイレ止水栓ｽﾄﾚｰﾅｰ付ひな段既存壁だし　CFの上にシート貼ってある工事後また上にかぶせる</t>
    <rPh sb="0" eb="2">
      <t>センタク</t>
    </rPh>
    <rPh sb="4" eb="7">
      <t>センメンダイ</t>
    </rPh>
    <rPh sb="8" eb="9">
      <t>ヨ</t>
    </rPh>
    <rPh sb="12" eb="16">
      <t>センメンジョカベ</t>
    </rPh>
    <rPh sb="17" eb="22">
      <t>テンケンコウセッチ</t>
    </rPh>
    <rPh sb="28" eb="31">
      <t>シスイセン</t>
    </rPh>
    <rPh sb="37" eb="38">
      <t>ツキ</t>
    </rPh>
    <rPh sb="40" eb="41">
      <t>ダン</t>
    </rPh>
    <rPh sb="41" eb="43">
      <t>キゾン</t>
    </rPh>
    <rPh sb="43" eb="44">
      <t>カベ</t>
    </rPh>
    <rPh sb="50" eb="51">
      <t>ウエ</t>
    </rPh>
    <rPh sb="55" eb="56">
      <t>ハ</t>
    </rPh>
    <rPh sb="60" eb="62">
      <t>コウジ</t>
    </rPh>
    <rPh sb="62" eb="63">
      <t>ゴ</t>
    </rPh>
    <rPh sb="65" eb="66">
      <t>ウエ</t>
    </rPh>
    <phoneticPr fontId="1"/>
  </si>
  <si>
    <t>田島 淳平</t>
    <rPh sb="0" eb="2">
      <t>タジマ</t>
    </rPh>
    <rPh sb="3" eb="5">
      <t>ジュンペイ</t>
    </rPh>
    <phoneticPr fontId="1"/>
  </si>
  <si>
    <t>048-686-2383</t>
    <phoneticPr fontId="1"/>
  </si>
  <si>
    <t>台所既存ﾄﾗｯﾌﾟ　洗面所壁点検口設置する　</t>
    <rPh sb="0" eb="2">
      <t>ダイドコロ</t>
    </rPh>
    <rPh sb="2" eb="4">
      <t>キゾン</t>
    </rPh>
    <rPh sb="10" eb="19">
      <t>センメンジョカベテンケンコウセッチ</t>
    </rPh>
    <phoneticPr fontId="1"/>
  </si>
  <si>
    <t xml:space="preserve">國井 俊宏 </t>
    <rPh sb="0" eb="2">
      <t>クニイ</t>
    </rPh>
    <rPh sb="3" eb="5">
      <t>トシヒロ</t>
    </rPh>
    <phoneticPr fontId="1"/>
  </si>
  <si>
    <t>048-685-7291</t>
    <phoneticPr fontId="1"/>
  </si>
  <si>
    <t>WZV1117・155514</t>
    <phoneticPr fontId="1"/>
  </si>
  <si>
    <t>樺沢 照夫</t>
    <rPh sb="0" eb="2">
      <t>カバサワ</t>
    </rPh>
    <rPh sb="3" eb="5">
      <t>テルオ</t>
    </rPh>
    <phoneticPr fontId="1"/>
  </si>
  <si>
    <t>048-686-4690</t>
    <phoneticPr fontId="1"/>
  </si>
  <si>
    <t>底板SUS→ポリ復旧　ﾄｲﾚ止水栓D式ｱﾝｸﾞﾙ　洗濯パン洗面台に寄せる　庭の蛇口使っていない草木すごい　もとから工事反対していた</t>
    <rPh sb="0" eb="2">
      <t>ソコイタ</t>
    </rPh>
    <rPh sb="5" eb="10">
      <t>ヤジルシポリフッキュウ</t>
    </rPh>
    <rPh sb="14" eb="17">
      <t>シスイセン</t>
    </rPh>
    <rPh sb="18" eb="19">
      <t>シキ</t>
    </rPh>
    <rPh sb="25" eb="27">
      <t>センタク</t>
    </rPh>
    <rPh sb="29" eb="32">
      <t>センメンダイ</t>
    </rPh>
    <rPh sb="33" eb="34">
      <t>ヨ</t>
    </rPh>
    <rPh sb="37" eb="38">
      <t>ニワ</t>
    </rPh>
    <rPh sb="39" eb="42">
      <t>ジャグチツカ</t>
    </rPh>
    <rPh sb="47" eb="49">
      <t>クサキ</t>
    </rPh>
    <rPh sb="57" eb="61">
      <t>コウジハンタイ</t>
    </rPh>
    <phoneticPr fontId="1"/>
  </si>
  <si>
    <t>山﨑 仁士</t>
    <rPh sb="0" eb="2">
      <t>ヤマサキ</t>
    </rPh>
    <rPh sb="3" eb="5">
      <t>ヒトシ</t>
    </rPh>
    <phoneticPr fontId="1"/>
  </si>
  <si>
    <t>048-686-4296
090-7706-7449</t>
    <phoneticPr fontId="1"/>
  </si>
  <si>
    <t>玄関吊り戸棚あり、モール配管通るところだけ吊り戸と扉を加工する　吊り戸内は配管むき出しでも可能→初日外してコア抜き後復旧、収納内側面コア抜き箇所穴開けてモール配管、扉片側FIXにする　洗濯パン洗面台に寄せる　UB交換検討　ひな段</t>
    <rPh sb="0" eb="3">
      <t>ゲンカンツ</t>
    </rPh>
    <rPh sb="4" eb="5">
      <t>ト</t>
    </rPh>
    <rPh sb="5" eb="6">
      <t>タナ</t>
    </rPh>
    <rPh sb="12" eb="14">
      <t>ハイカン</t>
    </rPh>
    <rPh sb="14" eb="15">
      <t>トオ</t>
    </rPh>
    <rPh sb="21" eb="22">
      <t>ツ</t>
    </rPh>
    <rPh sb="23" eb="24">
      <t>ト</t>
    </rPh>
    <rPh sb="25" eb="26">
      <t>トビラ</t>
    </rPh>
    <rPh sb="27" eb="29">
      <t>カコウ</t>
    </rPh>
    <rPh sb="32" eb="33">
      <t>ツ</t>
    </rPh>
    <rPh sb="34" eb="35">
      <t>ト</t>
    </rPh>
    <rPh sb="35" eb="36">
      <t>ナイ</t>
    </rPh>
    <rPh sb="37" eb="39">
      <t>ハイカン</t>
    </rPh>
    <rPh sb="41" eb="42">
      <t>ダ</t>
    </rPh>
    <rPh sb="45" eb="46">
      <t>カ</t>
    </rPh>
    <rPh sb="46" eb="47">
      <t>ノウ</t>
    </rPh>
    <rPh sb="48" eb="51">
      <t>ショニチハズ</t>
    </rPh>
    <rPh sb="55" eb="56">
      <t>ヌ</t>
    </rPh>
    <rPh sb="57" eb="58">
      <t>ゴ</t>
    </rPh>
    <rPh sb="58" eb="60">
      <t>フッキュウ</t>
    </rPh>
    <rPh sb="61" eb="64">
      <t>シュウノウナイ</t>
    </rPh>
    <rPh sb="64" eb="66">
      <t>ソクメン</t>
    </rPh>
    <rPh sb="68" eb="69">
      <t>ヌ</t>
    </rPh>
    <rPh sb="70" eb="72">
      <t>カショ</t>
    </rPh>
    <rPh sb="72" eb="74">
      <t>アナア</t>
    </rPh>
    <rPh sb="79" eb="81">
      <t>ハイカン</t>
    </rPh>
    <phoneticPr fontId="1"/>
  </si>
  <si>
    <t>武田 史弥</t>
    <rPh sb="0" eb="2">
      <t>タケダ</t>
    </rPh>
    <rPh sb="3" eb="5">
      <t>フミヤ</t>
    </rPh>
    <phoneticPr fontId="1"/>
  </si>
  <si>
    <t>070-1309-8333</t>
    <phoneticPr fontId="1"/>
  </si>
  <si>
    <t>浴室デッキタイプ　台所既存ﾄﾗｯﾌﾟ　ﾄｲﾚ止水栓ｽﾄﾚｰﾅｰ付　洗濯パン洗面台に寄せる　洗面所壁に点検口設置する　ﾄｲﾚ棚の中までクロス貼ってある</t>
    <rPh sb="0" eb="2">
      <t>ヨクシツ</t>
    </rPh>
    <rPh sb="9" eb="13">
      <t>ダイドコロキゾン</t>
    </rPh>
    <rPh sb="22" eb="25">
      <t>シスイセン</t>
    </rPh>
    <rPh sb="31" eb="32">
      <t>ツキ</t>
    </rPh>
    <rPh sb="33" eb="35">
      <t>センタク</t>
    </rPh>
    <rPh sb="37" eb="40">
      <t>センメンダイ</t>
    </rPh>
    <rPh sb="41" eb="42">
      <t>ヨ</t>
    </rPh>
    <rPh sb="45" eb="48">
      <t>センメンジョ</t>
    </rPh>
    <rPh sb="48" eb="49">
      <t>カベ</t>
    </rPh>
    <rPh sb="50" eb="55">
      <t>テンケンコウセッチ</t>
    </rPh>
    <rPh sb="61" eb="62">
      <t>タナ</t>
    </rPh>
    <rPh sb="63" eb="64">
      <t>ナカ</t>
    </rPh>
    <rPh sb="69" eb="70">
      <t>ハ</t>
    </rPh>
    <phoneticPr fontId="1"/>
  </si>
  <si>
    <t>和久井 伸彦</t>
    <rPh sb="0" eb="3">
      <t>ワクイ</t>
    </rPh>
    <rPh sb="4" eb="6">
      <t>ノブヒコ</t>
    </rPh>
    <phoneticPr fontId="1"/>
  </si>
  <si>
    <t>048-688-5298
080-9808-4162</t>
    <phoneticPr fontId="1"/>
  </si>
  <si>
    <t>TOTO</t>
    <phoneticPr fontId="1"/>
  </si>
  <si>
    <t>WZV1117・140720</t>
    <phoneticPr fontId="1"/>
  </si>
  <si>
    <t>WGV1216JD・1934H3</t>
    <phoneticPr fontId="1"/>
  </si>
  <si>
    <t>齋藤 美智子</t>
    <rPh sb="0" eb="2">
      <t>サイトウ</t>
    </rPh>
    <rPh sb="3" eb="6">
      <t>ミチコ</t>
    </rPh>
    <phoneticPr fontId="1"/>
  </si>
  <si>
    <t>048-685-9639
080-7675-7644</t>
    <phoneticPr fontId="1"/>
  </si>
  <si>
    <t>WBV1117JT・16034X</t>
    <phoneticPr fontId="1"/>
  </si>
  <si>
    <t>トイレ床嵩上げ　給湯管更新済み　洗濯パン洗面台に寄せる　ひな段既存壁だし　洗面所壁点検口設置あり</t>
    <rPh sb="3" eb="6">
      <t>ユカカサア</t>
    </rPh>
    <rPh sb="8" eb="14">
      <t>キュウトウカンコウシンズ</t>
    </rPh>
    <rPh sb="16" eb="18">
      <t>センタク</t>
    </rPh>
    <rPh sb="20" eb="23">
      <t>センメンダイ</t>
    </rPh>
    <rPh sb="24" eb="25">
      <t>ヨ</t>
    </rPh>
    <rPh sb="30" eb="34">
      <t>ダンキゾンカベ</t>
    </rPh>
    <rPh sb="37" eb="40">
      <t>センメンジョ</t>
    </rPh>
    <rPh sb="40" eb="41">
      <t>カベ</t>
    </rPh>
    <rPh sb="41" eb="46">
      <t>テンケンコウセッチ</t>
    </rPh>
    <phoneticPr fontId="1"/>
  </si>
  <si>
    <t>北山 健治</t>
    <rPh sb="0" eb="2">
      <t>キタヤマ</t>
    </rPh>
    <rPh sb="3" eb="5">
      <t>ケンジ</t>
    </rPh>
    <phoneticPr fontId="1"/>
  </si>
  <si>
    <t>048-685-0643</t>
    <phoneticPr fontId="1"/>
  </si>
  <si>
    <t>WBV1216JT・1703L8</t>
    <phoneticPr fontId="1"/>
  </si>
  <si>
    <t>山根 伸一</t>
    <rPh sb="0" eb="2">
      <t>ヤマネ</t>
    </rPh>
    <rPh sb="3" eb="5">
      <t>シンイチ</t>
    </rPh>
    <phoneticPr fontId="1"/>
  </si>
  <si>
    <t>090-9304-8897</t>
    <phoneticPr fontId="1"/>
  </si>
  <si>
    <t>WRV1117・1624N3</t>
    <phoneticPr fontId="1"/>
  </si>
  <si>
    <t>鏡裏開口　給湯器と台所一部だけ更新している通常工事　</t>
    <rPh sb="0" eb="1">
      <t>カガミ</t>
    </rPh>
    <rPh sb="1" eb="2">
      <t>ウラ</t>
    </rPh>
    <rPh sb="2" eb="4">
      <t>カイコウ</t>
    </rPh>
    <rPh sb="5" eb="8">
      <t>キュウトウキ</t>
    </rPh>
    <rPh sb="9" eb="11">
      <t>ダイドコロ</t>
    </rPh>
    <rPh sb="11" eb="13">
      <t>イチブ</t>
    </rPh>
    <rPh sb="15" eb="17">
      <t>コウシン</t>
    </rPh>
    <rPh sb="21" eb="23">
      <t>ツウジョウ</t>
    </rPh>
    <rPh sb="23" eb="25">
      <t>コウジ</t>
    </rPh>
    <phoneticPr fontId="1"/>
  </si>
  <si>
    <t>W80960782・269664B
BXW-1116LBM</t>
    <phoneticPr fontId="1"/>
  </si>
  <si>
    <t>給湯器</t>
    <rPh sb="0" eb="3">
      <t>キュウトウキ</t>
    </rPh>
    <phoneticPr fontId="1"/>
  </si>
  <si>
    <t>ベランダ</t>
    <phoneticPr fontId="1"/>
  </si>
  <si>
    <t>洗面所</t>
    <rPh sb="0" eb="3">
      <t>センメンジョ</t>
    </rPh>
    <phoneticPr fontId="1"/>
  </si>
  <si>
    <t>宮下 幸恵</t>
    <rPh sb="0" eb="2">
      <t>ミヤシタ</t>
    </rPh>
    <rPh sb="3" eb="5">
      <t>サチエ</t>
    </rPh>
    <phoneticPr fontId="1"/>
  </si>
  <si>
    <t>048-664-9365
090-3907-8208</t>
    <phoneticPr fontId="1"/>
  </si>
  <si>
    <t>鈴木 宗則</t>
    <rPh sb="0" eb="2">
      <t>スズキ</t>
    </rPh>
    <rPh sb="3" eb="5">
      <t>ムネノリ</t>
    </rPh>
    <phoneticPr fontId="1"/>
  </si>
  <si>
    <t>様</t>
    <rPh sb="0" eb="1">
      <t>サマ</t>
    </rPh>
    <phoneticPr fontId="1"/>
  </si>
  <si>
    <t>090-2498-3027</t>
    <phoneticPr fontId="1"/>
  </si>
  <si>
    <t>給湯管、追い焚き管更新済み　底板SUS→ポリ復旧　ﾄｲﾚ仮復旧無し　入居者決まらなかったら工事期間中(日中)在宅できるように調整してくれる　洗面所、ｴﾌﾟﾛﾝ内点検口あり　お知らせは郵送する</t>
    <rPh sb="0" eb="3">
      <t>キュウトウカン</t>
    </rPh>
    <rPh sb="4" eb="5">
      <t>オ</t>
    </rPh>
    <rPh sb="6" eb="7">
      <t>ダ</t>
    </rPh>
    <rPh sb="8" eb="12">
      <t>カンコウシンズ</t>
    </rPh>
    <rPh sb="14" eb="16">
      <t>ソコイタ</t>
    </rPh>
    <rPh sb="19" eb="24">
      <t>ヤジルシポリフッキュウ</t>
    </rPh>
    <rPh sb="28" eb="29">
      <t>カリ</t>
    </rPh>
    <rPh sb="29" eb="32">
      <t>フッキュウナ</t>
    </rPh>
    <rPh sb="34" eb="38">
      <t>ニュウキョシャキ</t>
    </rPh>
    <rPh sb="45" eb="50">
      <t>コウジキカンチュウ</t>
    </rPh>
    <rPh sb="51" eb="53">
      <t>ニッチュウ</t>
    </rPh>
    <rPh sb="54" eb="56">
      <t>ザイタク</t>
    </rPh>
    <rPh sb="62" eb="64">
      <t>チョウセイ</t>
    </rPh>
    <rPh sb="70" eb="73">
      <t>センメンジョ</t>
    </rPh>
    <rPh sb="79" eb="80">
      <t>ナイ</t>
    </rPh>
    <rPh sb="80" eb="83">
      <t>テンケンコウ</t>
    </rPh>
    <rPh sb="87" eb="88">
      <t>シ</t>
    </rPh>
    <rPh sb="91" eb="93">
      <t>ユウソウ</t>
    </rPh>
    <phoneticPr fontId="1"/>
  </si>
  <si>
    <t>WBV1117JN・184TE2</t>
    <phoneticPr fontId="1"/>
  </si>
  <si>
    <t>給湯管、追い焚き管更新済み　ひな段既存壁だし　売却中電気通ってない　入居者決まったら連絡もらう　洗面所、ｴﾌﾟﾛﾝ内点検口あり</t>
    <rPh sb="0" eb="3">
      <t>キュウトウカン</t>
    </rPh>
    <rPh sb="4" eb="5">
      <t>オ</t>
    </rPh>
    <rPh sb="6" eb="7">
      <t>ダ</t>
    </rPh>
    <rPh sb="8" eb="12">
      <t>カンコウシンズ</t>
    </rPh>
    <rPh sb="16" eb="20">
      <t>ダンキゾンカベ</t>
    </rPh>
    <rPh sb="23" eb="26">
      <t>バイキャクチュウ</t>
    </rPh>
    <rPh sb="26" eb="29">
      <t>デンキトオ</t>
    </rPh>
    <rPh sb="34" eb="38">
      <t>ニュウキョシャキ</t>
    </rPh>
    <rPh sb="42" eb="44">
      <t>レンラク</t>
    </rPh>
    <rPh sb="48" eb="50">
      <t>センメン</t>
    </rPh>
    <rPh sb="50" eb="51">
      <t>ジョ</t>
    </rPh>
    <rPh sb="57" eb="60">
      <t>テンケンコウ</t>
    </rPh>
    <rPh sb="60" eb="62">
      <t>アリ</t>
    </rPh>
    <phoneticPr fontId="1"/>
  </si>
  <si>
    <t>染谷 和良</t>
    <rPh sb="0" eb="2">
      <t>ソメヤ</t>
    </rPh>
    <rPh sb="3" eb="5">
      <t>カズヨシ</t>
    </rPh>
    <phoneticPr fontId="1"/>
  </si>
  <si>
    <t>048-684-4071
080-1054-2455</t>
    <phoneticPr fontId="1"/>
  </si>
  <si>
    <t>佐藤 まり子</t>
    <rPh sb="0" eb="2">
      <t>サトウ</t>
    </rPh>
    <rPh sb="5" eb="6">
      <t>コ</t>
    </rPh>
    <phoneticPr fontId="1"/>
  </si>
  <si>
    <t>048-685-9351</t>
    <phoneticPr fontId="1"/>
  </si>
  <si>
    <t>WRV1117・156KVE</t>
    <phoneticPr fontId="1"/>
  </si>
  <si>
    <t>寺山 博行</t>
    <rPh sb="0" eb="2">
      <t>テラヤマ</t>
    </rPh>
    <rPh sb="3" eb="5">
      <t>ヒロユキ</t>
    </rPh>
    <phoneticPr fontId="1"/>
  </si>
  <si>
    <t>048-685-9383</t>
    <phoneticPr fontId="1"/>
  </si>
  <si>
    <t>WBV1117JT・19843K</t>
    <phoneticPr fontId="1"/>
  </si>
  <si>
    <t>ひな段既存壁だし　鏡裏開口　給湯器下の木製カバーに配管分の穴開けてモール立ち上げる　便器交換検討　</t>
    <rPh sb="2" eb="3">
      <t>ダン</t>
    </rPh>
    <rPh sb="3" eb="6">
      <t>キゾンカベ</t>
    </rPh>
    <rPh sb="9" eb="13">
      <t>カガミウラカイコウ</t>
    </rPh>
    <rPh sb="14" eb="18">
      <t>キュウトウキシタ</t>
    </rPh>
    <rPh sb="19" eb="21">
      <t>モクセイ</t>
    </rPh>
    <rPh sb="25" eb="28">
      <t>ハイカンブン</t>
    </rPh>
    <rPh sb="29" eb="31">
      <t>アナア</t>
    </rPh>
    <rPh sb="36" eb="37">
      <t>タ</t>
    </rPh>
    <rPh sb="38" eb="39">
      <t>ア</t>
    </rPh>
    <rPh sb="42" eb="44">
      <t>ベンキ</t>
    </rPh>
    <rPh sb="44" eb="48">
      <t>コウカンケントウ</t>
    </rPh>
    <phoneticPr fontId="1"/>
  </si>
  <si>
    <t>渡邊 一正</t>
    <rPh sb="0" eb="2">
      <t>ワタナベ</t>
    </rPh>
    <rPh sb="3" eb="5">
      <t>カズマサ</t>
    </rPh>
    <phoneticPr fontId="1"/>
  </si>
  <si>
    <t>080-6058-3838</t>
    <phoneticPr fontId="1"/>
  </si>
  <si>
    <t>JZV1117・139073</t>
    <phoneticPr fontId="1"/>
  </si>
  <si>
    <t>玄関ｸﾛｰｾﾞｯﾄ脱着　外せるか再調査する　洗面トイレ床フロアタイル、CFでOK　玄関物入FL、ベニヤでOK　ひな段既存壁だし　普段仕事で平日いない再調査の日程はやめに連絡する</t>
    <rPh sb="0" eb="2">
      <t>ゲンカン</t>
    </rPh>
    <rPh sb="9" eb="11">
      <t>ダッチャク</t>
    </rPh>
    <rPh sb="12" eb="13">
      <t>ハズ</t>
    </rPh>
    <rPh sb="16" eb="19">
      <t>サイチョウサ</t>
    </rPh>
    <rPh sb="22" eb="24">
      <t>センメン</t>
    </rPh>
    <rPh sb="27" eb="28">
      <t>ユカ</t>
    </rPh>
    <rPh sb="41" eb="45">
      <t>ゲンカンモノイレ</t>
    </rPh>
    <rPh sb="57" eb="61">
      <t>ダンキゾンカベ</t>
    </rPh>
    <rPh sb="64" eb="66">
      <t>フダン</t>
    </rPh>
    <rPh sb="66" eb="68">
      <t>シゴト</t>
    </rPh>
    <rPh sb="69" eb="71">
      <t>ヘイジツ</t>
    </rPh>
    <rPh sb="74" eb="77">
      <t>サイチョウサ</t>
    </rPh>
    <rPh sb="78" eb="80">
      <t>ニッテイ</t>
    </rPh>
    <rPh sb="84" eb="86">
      <t>レンラク</t>
    </rPh>
    <phoneticPr fontId="1"/>
  </si>
  <si>
    <t>成島 裕美子</t>
    <rPh sb="0" eb="2">
      <t>ナリシマ</t>
    </rPh>
    <rPh sb="3" eb="6">
      <t>ユミコ</t>
    </rPh>
    <phoneticPr fontId="1"/>
  </si>
  <si>
    <t>070-3355-1225</t>
    <phoneticPr fontId="1"/>
  </si>
  <si>
    <t>WZV1117・150803</t>
    <phoneticPr fontId="1"/>
  </si>
  <si>
    <t>洗面トイレ床フロアタイル、CFでOK　玄関物入内棚板、ベニヤでOK　台所シンク下ガス管露出要注意、背板点検口あり拡張する場合は化粧ベニヤ復旧</t>
    <rPh sb="0" eb="2">
      <t>センメン</t>
    </rPh>
    <rPh sb="5" eb="6">
      <t>ユカ</t>
    </rPh>
    <rPh sb="19" eb="21">
      <t>ゲンカン</t>
    </rPh>
    <rPh sb="21" eb="23">
      <t>モノイレ</t>
    </rPh>
    <rPh sb="23" eb="24">
      <t>ナイ</t>
    </rPh>
    <rPh sb="24" eb="25">
      <t>タナ</t>
    </rPh>
    <rPh sb="25" eb="26">
      <t>イタ</t>
    </rPh>
    <rPh sb="34" eb="36">
      <t>ダイドコロ</t>
    </rPh>
    <rPh sb="39" eb="40">
      <t>シタ</t>
    </rPh>
    <rPh sb="42" eb="43">
      <t>カン</t>
    </rPh>
    <rPh sb="43" eb="45">
      <t>ロシュツ</t>
    </rPh>
    <rPh sb="45" eb="48">
      <t>ヨウチュウイ</t>
    </rPh>
    <rPh sb="49" eb="51">
      <t>セイタ</t>
    </rPh>
    <rPh sb="51" eb="54">
      <t>テンケンコウ</t>
    </rPh>
    <rPh sb="56" eb="58">
      <t>カクチョウ</t>
    </rPh>
    <rPh sb="60" eb="62">
      <t>バアイ</t>
    </rPh>
    <rPh sb="63" eb="65">
      <t>ケショウ</t>
    </rPh>
    <rPh sb="68" eb="70">
      <t>フッキュウ</t>
    </rPh>
    <phoneticPr fontId="1"/>
  </si>
  <si>
    <t>浴室給水給湯更新済み→エプロン内部材接続</t>
    <rPh sb="0" eb="2">
      <t>ヨクシツ</t>
    </rPh>
    <rPh sb="2" eb="6">
      <t>キュウスイキュウトウ</t>
    </rPh>
    <rPh sb="6" eb="9">
      <t>コウシンズ</t>
    </rPh>
    <rPh sb="15" eb="16">
      <t>ナイ</t>
    </rPh>
    <rPh sb="16" eb="18">
      <t>ブザイ</t>
    </rPh>
    <rPh sb="18" eb="20">
      <t>セツゾク</t>
    </rPh>
    <phoneticPr fontId="1"/>
  </si>
  <si>
    <t>ｴﾌﾟﾛﾝ内点検口設置　ｷｯﾁﾝ底板SUS→ポリ復旧</t>
    <rPh sb="5" eb="6">
      <t>ナイ</t>
    </rPh>
    <rPh sb="6" eb="9">
      <t>テンケンコウ</t>
    </rPh>
    <rPh sb="9" eb="11">
      <t>セッチ</t>
    </rPh>
    <rPh sb="16" eb="18">
      <t>ソコイタ</t>
    </rPh>
    <rPh sb="24" eb="26">
      <t>フッキュウ</t>
    </rPh>
    <phoneticPr fontId="1"/>
  </si>
  <si>
    <t>通常工事　エプロン内壁点検口</t>
    <rPh sb="0" eb="4">
      <t>ツウジョウコウジ</t>
    </rPh>
    <rPh sb="9" eb="10">
      <t>ナイ</t>
    </rPh>
    <rPh sb="10" eb="11">
      <t>カベ</t>
    </rPh>
    <rPh sb="11" eb="14">
      <t>テンケンコウ</t>
    </rPh>
    <phoneticPr fontId="1"/>
  </si>
  <si>
    <t>エプロン内壁点検口</t>
    <rPh sb="4" eb="9">
      <t>ナイカベテンケンコウ</t>
    </rPh>
    <phoneticPr fontId="1"/>
  </si>
  <si>
    <t>イレギュラー</t>
    <phoneticPr fontId="1"/>
  </si>
  <si>
    <t>イレギュラー</t>
    <phoneticPr fontId="1"/>
  </si>
  <si>
    <t>再調査</t>
    <rPh sb="0" eb="3">
      <t>サイチョウサ</t>
    </rPh>
    <phoneticPr fontId="1"/>
  </si>
  <si>
    <t>野呂 圭司</t>
    <rPh sb="0" eb="2">
      <t>ノロ</t>
    </rPh>
    <rPh sb="3" eb="5">
      <t>ケイジ</t>
    </rPh>
    <phoneticPr fontId="1"/>
  </si>
  <si>
    <t>048-797-6525</t>
    <phoneticPr fontId="1"/>
  </si>
  <si>
    <t>WBV1216YD・171BUW</t>
    <phoneticPr fontId="1"/>
  </si>
  <si>
    <t>コルクタイル</t>
    <phoneticPr fontId="1"/>
  </si>
  <si>
    <t>フロアタイル</t>
    <phoneticPr fontId="1"/>
  </si>
  <si>
    <t>フルリフォーム資料無し　後日再調査　玄関吊戸棚あり脱着予定　洗面所床コルクタイル、CFでよさそう　トイレフロアタイル現状復旧希望、床嵩上げ床給水、壁漆喰はクロスでよさそう　玄関物入内FL　ｷｯﾁﾝ位置変わっている　</t>
    <rPh sb="7" eb="10">
      <t>シリョウナ</t>
    </rPh>
    <rPh sb="12" eb="14">
      <t>ゴジツ</t>
    </rPh>
    <rPh sb="14" eb="17">
      <t>サイチョウサ</t>
    </rPh>
    <rPh sb="18" eb="20">
      <t>ゲンカン</t>
    </rPh>
    <rPh sb="20" eb="23">
      <t>ツリトダナ</t>
    </rPh>
    <rPh sb="25" eb="27">
      <t>ダッチャク</t>
    </rPh>
    <rPh sb="27" eb="29">
      <t>ヨテイ</t>
    </rPh>
    <rPh sb="30" eb="33">
      <t>センメンジョ</t>
    </rPh>
    <rPh sb="33" eb="34">
      <t>ユカ</t>
    </rPh>
    <rPh sb="58" eb="62">
      <t>ゲンジョウフッキュウ</t>
    </rPh>
    <rPh sb="62" eb="64">
      <t>キボウ</t>
    </rPh>
    <rPh sb="65" eb="68">
      <t>ユカカサア</t>
    </rPh>
    <rPh sb="69" eb="72">
      <t>ユカキュウスイ</t>
    </rPh>
    <rPh sb="73" eb="74">
      <t>カベ</t>
    </rPh>
    <rPh sb="74" eb="76">
      <t>シックイ</t>
    </rPh>
    <phoneticPr fontId="1"/>
  </si>
  <si>
    <t>木村 典久</t>
    <rPh sb="0" eb="2">
      <t>キムラ</t>
    </rPh>
    <rPh sb="3" eb="5">
      <t>ノリヒサ</t>
    </rPh>
    <phoneticPr fontId="1"/>
  </si>
  <si>
    <t>090-4385-2268</t>
    <phoneticPr fontId="1"/>
  </si>
  <si>
    <t>洗面所壁点検口設置する　浴室デッキタイプ　底板SUS復旧方法検討中　トイレお客さんが作った造作棚がある　トイレ巾木の上に枠ついてる両面テープで貼ってあるだけ　</t>
    <rPh sb="0" eb="3">
      <t>センメンジョ</t>
    </rPh>
    <rPh sb="3" eb="4">
      <t>カベ</t>
    </rPh>
    <rPh sb="4" eb="9">
      <t>テンケンコウセッチ</t>
    </rPh>
    <rPh sb="12" eb="14">
      <t>ヨクシツ</t>
    </rPh>
    <rPh sb="21" eb="23">
      <t>ソコイタ</t>
    </rPh>
    <rPh sb="26" eb="33">
      <t>フッキュウホウホウケントウチュウ</t>
    </rPh>
    <rPh sb="38" eb="39">
      <t>キャク</t>
    </rPh>
    <rPh sb="42" eb="43">
      <t>ツク</t>
    </rPh>
    <rPh sb="45" eb="47">
      <t>ゾウサク</t>
    </rPh>
    <rPh sb="47" eb="48">
      <t>タナ</t>
    </rPh>
    <rPh sb="55" eb="57">
      <t>ハバキ</t>
    </rPh>
    <rPh sb="58" eb="59">
      <t>ウエ</t>
    </rPh>
    <rPh sb="60" eb="61">
      <t>ワク</t>
    </rPh>
    <rPh sb="65" eb="67">
      <t>リョウメン</t>
    </rPh>
    <rPh sb="71" eb="72">
      <t>ハ</t>
    </rPh>
    <phoneticPr fontId="1"/>
  </si>
  <si>
    <t>李 勝信</t>
    <rPh sb="0" eb="1">
      <t>リ</t>
    </rPh>
    <rPh sb="2" eb="4">
      <t>カツノブ</t>
    </rPh>
    <phoneticPr fontId="1"/>
  </si>
  <si>
    <t>080-3414-8192</t>
    <phoneticPr fontId="1"/>
  </si>
  <si>
    <t>給湯管、追い焚き管更新済み　トイレ止水栓ｽﾄﾚｰﾅｰ付　洗濯パン洗面台に寄せる　キッチン真ん中の引き出し背板開口かも　ひな段既存壁だし　ｴﾌﾟﾛﾝ内点検口再使用　洗面所壁点検口あり　</t>
    <rPh sb="0" eb="3">
      <t>キュウトウカン</t>
    </rPh>
    <rPh sb="4" eb="5">
      <t>オ</t>
    </rPh>
    <rPh sb="6" eb="7">
      <t>ダ</t>
    </rPh>
    <rPh sb="8" eb="9">
      <t>カン</t>
    </rPh>
    <rPh sb="9" eb="12">
      <t>コウシンズ</t>
    </rPh>
    <rPh sb="17" eb="20">
      <t>シスイセン</t>
    </rPh>
    <rPh sb="26" eb="27">
      <t>ツキ</t>
    </rPh>
    <rPh sb="28" eb="30">
      <t>センタク</t>
    </rPh>
    <rPh sb="32" eb="35">
      <t>センメンダイ</t>
    </rPh>
    <rPh sb="36" eb="37">
      <t>ヨ</t>
    </rPh>
    <rPh sb="44" eb="45">
      <t>マ</t>
    </rPh>
    <rPh sb="46" eb="47">
      <t>ナカ</t>
    </rPh>
    <rPh sb="48" eb="49">
      <t>ヒ</t>
    </rPh>
    <rPh sb="50" eb="51">
      <t>ダ</t>
    </rPh>
    <rPh sb="52" eb="56">
      <t>セイタカイコウ</t>
    </rPh>
    <rPh sb="61" eb="65">
      <t>ダンキゾンカベ</t>
    </rPh>
    <rPh sb="73" eb="74">
      <t>ナイ</t>
    </rPh>
    <rPh sb="74" eb="77">
      <t>テンケンコウ</t>
    </rPh>
    <rPh sb="77" eb="80">
      <t>サイシヨウ</t>
    </rPh>
    <rPh sb="82" eb="83">
      <t>ジョ</t>
    </rPh>
    <rPh sb="83" eb="84">
      <t>カベ</t>
    </rPh>
    <rPh sb="84" eb="87">
      <t>テンケンコウ</t>
    </rPh>
    <rPh sb="87" eb="89">
      <t>アリ</t>
    </rPh>
    <phoneticPr fontId="1"/>
  </si>
  <si>
    <t>冉 世玲</t>
    <rPh sb="2" eb="3">
      <t>ヨ</t>
    </rPh>
    <rPh sb="3" eb="4">
      <t>レイ</t>
    </rPh>
    <phoneticPr fontId="1"/>
  </si>
  <si>
    <t>080-4206-3668</t>
    <phoneticPr fontId="1"/>
  </si>
  <si>
    <t>ハウステック</t>
    <phoneticPr fontId="1"/>
  </si>
  <si>
    <t>浴室デッキタイプ　洗面所壁に点検口設置する　ひな段給水給湯背板裏隠ぺい　中国系の人日本語は通じる</t>
    <rPh sb="0" eb="2">
      <t>ヨクシツ</t>
    </rPh>
    <rPh sb="9" eb="13">
      <t>センメンジョカベ</t>
    </rPh>
    <rPh sb="14" eb="19">
      <t>テンケンコウセッチ</t>
    </rPh>
    <rPh sb="24" eb="25">
      <t>ダン</t>
    </rPh>
    <rPh sb="25" eb="29">
      <t>キュウスイキュウトウ</t>
    </rPh>
    <rPh sb="29" eb="33">
      <t>セイタウライン</t>
    </rPh>
    <rPh sb="36" eb="39">
      <t>チュウゴクケイ</t>
    </rPh>
    <rPh sb="40" eb="41">
      <t>ヒト</t>
    </rPh>
    <rPh sb="41" eb="44">
      <t>ニホンゴ</t>
    </rPh>
    <rPh sb="45" eb="46">
      <t>ツウ</t>
    </rPh>
    <phoneticPr fontId="1"/>
  </si>
  <si>
    <t>笹山 進</t>
    <rPh sb="0" eb="2">
      <t>ササヤマ</t>
    </rPh>
    <rPh sb="3" eb="4">
      <t>ススム</t>
    </rPh>
    <phoneticPr fontId="1"/>
  </si>
  <si>
    <t>048-685-6063</t>
    <phoneticPr fontId="1"/>
  </si>
  <si>
    <t>WRV1117・155HY5</t>
    <phoneticPr fontId="1"/>
  </si>
  <si>
    <t>様</t>
    <rPh sb="0" eb="1">
      <t>サマ</t>
    </rPh>
    <phoneticPr fontId="1"/>
  </si>
  <si>
    <t>伊藤 和代</t>
    <rPh sb="0" eb="2">
      <t>イトウ</t>
    </rPh>
    <rPh sb="3" eb="5">
      <t>カズヨ</t>
    </rPh>
    <phoneticPr fontId="1"/>
  </si>
  <si>
    <t>048-685-5599
090-6025-3451</t>
    <phoneticPr fontId="1"/>
  </si>
  <si>
    <t>WBV1117JN・1422KG</t>
    <phoneticPr fontId="1"/>
  </si>
  <si>
    <t>浴室配管は床下から繋げられないようなら壁開口して鏡取付、費用かかること説明済み　追い焚き管更新済み　洗濯配管隙間なし下の方だけ露出になること説明済み　玄関物入内造作棚あり</t>
    <rPh sb="0" eb="2">
      <t>ヨクシツ</t>
    </rPh>
    <rPh sb="2" eb="4">
      <t>ハイカン</t>
    </rPh>
    <rPh sb="5" eb="7">
      <t>ユカシタ</t>
    </rPh>
    <rPh sb="9" eb="10">
      <t>ツナ</t>
    </rPh>
    <rPh sb="19" eb="22">
      <t>カベカイコウ</t>
    </rPh>
    <rPh sb="24" eb="27">
      <t>カガミトリツケ</t>
    </rPh>
    <rPh sb="28" eb="30">
      <t>ヒヨウ</t>
    </rPh>
    <rPh sb="35" eb="38">
      <t>セツメイズ</t>
    </rPh>
    <rPh sb="40" eb="41">
      <t>オ</t>
    </rPh>
    <rPh sb="42" eb="43">
      <t>ダ</t>
    </rPh>
    <rPh sb="44" eb="48">
      <t>カンコウシンズ</t>
    </rPh>
    <rPh sb="50" eb="52">
      <t>センタク</t>
    </rPh>
    <rPh sb="52" eb="54">
      <t>ハイカン</t>
    </rPh>
    <rPh sb="54" eb="56">
      <t>スキマ</t>
    </rPh>
    <rPh sb="58" eb="59">
      <t>シタ</t>
    </rPh>
    <rPh sb="60" eb="61">
      <t>ホウ</t>
    </rPh>
    <rPh sb="63" eb="65">
      <t>ロシュツ</t>
    </rPh>
    <rPh sb="70" eb="73">
      <t>セツメイズ</t>
    </rPh>
    <rPh sb="75" eb="77">
      <t>ゲンカン</t>
    </rPh>
    <rPh sb="77" eb="79">
      <t>モノイレ</t>
    </rPh>
    <rPh sb="79" eb="80">
      <t>ナイ</t>
    </rPh>
    <rPh sb="80" eb="82">
      <t>ゾウサク</t>
    </rPh>
    <rPh sb="82" eb="83">
      <t>タナ</t>
    </rPh>
    <phoneticPr fontId="1"/>
  </si>
  <si>
    <t>笹子 邦男</t>
    <rPh sb="0" eb="2">
      <t>ササゴ</t>
    </rPh>
    <rPh sb="3" eb="5">
      <t>クニオ</t>
    </rPh>
    <phoneticPr fontId="1"/>
  </si>
  <si>
    <t>048-685-6055</t>
    <phoneticPr fontId="1"/>
  </si>
  <si>
    <t>740+260ｷｬﾋﾞ</t>
    <phoneticPr fontId="1"/>
  </si>
  <si>
    <t>洗濯配管隙間なし、洗濯パン交換検討しているらしい交換しないようであれば露出することを説明済　給湯管、追い焚き管更新済み　父親亡くなったら売却予定　洗面所壁点検口あり　浴室デッキタイプ　</t>
    <rPh sb="0" eb="4">
      <t>センタクハイカン</t>
    </rPh>
    <rPh sb="4" eb="6">
      <t>スキマ</t>
    </rPh>
    <rPh sb="9" eb="11">
      <t>センタク</t>
    </rPh>
    <rPh sb="13" eb="15">
      <t>コウカン</t>
    </rPh>
    <rPh sb="15" eb="17">
      <t>ケントウ</t>
    </rPh>
    <rPh sb="24" eb="26">
      <t>コウカン</t>
    </rPh>
    <rPh sb="35" eb="37">
      <t>ロシュツ</t>
    </rPh>
    <rPh sb="42" eb="44">
      <t>セツメイ</t>
    </rPh>
    <rPh sb="44" eb="45">
      <t>ズミ</t>
    </rPh>
    <rPh sb="46" eb="49">
      <t>キュウトウカン</t>
    </rPh>
    <rPh sb="50" eb="51">
      <t>オ</t>
    </rPh>
    <rPh sb="52" eb="53">
      <t>ダ</t>
    </rPh>
    <rPh sb="54" eb="58">
      <t>カンコウシンズ</t>
    </rPh>
    <rPh sb="60" eb="62">
      <t>チチオヤ</t>
    </rPh>
    <rPh sb="62" eb="63">
      <t>ナ</t>
    </rPh>
    <rPh sb="68" eb="72">
      <t>バイキャクヨテイ</t>
    </rPh>
    <rPh sb="73" eb="77">
      <t>センメンジョカベ</t>
    </rPh>
    <rPh sb="77" eb="80">
      <t>テンケンコウ</t>
    </rPh>
    <rPh sb="83" eb="85">
      <t>ヨクシツ</t>
    </rPh>
    <phoneticPr fontId="1"/>
  </si>
  <si>
    <t>阿部 和子</t>
    <rPh sb="0" eb="2">
      <t>アベ</t>
    </rPh>
    <rPh sb="3" eb="5">
      <t>カズコ</t>
    </rPh>
    <phoneticPr fontId="1"/>
  </si>
  <si>
    <t>048-685-9388
090-6538-6204</t>
    <phoneticPr fontId="1"/>
  </si>
  <si>
    <t>WBV1117JT・180WK6</t>
    <phoneticPr fontId="1"/>
  </si>
  <si>
    <t>玄関壁にレンガ模様のシール貼ってあるがはがしてOK 　トイレ手すりあり　ひな段　浴室内部材接続</t>
    <rPh sb="0" eb="3">
      <t>ゲンカンカベ</t>
    </rPh>
    <rPh sb="7" eb="9">
      <t>モヨウ</t>
    </rPh>
    <rPh sb="13" eb="14">
      <t>ハ</t>
    </rPh>
    <rPh sb="30" eb="31">
      <t>テ</t>
    </rPh>
    <rPh sb="38" eb="39">
      <t>ダン</t>
    </rPh>
    <rPh sb="40" eb="42">
      <t>ヨクシツ</t>
    </rPh>
    <rPh sb="42" eb="45">
      <t>ナイブザイ</t>
    </rPh>
    <rPh sb="45" eb="47">
      <t>セツゾク</t>
    </rPh>
    <phoneticPr fontId="1"/>
  </si>
  <si>
    <t>齋藤 治江</t>
    <rPh sb="0" eb="2">
      <t>サイトウ</t>
    </rPh>
    <rPh sb="3" eb="4">
      <t>オサム</t>
    </rPh>
    <rPh sb="4" eb="5">
      <t>エ</t>
    </rPh>
    <phoneticPr fontId="1"/>
  </si>
  <si>
    <t>048-685-9346</t>
    <phoneticPr fontId="1"/>
  </si>
  <si>
    <t>WBV1117JT・182SCR</t>
    <phoneticPr fontId="1"/>
  </si>
  <si>
    <t>トイレｱﾝｸﾞﾙ止水栓　給湯管更新済み　追い焚き管は給湯器内とｴﾌﾟﾛﾝ内のみ変わっている様子　OP台所水栓交換検討、ﾄﾗｯﾌﾟ既存　浴室ｴﾌﾟﾛﾝ内点検口あり再使用　洗面所壁にも点検口ある</t>
    <rPh sb="8" eb="11">
      <t>シスイセン</t>
    </rPh>
    <rPh sb="12" eb="18">
      <t>キュウトウカンコウシンズ</t>
    </rPh>
    <rPh sb="20" eb="21">
      <t>オ</t>
    </rPh>
    <rPh sb="22" eb="23">
      <t>ダ</t>
    </rPh>
    <rPh sb="24" eb="25">
      <t>カン</t>
    </rPh>
    <rPh sb="26" eb="29">
      <t>キュウトウキ</t>
    </rPh>
    <rPh sb="29" eb="30">
      <t>ナイ</t>
    </rPh>
    <rPh sb="36" eb="37">
      <t>ナイ</t>
    </rPh>
    <rPh sb="39" eb="40">
      <t>カ</t>
    </rPh>
    <rPh sb="45" eb="47">
      <t>ヨウス</t>
    </rPh>
    <rPh sb="50" eb="58">
      <t>ダイドコロスイセンコウカンケントウ</t>
    </rPh>
    <rPh sb="64" eb="66">
      <t>キゾン</t>
    </rPh>
    <rPh sb="67" eb="69">
      <t>ヨクシツ</t>
    </rPh>
    <rPh sb="74" eb="75">
      <t>ナイ</t>
    </rPh>
    <rPh sb="75" eb="78">
      <t>テンケンコウ</t>
    </rPh>
    <rPh sb="80" eb="83">
      <t>サイシヨウ</t>
    </rPh>
    <rPh sb="84" eb="87">
      <t>センメンジョ</t>
    </rPh>
    <rPh sb="87" eb="88">
      <t>カベ</t>
    </rPh>
    <rPh sb="90" eb="93">
      <t>テンケンコウ</t>
    </rPh>
    <phoneticPr fontId="1"/>
  </si>
  <si>
    <t>北山 広信</t>
    <rPh sb="0" eb="2">
      <t>キタヤマ</t>
    </rPh>
    <rPh sb="3" eb="5">
      <t>ヒロノブ</t>
    </rPh>
    <phoneticPr fontId="1"/>
  </si>
  <si>
    <t>090-2544-2050</t>
    <phoneticPr fontId="1"/>
  </si>
  <si>
    <t>RKM1117N</t>
    <phoneticPr fontId="1"/>
  </si>
  <si>
    <t>浴室ｴﾌﾟﾛﾝ内点検口設置　台所引き出し中板あり給水給湯既存壁だし、排水ひな段だし　OPｷｯﾁﾝトイレ交換検討</t>
    <rPh sb="0" eb="2">
      <t>ヨクシツ</t>
    </rPh>
    <rPh sb="7" eb="10">
      <t>テンケンコウ</t>
    </rPh>
    <rPh sb="10" eb="12">
      <t>セッチ</t>
    </rPh>
    <rPh sb="12" eb="13">
      <t>　</t>
    </rPh>
    <rPh sb="14" eb="15">
      <t>ダイドコロ</t>
    </rPh>
    <rPh sb="15" eb="19">
      <t>ヒキダシ</t>
    </rPh>
    <rPh sb="20" eb="21">
      <t>イタ</t>
    </rPh>
    <rPh sb="21" eb="23">
      <t>アリ</t>
    </rPh>
    <rPh sb="23" eb="25">
      <t>キュウスイ</t>
    </rPh>
    <rPh sb="25" eb="27">
      <t>キュウトウ</t>
    </rPh>
    <rPh sb="27" eb="29">
      <t>キゾン</t>
    </rPh>
    <rPh sb="29" eb="31">
      <t>カベ</t>
    </rPh>
    <rPh sb="33" eb="35">
      <t>ハイスイ</t>
    </rPh>
    <rPh sb="35" eb="37">
      <t>ヒナ</t>
    </rPh>
    <rPh sb="37" eb="40">
      <t>ダンダシ</t>
    </rPh>
    <rPh sb="50" eb="52">
      <t>コウカン</t>
    </rPh>
    <rPh sb="52" eb="54">
      <t>ケントウ</t>
    </rPh>
    <phoneticPr fontId="1"/>
  </si>
  <si>
    <t>大塩 光永</t>
    <rPh sb="0" eb="2">
      <t>オオシオ</t>
    </rPh>
    <rPh sb="3" eb="4">
      <t>ヒカル</t>
    </rPh>
    <rPh sb="4" eb="5">
      <t>エイ</t>
    </rPh>
    <phoneticPr fontId="1"/>
  </si>
  <si>
    <t>048-795-9769
090-1408-0588</t>
    <phoneticPr fontId="1"/>
  </si>
  <si>
    <t>フロアタイル</t>
    <phoneticPr fontId="1"/>
  </si>
  <si>
    <t>WMV1317・165GW1</t>
    <phoneticPr fontId="1"/>
  </si>
  <si>
    <t>トイレ造作壁、手洗いあり腰壁エコカラット吊戸棚脱着床嵩上げ、造作ｶｳﾝﾀｰとエコカラット解体することと復旧時に費用かかること説明済み検討中　トイレ洗面床フロアタイル、ＣＦで選定しているが変更の可能性あり　洗濯パン水栓付きなため床下から接続する　台所トラップ既存背板点検口のふたがなくて開いたまま　玄関物入内壁になっている開口必要　内装やドアに傷や穴あり　犬注意　浴室カウンターの中に配管通っている鏡裏開口して接続ｴﾌﾟﾛﾝ開けなくてよさそう　後日費用、施工方法について再説明したほうがよさそう</t>
    <rPh sb="165" eb="167">
      <t>ナイソウ</t>
    </rPh>
    <rPh sb="171" eb="172">
      <t>キズ</t>
    </rPh>
    <rPh sb="173" eb="174">
      <t>アナ</t>
    </rPh>
    <rPh sb="177" eb="178">
      <t>イヌ</t>
    </rPh>
    <rPh sb="178" eb="180">
      <t>チュウイ</t>
    </rPh>
    <rPh sb="181" eb="183">
      <t>ヨクシツ</t>
    </rPh>
    <rPh sb="189" eb="190">
      <t>ナカ</t>
    </rPh>
    <rPh sb="191" eb="194">
      <t>ハイカントオ</t>
    </rPh>
    <rPh sb="198" eb="202">
      <t>カガミウラカイコウ</t>
    </rPh>
    <rPh sb="204" eb="206">
      <t>セツゾク</t>
    </rPh>
    <rPh sb="211" eb="212">
      <t>ア</t>
    </rPh>
    <rPh sb="221" eb="223">
      <t>ゴジツ</t>
    </rPh>
    <rPh sb="223" eb="225">
      <t>ヒヨウ</t>
    </rPh>
    <rPh sb="226" eb="230">
      <t>セコウホウホウ</t>
    </rPh>
    <rPh sb="234" eb="237">
      <t>サイセツメイ</t>
    </rPh>
    <phoneticPr fontId="1"/>
  </si>
  <si>
    <t>吉田 久志</t>
    <rPh sb="0" eb="2">
      <t>ヨシダ</t>
    </rPh>
    <rPh sb="3" eb="5">
      <t>ヒサシ</t>
    </rPh>
    <phoneticPr fontId="1"/>
  </si>
  <si>
    <t>080-3912-0122</t>
    <phoneticPr fontId="1"/>
  </si>
  <si>
    <t>WBV1117JN・170DSF</t>
    <phoneticPr fontId="1"/>
  </si>
  <si>
    <t>浴室鏡裏開口　トイレ手すりあり止水栓D式ｱﾝｸﾞﾙ　台所ホーロー板背板底板点検口あり開口不要かも　洗濯機と給湯器の間隙間ギリギリ洗面谷寄せる余裕はある</t>
    <rPh sb="0" eb="2">
      <t>ヨクシツ</t>
    </rPh>
    <rPh sb="2" eb="6">
      <t>カガミウラカイコウ</t>
    </rPh>
    <rPh sb="10" eb="11">
      <t>テ</t>
    </rPh>
    <rPh sb="15" eb="18">
      <t>シスイセン</t>
    </rPh>
    <rPh sb="19" eb="20">
      <t>シキ</t>
    </rPh>
    <rPh sb="26" eb="28">
      <t>ダイドコロ</t>
    </rPh>
    <rPh sb="32" eb="33">
      <t>イタ</t>
    </rPh>
    <rPh sb="33" eb="35">
      <t>セイタ</t>
    </rPh>
    <rPh sb="35" eb="37">
      <t>ソコイタ</t>
    </rPh>
    <rPh sb="37" eb="40">
      <t>テンケンコウ</t>
    </rPh>
    <rPh sb="42" eb="44">
      <t>カイコウ</t>
    </rPh>
    <rPh sb="44" eb="46">
      <t>フヨウ</t>
    </rPh>
    <rPh sb="49" eb="52">
      <t>センタクキ</t>
    </rPh>
    <rPh sb="53" eb="56">
      <t>キュウトウキ</t>
    </rPh>
    <rPh sb="57" eb="58">
      <t>アイダ</t>
    </rPh>
    <rPh sb="58" eb="60">
      <t>スキマ</t>
    </rPh>
    <rPh sb="64" eb="67">
      <t>センメンダニ</t>
    </rPh>
    <rPh sb="67" eb="68">
      <t>ヨ</t>
    </rPh>
    <rPh sb="70" eb="72">
      <t>ヨユウ</t>
    </rPh>
    <phoneticPr fontId="1"/>
  </si>
  <si>
    <t>三木 省一郎</t>
    <rPh sb="0" eb="2">
      <t>ミキ</t>
    </rPh>
    <rPh sb="3" eb="4">
      <t>ショウ</t>
    </rPh>
    <rPh sb="4" eb="6">
      <t>イチロウ</t>
    </rPh>
    <phoneticPr fontId="1"/>
  </si>
  <si>
    <t>048-685-9348</t>
    <phoneticPr fontId="1"/>
  </si>
  <si>
    <t>松下電工</t>
    <rPh sb="0" eb="4">
      <t>マツシタデンコウ</t>
    </rPh>
    <phoneticPr fontId="1"/>
  </si>
  <si>
    <t>浴室ｴﾌﾟﾛﾝ内点検口設置する　底板SUS→ポリ復旧　ﾄｲﾚ止水栓D式ｱﾝｸﾞﾙ　洗濯パン洗面台に寄せるかも</t>
    <rPh sb="0" eb="2">
      <t>ヨクシツ</t>
    </rPh>
    <rPh sb="7" eb="8">
      <t>ナイ</t>
    </rPh>
    <rPh sb="8" eb="11">
      <t>テンケンコウ</t>
    </rPh>
    <rPh sb="11" eb="13">
      <t>セッチ</t>
    </rPh>
    <rPh sb="16" eb="18">
      <t>ソコイタ</t>
    </rPh>
    <rPh sb="21" eb="26">
      <t>ヤジルシポリフッキュウ</t>
    </rPh>
    <rPh sb="30" eb="33">
      <t>シスイセン</t>
    </rPh>
    <rPh sb="34" eb="35">
      <t>シキ</t>
    </rPh>
    <rPh sb="41" eb="43">
      <t>センタク</t>
    </rPh>
    <rPh sb="45" eb="48">
      <t>センメンダイ</t>
    </rPh>
    <rPh sb="49" eb="50">
      <t>ヨ</t>
    </rPh>
    <phoneticPr fontId="1"/>
  </si>
  <si>
    <t>野沢 節子</t>
    <rPh sb="0" eb="2">
      <t>ノザワ</t>
    </rPh>
    <rPh sb="3" eb="5">
      <t>セツコ</t>
    </rPh>
    <phoneticPr fontId="1"/>
  </si>
  <si>
    <t>048-686-9762</t>
    <phoneticPr fontId="1"/>
  </si>
  <si>
    <t>WBV1117JT・1676B2</t>
    <phoneticPr fontId="1"/>
  </si>
  <si>
    <t>鏡裏開口　底板SUS→ポリ復旧　ﾄｲﾚ止水栓ｽﾄﾚｰﾅｰ付　廊下コルクタイル注意</t>
    <rPh sb="0" eb="4">
      <t>カガミウラカイコウ</t>
    </rPh>
    <rPh sb="5" eb="7">
      <t>ソコイタ</t>
    </rPh>
    <rPh sb="10" eb="15">
      <t>ヤジルシポリフッキュウ</t>
    </rPh>
    <rPh sb="19" eb="22">
      <t>シスイセン</t>
    </rPh>
    <rPh sb="28" eb="29">
      <t>ツキ</t>
    </rPh>
    <rPh sb="30" eb="32">
      <t>ロウカ</t>
    </rPh>
    <rPh sb="38" eb="40">
      <t>チュウイ</t>
    </rPh>
    <phoneticPr fontId="1"/>
  </si>
  <si>
    <t>菅野 智之</t>
    <rPh sb="0" eb="2">
      <t>カンノ</t>
    </rPh>
    <rPh sb="3" eb="5">
      <t>トモユキ</t>
    </rPh>
    <phoneticPr fontId="1"/>
  </si>
  <si>
    <t>090-9133-8651</t>
    <phoneticPr fontId="1"/>
  </si>
  <si>
    <t>洗面床FL、トイレ床石目調のタイル現状復旧希望後日カタログから選定　トイレ壁腰壁タイル開口無し、玄関側開口１面貼替　洗面台鏡も外す　トイレ手すりあり　ひな段既存壁だし　ﾄｲﾚ洗面台交換検討中　浴室ｴﾌﾟﾛﾝ内点検口設置</t>
    <rPh sb="0" eb="2">
      <t>センメン</t>
    </rPh>
    <rPh sb="2" eb="3">
      <t>ユカ</t>
    </rPh>
    <rPh sb="9" eb="10">
      <t>ユカ</t>
    </rPh>
    <rPh sb="10" eb="13">
      <t>イシメチョウ</t>
    </rPh>
    <rPh sb="17" eb="23">
      <t>ゲンジョウフッキュウキボウ</t>
    </rPh>
    <rPh sb="23" eb="25">
      <t>ゴジツ</t>
    </rPh>
    <rPh sb="31" eb="33">
      <t>センテイ</t>
    </rPh>
    <rPh sb="37" eb="38">
      <t>カベ</t>
    </rPh>
    <rPh sb="38" eb="40">
      <t>コシカベ</t>
    </rPh>
    <rPh sb="43" eb="46">
      <t>カイコウナ</t>
    </rPh>
    <rPh sb="48" eb="53">
      <t>ゲンカンガワカイコウ</t>
    </rPh>
    <rPh sb="54" eb="57">
      <t>メンハリカエ</t>
    </rPh>
    <rPh sb="58" eb="62">
      <t>センメンダイカガミ</t>
    </rPh>
    <rPh sb="63" eb="64">
      <t>ハズ</t>
    </rPh>
    <rPh sb="69" eb="70">
      <t>テ</t>
    </rPh>
    <rPh sb="77" eb="81">
      <t>ダンキゾンカベ</t>
    </rPh>
    <rPh sb="87" eb="90">
      <t>センメンダイ</t>
    </rPh>
    <rPh sb="90" eb="95">
      <t>コウカンケントウチュウ</t>
    </rPh>
    <rPh sb="96" eb="98">
      <t>ヨクシツ</t>
    </rPh>
    <rPh sb="103" eb="104">
      <t>ナイ</t>
    </rPh>
    <rPh sb="104" eb="109">
      <t>テンケンコウセッチ</t>
    </rPh>
    <phoneticPr fontId="1"/>
  </si>
  <si>
    <t>江崎 充雄</t>
    <rPh sb="0" eb="2">
      <t>エザキ</t>
    </rPh>
    <rPh sb="3" eb="5">
      <t>ミツオ</t>
    </rPh>
    <phoneticPr fontId="1"/>
  </si>
  <si>
    <t>048-686-2755</t>
    <phoneticPr fontId="1"/>
  </si>
  <si>
    <t>TOTO</t>
    <phoneticPr fontId="1"/>
  </si>
  <si>
    <t>WZV1117・14775K</t>
    <phoneticPr fontId="1"/>
  </si>
  <si>
    <t>浴室ｴﾌﾟﾛﾝ内部材接続　給湯器下のｶﾊﾞｰに配管分の穴をあける　台所騎亜温壁だし　</t>
    <rPh sb="0" eb="2">
      <t>ヨクシツ</t>
    </rPh>
    <rPh sb="7" eb="12">
      <t>ナイブザイセツゾク</t>
    </rPh>
    <rPh sb="13" eb="17">
      <t>キュウトウキシタ</t>
    </rPh>
    <rPh sb="23" eb="26">
      <t>ハイカンブン</t>
    </rPh>
    <rPh sb="27" eb="28">
      <t>アナ</t>
    </rPh>
    <rPh sb="33" eb="39">
      <t>ダイドコロキアオンカベ</t>
    </rPh>
    <phoneticPr fontId="1"/>
  </si>
  <si>
    <t>浦辺 安樹</t>
    <rPh sb="0" eb="2">
      <t>ウラベ</t>
    </rPh>
    <rPh sb="3" eb="5">
      <t>ヤスイツキ</t>
    </rPh>
    <phoneticPr fontId="1"/>
  </si>
  <si>
    <t>080-3153-2868</t>
    <phoneticPr fontId="1"/>
  </si>
  <si>
    <t>フロアタイル</t>
    <phoneticPr fontId="1"/>
  </si>
  <si>
    <t>WZV1117・182561</t>
    <phoneticPr fontId="1"/>
  </si>
  <si>
    <t>浴室ｴﾌﾟﾛﾝ内部材接続　洗面トイレ床フロアタイル現状復旧希望、カタログからCF選ぶか支給品にするか検討中　トイレ床嵩上げ　給湯器下カバーに配管分の穴あける　ひな段</t>
    <rPh sb="0" eb="2">
      <t>ヨクシツ</t>
    </rPh>
    <rPh sb="7" eb="8">
      <t>ナイ</t>
    </rPh>
    <rPh sb="8" eb="12">
      <t>ブザイセツゾク</t>
    </rPh>
    <rPh sb="13" eb="15">
      <t>センメン</t>
    </rPh>
    <rPh sb="18" eb="19">
      <t>ユカ</t>
    </rPh>
    <rPh sb="25" eb="31">
      <t>ゲンジョウフッキュウキボウ</t>
    </rPh>
    <rPh sb="40" eb="41">
      <t>エラ</t>
    </rPh>
    <rPh sb="43" eb="46">
      <t>シキュウヒン</t>
    </rPh>
    <rPh sb="50" eb="53">
      <t>ケントウチュウ</t>
    </rPh>
    <rPh sb="57" eb="59">
      <t>ユカカサ</t>
    </rPh>
    <rPh sb="59" eb="60">
      <t>ア</t>
    </rPh>
    <rPh sb="62" eb="66">
      <t>キュウトウキシタ</t>
    </rPh>
    <rPh sb="70" eb="73">
      <t>ハイカンブン</t>
    </rPh>
    <rPh sb="74" eb="75">
      <t>アナ</t>
    </rPh>
    <rPh sb="81" eb="82">
      <t>ダン</t>
    </rPh>
    <phoneticPr fontId="1"/>
  </si>
  <si>
    <t>山路 孝</t>
    <rPh sb="0" eb="2">
      <t>ヤマジ</t>
    </rPh>
    <rPh sb="3" eb="4">
      <t>タカシ</t>
    </rPh>
    <phoneticPr fontId="1"/>
  </si>
  <si>
    <t>048-686-2751</t>
    <phoneticPr fontId="1"/>
  </si>
  <si>
    <t>WBV1117JT・182DAJ</t>
    <phoneticPr fontId="1"/>
  </si>
  <si>
    <t>浴室鏡裏開口　ひな段既存壁だし　洗濯パンと給湯器間の隙間微妙、下のところだけ露出するかもと説明OK→洗濯パン交換するかも　ﾄｲﾚ交換検討　開口する箇所、片付け範囲等平面図だけだとわかりにくいので写真など使った資料が欲しい　お父さんめんどくさそう</t>
    <rPh sb="0" eb="2">
      <t>ヨクシツ</t>
    </rPh>
    <rPh sb="2" eb="6">
      <t>カガミウラカイコウ</t>
    </rPh>
    <rPh sb="9" eb="13">
      <t>ダンキゾンカベ</t>
    </rPh>
    <rPh sb="16" eb="18">
      <t>センタク</t>
    </rPh>
    <rPh sb="21" eb="25">
      <t>キュウトウキアイダ</t>
    </rPh>
    <rPh sb="26" eb="28">
      <t>スキマ</t>
    </rPh>
    <rPh sb="28" eb="30">
      <t>ビミョウ</t>
    </rPh>
    <rPh sb="31" eb="32">
      <t>シタ</t>
    </rPh>
    <rPh sb="38" eb="40">
      <t>ロシュツ</t>
    </rPh>
    <rPh sb="45" eb="47">
      <t>セツメイ</t>
    </rPh>
    <rPh sb="50" eb="52">
      <t>センタク</t>
    </rPh>
    <rPh sb="54" eb="56">
      <t>コウカン</t>
    </rPh>
    <rPh sb="64" eb="68">
      <t>コウカンケントウ</t>
    </rPh>
    <rPh sb="69" eb="71">
      <t>カイコウ</t>
    </rPh>
    <rPh sb="73" eb="75">
      <t>カショ</t>
    </rPh>
    <rPh sb="76" eb="78">
      <t>カタヅ</t>
    </rPh>
    <rPh sb="79" eb="82">
      <t>ハンイトウ</t>
    </rPh>
    <rPh sb="82" eb="85">
      <t>ヘイメンズ</t>
    </rPh>
    <rPh sb="97" eb="99">
      <t>シャシン</t>
    </rPh>
    <rPh sb="101" eb="102">
      <t>ツカ</t>
    </rPh>
    <rPh sb="104" eb="106">
      <t>シリョウ</t>
    </rPh>
    <rPh sb="107" eb="108">
      <t>ホ</t>
    </rPh>
    <rPh sb="112" eb="113">
      <t>トウ</t>
    </rPh>
    <phoneticPr fontId="1"/>
  </si>
  <si>
    <t>柴田 亮作</t>
    <rPh sb="0" eb="2">
      <t>シバタ</t>
    </rPh>
    <rPh sb="3" eb="5">
      <t>リョウサク</t>
    </rPh>
    <phoneticPr fontId="1"/>
  </si>
  <si>
    <t>048-685-9323</t>
    <phoneticPr fontId="1"/>
  </si>
  <si>
    <t>WBV1117JT・194E92</t>
    <phoneticPr fontId="1"/>
  </si>
  <si>
    <t>浴室鏡裏開口　底板SUS→ポリ復旧　洗濯パンと「給湯器の隙間なし下の配管露出すること説明済み</t>
    <rPh sb="0" eb="2">
      <t>ヨクシツ</t>
    </rPh>
    <rPh sb="2" eb="6">
      <t>カガミウラカイコウ</t>
    </rPh>
    <rPh sb="7" eb="9">
      <t>ソコイタ</t>
    </rPh>
    <rPh sb="12" eb="17">
      <t>ヤジルシポリフッキュウ</t>
    </rPh>
    <rPh sb="18" eb="20">
      <t>センタク</t>
    </rPh>
    <rPh sb="24" eb="27">
      <t>キュウトウキ</t>
    </rPh>
    <rPh sb="28" eb="30">
      <t>スキマ</t>
    </rPh>
    <rPh sb="32" eb="33">
      <t>シタ</t>
    </rPh>
    <rPh sb="34" eb="36">
      <t>ハイカン</t>
    </rPh>
    <rPh sb="36" eb="38">
      <t>ロシュツ</t>
    </rPh>
    <rPh sb="42" eb="44">
      <t>セツメイ</t>
    </rPh>
    <rPh sb="44" eb="45">
      <t>ズ</t>
    </rPh>
    <phoneticPr fontId="1"/>
  </si>
  <si>
    <t>小島 洋介</t>
    <rPh sb="0" eb="2">
      <t>コジマ</t>
    </rPh>
    <rPh sb="3" eb="5">
      <t>ヨウスケ</t>
    </rPh>
    <phoneticPr fontId="1"/>
  </si>
  <si>
    <t>080-5000-8651</t>
    <phoneticPr fontId="1"/>
  </si>
  <si>
    <t>WZV1117・146AQE</t>
    <phoneticPr fontId="1"/>
  </si>
  <si>
    <t>浴室ｴﾌﾟﾛﾝ内部材接続　台所既存ﾄﾗｯﾌﾟ　トイレ止水栓D式ｱﾝｸﾞﾙ　洗面台鏡も外す</t>
    <rPh sb="0" eb="2">
      <t>ヨクシツ</t>
    </rPh>
    <rPh sb="7" eb="12">
      <t>ナイブザイセツゾク</t>
    </rPh>
    <rPh sb="13" eb="17">
      <t>ダイドコロキゾン</t>
    </rPh>
    <rPh sb="26" eb="29">
      <t>シスイセン</t>
    </rPh>
    <rPh sb="30" eb="31">
      <t>シキ</t>
    </rPh>
    <rPh sb="37" eb="40">
      <t>センメンダイ</t>
    </rPh>
    <rPh sb="40" eb="41">
      <t>カガミ</t>
    </rPh>
    <rPh sb="42" eb="43">
      <t>ハズ</t>
    </rPh>
    <phoneticPr fontId="1"/>
  </si>
  <si>
    <t>クロス
腰壁タイル</t>
    <rPh sb="4" eb="6">
      <t>コシカベ</t>
    </rPh>
    <phoneticPr fontId="1"/>
  </si>
  <si>
    <t>クロス</t>
    <phoneticPr fontId="1"/>
  </si>
  <si>
    <t>苗木</t>
    <rPh sb="0" eb="2">
      <t>ナエキ</t>
    </rPh>
    <phoneticPr fontId="1"/>
  </si>
  <si>
    <t>048-637-8681
070-3664-6524</t>
    <phoneticPr fontId="1"/>
  </si>
  <si>
    <t>浴室ｴﾌﾟﾛﾝ内点検口設置　ひな段既存壁だし　給湯器だけ給水給湯管更新済み床下は変わってなさそう小さい子供いる注意</t>
    <rPh sb="0" eb="2">
      <t>ヨクシツ</t>
    </rPh>
    <rPh sb="7" eb="13">
      <t>ナイテンケンコウセッチ</t>
    </rPh>
    <rPh sb="16" eb="20">
      <t>ダンキゾンカベ</t>
    </rPh>
    <rPh sb="23" eb="26">
      <t>キュウトウキ</t>
    </rPh>
    <rPh sb="28" eb="33">
      <t>キュウスイキュウトウカン</t>
    </rPh>
    <rPh sb="33" eb="36">
      <t>コウシンズ</t>
    </rPh>
    <rPh sb="37" eb="39">
      <t>ユカシタ</t>
    </rPh>
    <rPh sb="40" eb="41">
      <t>カ</t>
    </rPh>
    <rPh sb="48" eb="49">
      <t>チイ</t>
    </rPh>
    <rPh sb="51" eb="53">
      <t>コドモ</t>
    </rPh>
    <rPh sb="55" eb="57">
      <t>チュウイ</t>
    </rPh>
    <phoneticPr fontId="1"/>
  </si>
  <si>
    <t>立部 淳子</t>
    <rPh sb="0" eb="2">
      <t>タテベ</t>
    </rPh>
    <rPh sb="3" eb="5">
      <t>ジュンコ</t>
    </rPh>
    <phoneticPr fontId="1"/>
  </si>
  <si>
    <t>048-687-4938</t>
    <phoneticPr fontId="1"/>
  </si>
  <si>
    <t>WBV1117JT・192HES</t>
    <phoneticPr fontId="1"/>
  </si>
  <si>
    <t xml:space="preserve">朴 </t>
    <rPh sb="0" eb="1">
      <t>ボク</t>
    </rPh>
    <phoneticPr fontId="1"/>
  </si>
  <si>
    <t>080-1479-1704</t>
    <phoneticPr fontId="1"/>
  </si>
  <si>
    <t>W80930905・192666A
BKW-1116LBP</t>
    <phoneticPr fontId="1"/>
  </si>
  <si>
    <t>給湯管、追い焚き管更新済み　鏡裏開口　洗濯パン洗面台に寄せる　トイレ止水栓D式ｱﾝｸﾞﾙ　底板SUS→ポリ復旧　洗面所壁点検口ありｺｰｷﾝｸﾞ打ちされている　おばあちゃん忘れっぽいので注意　病院に通院しているため鍵必要になるかも</t>
    <rPh sb="14" eb="18">
      <t>カガミウラカイコウ</t>
    </rPh>
    <phoneticPr fontId="1"/>
  </si>
  <si>
    <t>トイレ洗面床フロアタイル450角→CF貼替　ソフト巾木　玄関収納埋め込みｸﾛｰｾﾞｯﾄ、底板合板、トイレ内でルート変更できそうだったら作業無し、開口するなら化粧ベニヤ復旧　ひな段既存壁だし　ｴﾌﾟﾛﾝ内部材接続</t>
    <rPh sb="3" eb="5">
      <t>センメン</t>
    </rPh>
    <rPh sb="5" eb="6">
      <t>ユカ</t>
    </rPh>
    <rPh sb="15" eb="16">
      <t>カク</t>
    </rPh>
    <rPh sb="19" eb="21">
      <t>ハリカエ</t>
    </rPh>
    <rPh sb="25" eb="27">
      <t>ハバキ</t>
    </rPh>
    <rPh sb="28" eb="30">
      <t>ゲンカン</t>
    </rPh>
    <rPh sb="30" eb="32">
      <t>シュウノウ</t>
    </rPh>
    <rPh sb="32" eb="33">
      <t>ウ</t>
    </rPh>
    <rPh sb="34" eb="35">
      <t>コ</t>
    </rPh>
    <rPh sb="44" eb="46">
      <t>ソコイタ</t>
    </rPh>
    <rPh sb="46" eb="48">
      <t>ゴウバン</t>
    </rPh>
    <rPh sb="52" eb="53">
      <t>ナイ</t>
    </rPh>
    <rPh sb="57" eb="59">
      <t>ヘンコウ</t>
    </rPh>
    <rPh sb="67" eb="69">
      <t>サギョウ</t>
    </rPh>
    <rPh sb="69" eb="70">
      <t>ナ</t>
    </rPh>
    <rPh sb="72" eb="74">
      <t>カイコウ</t>
    </rPh>
    <rPh sb="78" eb="80">
      <t>ケショウ</t>
    </rPh>
    <rPh sb="83" eb="85">
      <t>フッキュウ</t>
    </rPh>
    <rPh sb="88" eb="89">
      <t>ダン</t>
    </rPh>
    <rPh sb="89" eb="91">
      <t>キゾン</t>
    </rPh>
    <rPh sb="91" eb="92">
      <t>カベ</t>
    </rPh>
    <rPh sb="100" eb="102">
      <t>ブザイ</t>
    </rPh>
    <rPh sb="102" eb="104">
      <t>セツゾク</t>
    </rPh>
    <phoneticPr fontId="1"/>
  </si>
  <si>
    <t>小川 寧之</t>
    <rPh sb="0" eb="2">
      <t>オガワ</t>
    </rPh>
    <rPh sb="3" eb="4">
      <t>ネイ</t>
    </rPh>
    <rPh sb="4" eb="5">
      <t>ユキ</t>
    </rPh>
    <phoneticPr fontId="1"/>
  </si>
  <si>
    <t>048-686-2476
090-3510-5128</t>
    <phoneticPr fontId="1"/>
  </si>
  <si>
    <t>洗濯パン洗面台に寄せる　浴室デッキタイプ　洗面所壁に点検口設置する</t>
    <phoneticPr fontId="1"/>
  </si>
  <si>
    <t>浴室ｴﾌﾟﾛﾝ内点検口設置or鏡裏開口　玄関物入内ベニヤの上にCF貼ってある→1面ベニヤ貼替　底板SUS→ポリ復旧、背板点検口無くしている配管丸見え　玄関床なりする</t>
    <rPh sb="0" eb="2">
      <t>ヨクシツ</t>
    </rPh>
    <rPh sb="7" eb="13">
      <t>ナイテンケンコウセッチ</t>
    </rPh>
    <rPh sb="15" eb="19">
      <t>カガミウラカイコウ</t>
    </rPh>
    <rPh sb="20" eb="25">
      <t>ゲンカンモノイレナイ</t>
    </rPh>
    <rPh sb="28" eb="30">
      <t>ウエニ</t>
    </rPh>
    <rPh sb="29" eb="30">
      <t>ウエ</t>
    </rPh>
    <rPh sb="33" eb="34">
      <t>ハ</t>
    </rPh>
    <rPh sb="40" eb="43">
      <t>ベニヤ</t>
    </rPh>
    <rPh sb="44" eb="46">
      <t>ハリカエ</t>
    </rPh>
    <rPh sb="47" eb="49">
      <t>ソコイタ</t>
    </rPh>
    <rPh sb="52" eb="57">
      <t>ヤジルシポリフッキュウ</t>
    </rPh>
    <rPh sb="58" eb="60">
      <t>セイタ</t>
    </rPh>
    <rPh sb="60" eb="63">
      <t>テンケンコウ</t>
    </rPh>
    <rPh sb="63" eb="64">
      <t>ナ</t>
    </rPh>
    <rPh sb="69" eb="73">
      <t>ハイカンマルミ</t>
    </rPh>
    <rPh sb="75" eb="78">
      <t>ゲンカンユカ</t>
    </rPh>
    <phoneticPr fontId="1"/>
  </si>
  <si>
    <t>飯塚 ノブ子</t>
    <rPh sb="0" eb="2">
      <t>イイヅカ</t>
    </rPh>
    <rPh sb="5" eb="6">
      <t>コ</t>
    </rPh>
    <phoneticPr fontId="1"/>
  </si>
  <si>
    <t>048-685-6601
090-9689-0329</t>
    <phoneticPr fontId="1"/>
  </si>
  <si>
    <t>浴室ｴﾌﾟﾛﾝ内部材接続品番不明　給湯管追い焚き管更新済み→給湯管のみ交換検討　底板SUS→ポリ復旧　洗濯パン洗面台に寄せる　器具関係はベランダに置きたいらしい　台所一部貼替したい→難しいと説明　洗面所床鳴りする</t>
    <rPh sb="0" eb="2">
      <t>ヨクシツ</t>
    </rPh>
    <rPh sb="7" eb="12">
      <t>ナイブザイセツゾク</t>
    </rPh>
    <rPh sb="12" eb="16">
      <t>ヒンバンフメイ</t>
    </rPh>
    <rPh sb="17" eb="21">
      <t>キュウトウカンオ</t>
    </rPh>
    <rPh sb="22" eb="23">
      <t>ダ</t>
    </rPh>
    <rPh sb="24" eb="25">
      <t>カン</t>
    </rPh>
    <rPh sb="25" eb="28">
      <t>コウシンズ</t>
    </rPh>
    <rPh sb="30" eb="33">
      <t>キュウトウカン</t>
    </rPh>
    <rPh sb="35" eb="39">
      <t>コウカンケントウ</t>
    </rPh>
    <rPh sb="40" eb="42">
      <t>ソコイタ</t>
    </rPh>
    <rPh sb="45" eb="50">
      <t>ヤジルシポリフッキュウ</t>
    </rPh>
    <rPh sb="51" eb="53">
      <t>センタク</t>
    </rPh>
    <rPh sb="55" eb="58">
      <t>センメンダイ</t>
    </rPh>
    <rPh sb="59" eb="60">
      <t>ヨ</t>
    </rPh>
    <rPh sb="63" eb="67">
      <t>キグカンケイ</t>
    </rPh>
    <rPh sb="73" eb="74">
      <t>オ</t>
    </rPh>
    <rPh sb="81" eb="85">
      <t>ダイドコロイチブ</t>
    </rPh>
    <rPh sb="85" eb="87">
      <t>ハリカエ</t>
    </rPh>
    <rPh sb="91" eb="92">
      <t>ムズカ</t>
    </rPh>
    <rPh sb="95" eb="97">
      <t>セツメイ</t>
    </rPh>
    <rPh sb="98" eb="101">
      <t>センメンジョ</t>
    </rPh>
    <rPh sb="101" eb="102">
      <t>ユカ</t>
    </rPh>
    <rPh sb="102" eb="103">
      <t>ナ</t>
    </rPh>
    <phoneticPr fontId="1"/>
  </si>
  <si>
    <t>日根 綾子</t>
    <rPh sb="0" eb="2">
      <t>ヒネ</t>
    </rPh>
    <rPh sb="3" eb="5">
      <t>アヤコ</t>
    </rPh>
    <phoneticPr fontId="1"/>
  </si>
  <si>
    <t>048-686-0588
090-4946-0505</t>
    <phoneticPr fontId="1"/>
  </si>
  <si>
    <t>WBV1117JT・199R62</t>
    <phoneticPr fontId="1"/>
  </si>
  <si>
    <t>048-677-8395
090-6711-4356</t>
    <phoneticPr fontId="1"/>
  </si>
  <si>
    <t>WZV1216・135086</t>
    <phoneticPr fontId="1"/>
  </si>
  <si>
    <t>浴室ｴﾌﾟﾛﾝ内部材接続　洗面トイレ床フロアタイル+ソフト巾木→ＣＦでOK　ひな段　</t>
    <rPh sb="0" eb="2">
      <t>ヨクシツ</t>
    </rPh>
    <rPh sb="7" eb="12">
      <t>ナイブザイセツゾク</t>
    </rPh>
    <rPh sb="13" eb="15">
      <t>センメン</t>
    </rPh>
    <rPh sb="18" eb="19">
      <t>ユカ</t>
    </rPh>
    <rPh sb="29" eb="31">
      <t>ハバキ</t>
    </rPh>
    <rPh sb="40" eb="41">
      <t>ダン</t>
    </rPh>
    <phoneticPr fontId="1"/>
  </si>
  <si>
    <t>古市 朗</t>
    <rPh sb="0" eb="2">
      <t>フルイチ</t>
    </rPh>
    <rPh sb="3" eb="4">
      <t>ロウ</t>
    </rPh>
    <phoneticPr fontId="1"/>
  </si>
  <si>
    <t>080-3600-4945</t>
    <phoneticPr fontId="1"/>
  </si>
  <si>
    <t>富樫</t>
    <rPh sb="0" eb="2">
      <t>トガシ</t>
    </rPh>
    <phoneticPr fontId="1"/>
  </si>
  <si>
    <t>浴室壁開口鏡取付(費用負担)　給湯管更新済み　ひな段</t>
    <rPh sb="0" eb="2">
      <t>ヨクシツ</t>
    </rPh>
    <rPh sb="2" eb="5">
      <t>カベカイコウ</t>
    </rPh>
    <rPh sb="5" eb="6">
      <t>カガミ</t>
    </rPh>
    <rPh sb="6" eb="8">
      <t>トリツケ</t>
    </rPh>
    <rPh sb="9" eb="13">
      <t>ヒヨウフタン</t>
    </rPh>
    <rPh sb="15" eb="21">
      <t>キュウトウカンコウシンズ</t>
    </rPh>
    <rPh sb="25" eb="26">
      <t>ダン</t>
    </rPh>
    <phoneticPr fontId="1"/>
  </si>
  <si>
    <t>浴室デッキタイプ浴槽点検口あり　ひな段</t>
    <rPh sb="0" eb="2">
      <t>ヨクシツ</t>
    </rPh>
    <rPh sb="8" eb="10">
      <t>ヨクソウ</t>
    </rPh>
    <rPh sb="10" eb="13">
      <t>テンケンコウ</t>
    </rPh>
    <rPh sb="18" eb="19">
      <t>ダン</t>
    </rPh>
    <phoneticPr fontId="1"/>
  </si>
  <si>
    <t>神山 富美子</t>
    <rPh sb="0" eb="2">
      <t>カミヤマ</t>
    </rPh>
    <rPh sb="3" eb="6">
      <t>トミコ</t>
    </rPh>
    <phoneticPr fontId="1"/>
  </si>
  <si>
    <t>048-685-5339</t>
    <phoneticPr fontId="1"/>
  </si>
  <si>
    <t>WZV1117・140199</t>
    <phoneticPr fontId="1"/>
  </si>
  <si>
    <t>浴室ｴﾌﾟﾛﾝ内点検口あり　給湯管、追い焚き管更新済み　洗濯パン洗面台に寄せる　底板SUS→ポリ復旧</t>
    <rPh sb="0" eb="2">
      <t>ヨクシツ</t>
    </rPh>
    <rPh sb="7" eb="10">
      <t>テンケンコウ</t>
    </rPh>
    <rPh sb="10" eb="12">
      <t>アリ</t>
    </rPh>
    <rPh sb="14" eb="16">
      <t>キュウトウカン</t>
    </rPh>
    <rPh sb="16" eb="17">
      <t>、</t>
    </rPh>
    <rPh sb="17" eb="21">
      <t>オイダキ</t>
    </rPh>
    <rPh sb="22" eb="24">
      <t>コウシン</t>
    </rPh>
    <rPh sb="24" eb="26">
      <t>ズミ</t>
    </rPh>
    <rPh sb="28" eb="29">
      <t>センタク</t>
    </rPh>
    <rPh sb="29" eb="31">
      <t>パン</t>
    </rPh>
    <rPh sb="31" eb="35">
      <t>センメンダイニ</t>
    </rPh>
    <rPh sb="35" eb="38">
      <t>ヨセル</t>
    </rPh>
    <rPh sb="40" eb="42">
      <t>ソコイタ</t>
    </rPh>
    <rPh sb="45" eb="50">
      <t>ヤジルシポリフッキュウ</t>
    </rPh>
    <phoneticPr fontId="1"/>
  </si>
  <si>
    <t>若月 章仁</t>
    <rPh sb="0" eb="2">
      <t>ワカツキ</t>
    </rPh>
    <rPh sb="3" eb="5">
      <t>アキヒト</t>
    </rPh>
    <phoneticPr fontId="1"/>
  </si>
  <si>
    <t>048-686-4787</t>
    <phoneticPr fontId="1"/>
  </si>
  <si>
    <t>WZV1117・146WUD</t>
    <phoneticPr fontId="1"/>
  </si>
  <si>
    <t>浴室ｴﾌﾟﾛﾝ内部材接続　モール立ち上げ位置洗面台からにするプラグ止め処理　洗面所クロス貼替検討</t>
    <rPh sb="0" eb="2">
      <t>ヨクシツ</t>
    </rPh>
    <rPh sb="7" eb="8">
      <t>ナイ</t>
    </rPh>
    <rPh sb="8" eb="12">
      <t>ブザイセツゾク</t>
    </rPh>
    <rPh sb="16" eb="17">
      <t>タ</t>
    </rPh>
    <rPh sb="18" eb="19">
      <t>ア</t>
    </rPh>
    <rPh sb="20" eb="22">
      <t>イチ</t>
    </rPh>
    <rPh sb="22" eb="25">
      <t>センメンダイ</t>
    </rPh>
    <rPh sb="33" eb="34">
      <t>ト</t>
    </rPh>
    <rPh sb="35" eb="37">
      <t>ショリ</t>
    </rPh>
    <rPh sb="38" eb="41">
      <t>センメンジョ</t>
    </rPh>
    <rPh sb="44" eb="46">
      <t>ハリカエ</t>
    </rPh>
    <rPh sb="46" eb="48">
      <t>ケントウ</t>
    </rPh>
    <phoneticPr fontId="1"/>
  </si>
  <si>
    <t>池田 美樹子</t>
    <rPh sb="0" eb="2">
      <t>イケダ</t>
    </rPh>
    <rPh sb="3" eb="6">
      <t>ミキコ</t>
    </rPh>
    <phoneticPr fontId="1"/>
  </si>
  <si>
    <t>048-687-1190</t>
    <phoneticPr fontId="1"/>
  </si>
  <si>
    <t>浴室デッキタイプ　洗面所壁点検口あり　給湯管更新済み全更新希望　洗濯パン洗面台に寄せるかも　ＯＰ洗面台ﾄｲﾚ交換希望　台所既存ﾄﾗｯﾌﾟ</t>
    <rPh sb="0" eb="2">
      <t>ヨクシツ</t>
    </rPh>
    <rPh sb="9" eb="13">
      <t>センメンジョカベ</t>
    </rPh>
    <rPh sb="13" eb="16">
      <t>テンケンコウ</t>
    </rPh>
    <rPh sb="19" eb="22">
      <t>キュウトウカン</t>
    </rPh>
    <rPh sb="22" eb="25">
      <t>コウシンズ</t>
    </rPh>
    <rPh sb="26" eb="31">
      <t>ゼンコウシンキボウ</t>
    </rPh>
    <rPh sb="32" eb="34">
      <t>センタク</t>
    </rPh>
    <rPh sb="36" eb="39">
      <t>センメンダイ</t>
    </rPh>
    <rPh sb="40" eb="41">
      <t>ヨ</t>
    </rPh>
    <rPh sb="48" eb="51">
      <t>センメンダイ</t>
    </rPh>
    <rPh sb="54" eb="58">
      <t>コウカンキボウ</t>
    </rPh>
    <rPh sb="59" eb="61">
      <t>ダイドコロ</t>
    </rPh>
    <rPh sb="61" eb="63">
      <t>キゾン</t>
    </rPh>
    <phoneticPr fontId="1"/>
  </si>
  <si>
    <t>黒沢 澄男</t>
    <rPh sb="0" eb="2">
      <t>クロサワ</t>
    </rPh>
    <rPh sb="3" eb="5">
      <t>スミオ</t>
    </rPh>
    <phoneticPr fontId="1"/>
  </si>
  <si>
    <t>048-688-7741</t>
    <phoneticPr fontId="1"/>
  </si>
  <si>
    <t>WBV1117/1325MN</t>
    <phoneticPr fontId="1"/>
  </si>
  <si>
    <t>浴室鏡裏開口　ﾄｲﾚ止水栓ｽﾄﾚｰﾅｰ付　底板SUS→ポリ復旧　給湯管更新済み、全更新希望　洗濯パン給水付のものに交換検討　台所蛇口交換希望</t>
    <rPh sb="0" eb="2">
      <t>ヨクシツ</t>
    </rPh>
    <rPh sb="2" eb="6">
      <t>カガミウラカイコウ</t>
    </rPh>
    <rPh sb="10" eb="13">
      <t>シスイセン</t>
    </rPh>
    <rPh sb="19" eb="20">
      <t>ツキ</t>
    </rPh>
    <rPh sb="21" eb="23">
      <t>ソコイタ</t>
    </rPh>
    <rPh sb="26" eb="31">
      <t>ヤジルシポリフッキュウ</t>
    </rPh>
    <rPh sb="32" eb="38">
      <t>キュウトウカンコウシンズ</t>
    </rPh>
    <rPh sb="40" eb="45">
      <t>ゼンコウシンキボウ</t>
    </rPh>
    <rPh sb="46" eb="48">
      <t>センタク</t>
    </rPh>
    <rPh sb="50" eb="52">
      <t>キュウスイ</t>
    </rPh>
    <rPh sb="52" eb="53">
      <t>ツ</t>
    </rPh>
    <rPh sb="57" eb="61">
      <t>コウカンケントウ</t>
    </rPh>
    <rPh sb="62" eb="64">
      <t>ダイドコロ</t>
    </rPh>
    <rPh sb="64" eb="66">
      <t>ジャグチ</t>
    </rPh>
    <rPh sb="66" eb="70">
      <t>コウカンキボウ</t>
    </rPh>
    <phoneticPr fontId="1"/>
  </si>
  <si>
    <t>小幡</t>
    <rPh sb="0" eb="2">
      <t>オバタ</t>
    </rPh>
    <phoneticPr fontId="1"/>
  </si>
  <si>
    <t>048-686-2314</t>
    <phoneticPr fontId="1"/>
  </si>
  <si>
    <t>浴室デッキタイプ　洗面台壁点検口あり　給湯管更新済み、全更新希望　トイレ洗面所手すりあり脱着最終日取付OK　洗濯パン交換しないなら洗面谷寄せる　洗濯ホーステープ巻きされていて取付できない→費用かかってもいいから交換希望　ﾄｲﾚ止水栓ｽﾄﾚｰﾅｰ付　ひな段</t>
    <rPh sb="0" eb="2">
      <t>ヨクシツ</t>
    </rPh>
    <rPh sb="9" eb="12">
      <t>センメンダイ</t>
    </rPh>
    <rPh sb="12" eb="16">
      <t>カベテンケンコウ</t>
    </rPh>
    <rPh sb="19" eb="25">
      <t>キュウトウカンコウシンズ</t>
    </rPh>
    <rPh sb="27" eb="32">
      <t>ゼンコウシンキボウ</t>
    </rPh>
    <rPh sb="36" eb="39">
      <t>センメンジョ</t>
    </rPh>
    <rPh sb="39" eb="40">
      <t>テ</t>
    </rPh>
    <rPh sb="44" eb="46">
      <t>ダッチャク</t>
    </rPh>
    <rPh sb="46" eb="49">
      <t>サイシュウビ</t>
    </rPh>
    <rPh sb="49" eb="51">
      <t>トリツケ</t>
    </rPh>
    <rPh sb="54" eb="56">
      <t>センタク</t>
    </rPh>
    <rPh sb="58" eb="60">
      <t>コウカン</t>
    </rPh>
    <rPh sb="65" eb="68">
      <t>センメンダニ</t>
    </rPh>
    <rPh sb="68" eb="69">
      <t>ヨ</t>
    </rPh>
    <rPh sb="72" eb="74">
      <t>センタク</t>
    </rPh>
    <rPh sb="80" eb="81">
      <t>マ</t>
    </rPh>
    <rPh sb="87" eb="89">
      <t>トリツケ</t>
    </rPh>
    <rPh sb="94" eb="96">
      <t>ヒヨウ</t>
    </rPh>
    <rPh sb="105" eb="109">
      <t>コウカンキボウ</t>
    </rPh>
    <rPh sb="113" eb="116">
      <t>シスイセン</t>
    </rPh>
    <rPh sb="122" eb="123">
      <t>ツキ</t>
    </rPh>
    <rPh sb="126" eb="127">
      <t>ダン</t>
    </rPh>
    <phoneticPr fontId="1"/>
  </si>
  <si>
    <t>村津 まさ江</t>
    <rPh sb="0" eb="1">
      <t>ムラ</t>
    </rPh>
    <rPh sb="1" eb="2">
      <t>ツ</t>
    </rPh>
    <rPh sb="5" eb="6">
      <t>エ</t>
    </rPh>
    <phoneticPr fontId="1"/>
  </si>
  <si>
    <t>048-683-3534</t>
    <phoneticPr fontId="1"/>
  </si>
  <si>
    <t>WRV1117・153PN1</t>
    <phoneticPr fontId="1"/>
  </si>
  <si>
    <t>浴室エプロン内部材接続　洗面所壁点検口あり　ひな段　給湯管、追い焚き管更新済み給湯管更新希望　玄関廊下コルクタイル注意</t>
    <rPh sb="0" eb="2">
      <t>ヨクシツ</t>
    </rPh>
    <rPh sb="6" eb="11">
      <t>ナイブザイセツゾク</t>
    </rPh>
    <rPh sb="12" eb="15">
      <t>センメンジョ</t>
    </rPh>
    <rPh sb="15" eb="19">
      <t>カベテンケンコウ</t>
    </rPh>
    <rPh sb="24" eb="25">
      <t>ダン</t>
    </rPh>
    <rPh sb="26" eb="29">
      <t>キュウトウカン</t>
    </rPh>
    <rPh sb="30" eb="31">
      <t>オ</t>
    </rPh>
    <rPh sb="32" eb="33">
      <t>ダ</t>
    </rPh>
    <rPh sb="34" eb="35">
      <t>カン</t>
    </rPh>
    <rPh sb="35" eb="38">
      <t>コウシンズ</t>
    </rPh>
    <rPh sb="39" eb="46">
      <t>キュウトウカンコウシンキボウ</t>
    </rPh>
    <rPh sb="47" eb="51">
      <t>ゲンカンロウカ</t>
    </rPh>
    <rPh sb="57" eb="59">
      <t>チュウイ</t>
    </rPh>
    <phoneticPr fontId="1"/>
  </si>
  <si>
    <t>加藤 史子</t>
    <rPh sb="0" eb="2">
      <t>カトウ</t>
    </rPh>
    <rPh sb="3" eb="5">
      <t>フミコ</t>
    </rPh>
    <phoneticPr fontId="1"/>
  </si>
  <si>
    <t>090-9678-5712</t>
    <phoneticPr fontId="1"/>
  </si>
  <si>
    <t>WZV1117・148QRY</t>
    <phoneticPr fontId="1"/>
  </si>
  <si>
    <t>浴室内部材接続　ひな段既存壁だし　トイレ床嵩上げ、止水栓D式ｱﾝｸﾞﾙ　洗濯パン洗面台に寄せる　猫注意</t>
    <rPh sb="0" eb="2">
      <t>ヨクシツ</t>
    </rPh>
    <rPh sb="2" eb="7">
      <t>ナイブザイセツゾク</t>
    </rPh>
    <rPh sb="10" eb="14">
      <t>ダンキゾンカベ</t>
    </rPh>
    <rPh sb="20" eb="22">
      <t>ユカカサ</t>
    </rPh>
    <rPh sb="22" eb="23">
      <t>ア</t>
    </rPh>
    <rPh sb="25" eb="28">
      <t>シスイセン</t>
    </rPh>
    <rPh sb="29" eb="30">
      <t>シキ</t>
    </rPh>
    <rPh sb="36" eb="38">
      <t>センタク</t>
    </rPh>
    <rPh sb="40" eb="43">
      <t>センメンダイ</t>
    </rPh>
    <rPh sb="44" eb="45">
      <t>ヨ</t>
    </rPh>
    <rPh sb="48" eb="51">
      <t>ネコチュウイ</t>
    </rPh>
    <phoneticPr fontId="1"/>
  </si>
  <si>
    <t>髙橋 幸子</t>
    <rPh sb="0" eb="2">
      <t>タカハシ</t>
    </rPh>
    <rPh sb="3" eb="5">
      <t>サチコ</t>
    </rPh>
    <phoneticPr fontId="1"/>
  </si>
  <si>
    <t>080-3380-3562</t>
    <phoneticPr fontId="1"/>
  </si>
  <si>
    <t>WZV1117・145077</t>
    <phoneticPr fontId="1"/>
  </si>
  <si>
    <t>UB交換希望、浴室施工方法検討中</t>
    <rPh sb="2" eb="6">
      <t>コウカンキボウ</t>
    </rPh>
    <rPh sb="7" eb="13">
      <t>ヨクシツセコウホウホウ</t>
    </rPh>
    <rPh sb="13" eb="16">
      <t>ケントウチュウ</t>
    </rPh>
    <phoneticPr fontId="1"/>
  </si>
  <si>
    <t>入江 絵理</t>
    <rPh sb="0" eb="2">
      <t>イリエ</t>
    </rPh>
    <rPh sb="3" eb="5">
      <t>エリ</t>
    </rPh>
    <phoneticPr fontId="1"/>
  </si>
  <si>
    <t>070-3189-2010</t>
    <phoneticPr fontId="1"/>
  </si>
  <si>
    <t>WFV1216JT・195J22</t>
    <phoneticPr fontId="1"/>
  </si>
  <si>
    <t>浴室内部材接続　給湯器下ｶﾊﾞｰ付き糊付けされていて開けられなかった　トイレ扉無くして洗面所の壁と床つなげて貼っている、貼替範囲は内装材と一緒に後日検討する　洗面台収納なし　内装カタログから選定する</t>
    <rPh sb="0" eb="2">
      <t>ヨクシツ</t>
    </rPh>
    <rPh sb="2" eb="7">
      <t>ナイブザイセツゾク</t>
    </rPh>
    <rPh sb="8" eb="12">
      <t>キュウトウキシタ</t>
    </rPh>
    <rPh sb="16" eb="17">
      <t>ツ</t>
    </rPh>
    <rPh sb="18" eb="20">
      <t>ノリヅ</t>
    </rPh>
    <rPh sb="26" eb="27">
      <t>ア</t>
    </rPh>
    <rPh sb="38" eb="40">
      <t>トビラナ</t>
    </rPh>
    <rPh sb="43" eb="46">
      <t>センメンジョ</t>
    </rPh>
    <rPh sb="47" eb="48">
      <t>カベ</t>
    </rPh>
    <rPh sb="49" eb="50">
      <t>ユカ</t>
    </rPh>
    <rPh sb="54" eb="55">
      <t>ハ</t>
    </rPh>
    <rPh sb="60" eb="64">
      <t>ハリカエハンイ</t>
    </rPh>
    <rPh sb="65" eb="68">
      <t>ナイソウザイ</t>
    </rPh>
    <rPh sb="69" eb="71">
      <t>イッショ</t>
    </rPh>
    <rPh sb="72" eb="74">
      <t>ゴジツ</t>
    </rPh>
    <rPh sb="74" eb="76">
      <t>ケントウ</t>
    </rPh>
    <rPh sb="79" eb="82">
      <t>センメンダイ</t>
    </rPh>
    <rPh sb="83" eb="85">
      <t>ナシ</t>
    </rPh>
    <rPh sb="87" eb="88">
      <t>ナイソウ</t>
    </rPh>
    <rPh sb="88" eb="89">
      <t>カタログ</t>
    </rPh>
    <rPh sb="94" eb="98">
      <t>センテイスル</t>
    </rPh>
    <phoneticPr fontId="1"/>
  </si>
  <si>
    <t>宇田川 陽子</t>
    <rPh sb="0" eb="3">
      <t>ウタガワ</t>
    </rPh>
    <rPh sb="4" eb="6">
      <t>ヨウコ</t>
    </rPh>
    <phoneticPr fontId="1"/>
  </si>
  <si>
    <t>080-8017-1217</t>
    <phoneticPr fontId="1"/>
  </si>
  <si>
    <t>Panasonic</t>
    <phoneticPr fontId="1"/>
  </si>
  <si>
    <t>柳川 長</t>
    <rPh sb="0" eb="2">
      <t>ヤナガワ</t>
    </rPh>
    <rPh sb="3" eb="4">
      <t>オサ</t>
    </rPh>
    <phoneticPr fontId="1"/>
  </si>
  <si>
    <t>048-685-9045
090-7255-5715</t>
    <phoneticPr fontId="1"/>
  </si>
  <si>
    <t>桐生 裕章</t>
    <rPh sb="0" eb="2">
      <t>キリュウ</t>
    </rPh>
    <rPh sb="3" eb="5">
      <t>ヒロアキ</t>
    </rPh>
    <phoneticPr fontId="1"/>
  </si>
  <si>
    <t>090-7948-1092</t>
    <phoneticPr fontId="1"/>
  </si>
  <si>
    <t>WRV1117・154QKJ</t>
    <phoneticPr fontId="1"/>
  </si>
  <si>
    <t>パネル</t>
    <phoneticPr fontId="1"/>
  </si>
  <si>
    <t>エプロン内部材接続　トイレ壁パネル→玄関側施工　食洗器下開口必要かも ひな段</t>
    <rPh sb="4" eb="9">
      <t>ナイブザイセツゾク</t>
    </rPh>
    <rPh sb="13" eb="14">
      <t>カベ</t>
    </rPh>
    <rPh sb="18" eb="20">
      <t>ゲンカン</t>
    </rPh>
    <rPh sb="20" eb="21">
      <t>ガワ</t>
    </rPh>
    <rPh sb="21" eb="23">
      <t>セコウ</t>
    </rPh>
    <rPh sb="24" eb="27">
      <t>ショクセンキ</t>
    </rPh>
    <rPh sb="27" eb="28">
      <t>シタ</t>
    </rPh>
    <rPh sb="28" eb="30">
      <t>カイコウ</t>
    </rPh>
    <rPh sb="30" eb="32">
      <t>ヒツヨウ</t>
    </rPh>
    <rPh sb="37" eb="38">
      <t>ダン</t>
    </rPh>
    <phoneticPr fontId="1"/>
  </si>
  <si>
    <t>田中 力</t>
    <rPh sb="0" eb="2">
      <t>タナカ</t>
    </rPh>
    <rPh sb="3" eb="4">
      <t>チカラ</t>
    </rPh>
    <phoneticPr fontId="1"/>
  </si>
  <si>
    <t>048-796-5038
080-2094-5677</t>
    <phoneticPr fontId="1"/>
  </si>
  <si>
    <t>WHV1116UT・157BRT</t>
    <phoneticPr fontId="1"/>
  </si>
  <si>
    <t>浴室ｴﾌﾟﾛﾝ内だけで施工可能　ﾄｲﾚ止水栓ｽﾄﾚｰﾅｰ付　ﾄｲﾚ交換検討　6-103に両親すんでいる</t>
    <rPh sb="0" eb="2">
      <t>ヨクシツ</t>
    </rPh>
    <rPh sb="7" eb="8">
      <t>ナイ</t>
    </rPh>
    <rPh sb="11" eb="13">
      <t>セコウ</t>
    </rPh>
    <rPh sb="13" eb="15">
      <t>カノウ</t>
    </rPh>
    <rPh sb="19" eb="22">
      <t>シスイセン</t>
    </rPh>
    <rPh sb="28" eb="29">
      <t>ツキ</t>
    </rPh>
    <rPh sb="33" eb="37">
      <t>コウカンケントウ</t>
    </rPh>
    <rPh sb="44" eb="46">
      <t>リョウシン</t>
    </rPh>
    <phoneticPr fontId="1"/>
  </si>
  <si>
    <t>万代 太郎</t>
    <rPh sb="0" eb="1">
      <t>マン</t>
    </rPh>
    <rPh sb="1" eb="2">
      <t>ヨ</t>
    </rPh>
    <rPh sb="3" eb="5">
      <t>タロウ</t>
    </rPh>
    <phoneticPr fontId="1"/>
  </si>
  <si>
    <t>090-5346-0692</t>
    <phoneticPr fontId="1"/>
  </si>
  <si>
    <t>WRV1116US・162MDH</t>
    <phoneticPr fontId="1"/>
  </si>
  <si>
    <t>浴室エプロン内部材接続　玄関収納内塗装→ベニヤでOK　ｷtｯﾁﾝ既存壁だし</t>
    <rPh sb="0" eb="2">
      <t>ヨクシツ</t>
    </rPh>
    <rPh sb="6" eb="11">
      <t>ナイブザイセツゾク</t>
    </rPh>
    <rPh sb="12" eb="17">
      <t>ゲンカンシュウノウナイ</t>
    </rPh>
    <rPh sb="17" eb="19">
      <t>トソウ</t>
    </rPh>
    <rPh sb="32" eb="34">
      <t>キゾン</t>
    </rPh>
    <rPh sb="34" eb="35">
      <t>カベ</t>
    </rPh>
    <phoneticPr fontId="1"/>
  </si>
  <si>
    <t>ポリ板</t>
    <phoneticPr fontId="1"/>
  </si>
  <si>
    <t>重信 勝己</t>
    <rPh sb="0" eb="2">
      <t>シゲノブ</t>
    </rPh>
    <rPh sb="3" eb="5">
      <t>カツキ</t>
    </rPh>
    <phoneticPr fontId="1"/>
  </si>
  <si>
    <t>090-4130-8083</t>
    <phoneticPr fontId="1"/>
  </si>
  <si>
    <t>給湯管、追い焚き管更新済み　台所トラップ既存　洗濯パン洗面台に寄せる　浴室デッキタイプ　洗面所壁点検口あり　ﾄｲﾚ止水栓ｽﾄﾚｰﾅｰ付き</t>
    <rPh sb="0" eb="3">
      <t>キュウトウカン</t>
    </rPh>
    <rPh sb="4" eb="5">
      <t>オ</t>
    </rPh>
    <rPh sb="6" eb="7">
      <t>ダ</t>
    </rPh>
    <rPh sb="8" eb="12">
      <t>カンコウシンズ</t>
    </rPh>
    <rPh sb="14" eb="16">
      <t>ダイドコロ</t>
    </rPh>
    <rPh sb="20" eb="22">
      <t>キゾン</t>
    </rPh>
    <rPh sb="23" eb="25">
      <t>センタク</t>
    </rPh>
    <rPh sb="27" eb="30">
      <t>センメンダイ</t>
    </rPh>
    <rPh sb="31" eb="32">
      <t>ヨ</t>
    </rPh>
    <rPh sb="35" eb="37">
      <t>ヨクシツ</t>
    </rPh>
    <rPh sb="44" eb="48">
      <t>センメンジョカベ</t>
    </rPh>
    <rPh sb="48" eb="51">
      <t>テンケンコウ</t>
    </rPh>
    <rPh sb="57" eb="60">
      <t>シスイセン</t>
    </rPh>
    <rPh sb="66" eb="67">
      <t>ツ</t>
    </rPh>
    <phoneticPr fontId="1"/>
  </si>
  <si>
    <t>金村 優樹</t>
    <rPh sb="0" eb="2">
      <t>カネムラ</t>
    </rPh>
    <rPh sb="3" eb="5">
      <t>マサキ</t>
    </rPh>
    <phoneticPr fontId="1"/>
  </si>
  <si>
    <t>048-687-0120</t>
    <phoneticPr fontId="1"/>
  </si>
  <si>
    <t>WYV1116JN・162M0J</t>
    <phoneticPr fontId="1"/>
  </si>
  <si>
    <t>給湯管更新済み→更新するか検討中　浴室施工方法検討中　ひな段既存壁だし</t>
    <rPh sb="0" eb="6">
      <t>キュウトウカンコウシンズ</t>
    </rPh>
    <rPh sb="8" eb="10">
      <t>コウシン</t>
    </rPh>
    <rPh sb="13" eb="15">
      <t>ケントウ</t>
    </rPh>
    <rPh sb="15" eb="16">
      <t>チュウ</t>
    </rPh>
    <rPh sb="17" eb="19">
      <t>ヨクシツ</t>
    </rPh>
    <rPh sb="19" eb="23">
      <t>セコウホウホウ</t>
    </rPh>
    <rPh sb="23" eb="26">
      <t>ケントウチュウ</t>
    </rPh>
    <rPh sb="29" eb="33">
      <t>ダンキゾンカベ</t>
    </rPh>
    <phoneticPr fontId="1"/>
  </si>
  <si>
    <t>岡本 由起</t>
    <rPh sb="0" eb="2">
      <t>オカモト</t>
    </rPh>
    <rPh sb="3" eb="5">
      <t>ユキ</t>
    </rPh>
    <phoneticPr fontId="1"/>
  </si>
  <si>
    <t>090-8464-6744</t>
    <phoneticPr fontId="1"/>
  </si>
  <si>
    <t>WHV11116UT・16839K</t>
    <phoneticPr fontId="1"/>
  </si>
  <si>
    <t>浴室ｴﾌﾟﾛﾝ外して作業可能　</t>
    <rPh sb="0" eb="2">
      <t>ヨクシツ</t>
    </rPh>
    <rPh sb="7" eb="8">
      <t>ハズ</t>
    </rPh>
    <rPh sb="10" eb="12">
      <t>サギョウ</t>
    </rPh>
    <rPh sb="12" eb="14">
      <t>カノウ</t>
    </rPh>
    <phoneticPr fontId="1"/>
  </si>
  <si>
    <t>渡部 雄二</t>
    <rPh sb="0" eb="2">
      <t>ワタベ</t>
    </rPh>
    <rPh sb="3" eb="5">
      <t>ユウジ</t>
    </rPh>
    <phoneticPr fontId="1"/>
  </si>
  <si>
    <t>048-685-9080</t>
    <phoneticPr fontId="1"/>
  </si>
  <si>
    <t>WRV1117US・16307G</t>
    <phoneticPr fontId="1"/>
  </si>
  <si>
    <t>浴室ｴﾌﾟﾛﾝ内部材接続　追い焚き管更新済みOPで更新希望　乾燥機有　給水付き洗濯パンに交換検討　台所トラップ既存</t>
    <rPh sb="0" eb="2">
      <t>ヨクシツ</t>
    </rPh>
    <rPh sb="7" eb="12">
      <t>ナイブザイセツゾク</t>
    </rPh>
    <rPh sb="13" eb="14">
      <t>オ</t>
    </rPh>
    <rPh sb="15" eb="16">
      <t>ダ</t>
    </rPh>
    <rPh sb="17" eb="21">
      <t>カンコウシンズ</t>
    </rPh>
    <rPh sb="25" eb="29">
      <t>コウシンキボウ</t>
    </rPh>
    <rPh sb="30" eb="34">
      <t>カンソウキアリ</t>
    </rPh>
    <rPh sb="35" eb="38">
      <t>キュウスイツ</t>
    </rPh>
    <rPh sb="39" eb="41">
      <t>センタク</t>
    </rPh>
    <rPh sb="44" eb="48">
      <t>コウカンケントウ</t>
    </rPh>
    <rPh sb="49" eb="51">
      <t>ダイドコロ</t>
    </rPh>
    <rPh sb="55" eb="57">
      <t>キゾン</t>
    </rPh>
    <phoneticPr fontId="1"/>
  </si>
  <si>
    <t>浴室給湯管更新済み→更新する　ｷtｯﾁﾝ底板ポリ復旧OK　ﾘﾊﾋﾞﾘｾﾝﾀｰの人に簡易鍵渡す</t>
    <rPh sb="0" eb="2">
      <t>ヨクシツ</t>
    </rPh>
    <rPh sb="2" eb="5">
      <t>キュウトウカン</t>
    </rPh>
    <rPh sb="5" eb="8">
      <t>コウシンズ</t>
    </rPh>
    <rPh sb="10" eb="12">
      <t>コウシン</t>
    </rPh>
    <rPh sb="20" eb="22">
      <t>ソコイタ</t>
    </rPh>
    <rPh sb="24" eb="26">
      <t>フッキュウ</t>
    </rPh>
    <rPh sb="39" eb="40">
      <t>ヒト</t>
    </rPh>
    <rPh sb="41" eb="44">
      <t>カンイカギ</t>
    </rPh>
    <rPh sb="44" eb="45">
      <t>ワタ</t>
    </rPh>
    <phoneticPr fontId="1"/>
  </si>
  <si>
    <t>外壁に点検口設置　給湯管更新済み　ﾄｲﾚ止水栓ｽﾄﾚｰﾅｰ付き　洗面台位置70ｍｍ左に移動したい</t>
    <rPh sb="0" eb="2">
      <t>ソトカベ</t>
    </rPh>
    <rPh sb="3" eb="8">
      <t>テンケンコウセッチ</t>
    </rPh>
    <rPh sb="9" eb="12">
      <t>キュウトウカン</t>
    </rPh>
    <rPh sb="12" eb="15">
      <t>コウシンズ</t>
    </rPh>
    <rPh sb="20" eb="23">
      <t>シスイセン</t>
    </rPh>
    <rPh sb="29" eb="30">
      <t>ツ</t>
    </rPh>
    <rPh sb="32" eb="37">
      <t>センメンダイイチ</t>
    </rPh>
    <rPh sb="41" eb="42">
      <t>ヒダリ</t>
    </rPh>
    <rPh sb="43" eb="45">
      <t>イドウ</t>
    </rPh>
    <phoneticPr fontId="1"/>
  </si>
  <si>
    <t>ﾄｲﾚ止水栓D式ｱﾝｸﾞﾙ　玄関前廊下床少し沈む エプロン内部材接続</t>
    <rPh sb="3" eb="6">
      <t>シスイセン</t>
    </rPh>
    <rPh sb="7" eb="8">
      <t>シキ</t>
    </rPh>
    <rPh sb="14" eb="17">
      <t>ゲンカンマエ</t>
    </rPh>
    <rPh sb="17" eb="19">
      <t>ロウカ</t>
    </rPh>
    <rPh sb="19" eb="20">
      <t>ユカ</t>
    </rPh>
    <rPh sb="20" eb="21">
      <t>スコ</t>
    </rPh>
    <rPh sb="22" eb="23">
      <t>シズ</t>
    </rPh>
    <rPh sb="29" eb="34">
      <t>ナイブザイセツゾク</t>
    </rPh>
    <phoneticPr fontId="1"/>
  </si>
  <si>
    <t>鏡裏開口　ﾄｲﾚ止水栓ｽﾄﾚｰﾅｰ付　給湯管更新済み　キッチン底板SUS→ポリ復旧　隠蔽配管希望</t>
    <rPh sb="0" eb="4">
      <t>カガミウラカイコウ</t>
    </rPh>
    <rPh sb="7" eb="10">
      <t>シスイセン</t>
    </rPh>
    <rPh sb="10" eb="16">
      <t>ストレーナー</t>
    </rPh>
    <rPh sb="17" eb="18">
      <t>　</t>
    </rPh>
    <rPh sb="19" eb="21">
      <t>キュウトウカン</t>
    </rPh>
    <rPh sb="21" eb="23">
      <t>コウシン</t>
    </rPh>
    <rPh sb="23" eb="25">
      <t>ズミ</t>
    </rPh>
    <rPh sb="31" eb="33">
      <t>ソコイタ</t>
    </rPh>
    <rPh sb="36" eb="41">
      <t>ヤジルシポリフッキュウ</t>
    </rPh>
    <rPh sb="42" eb="46">
      <t>インペイハイカン</t>
    </rPh>
    <rPh sb="46" eb="48">
      <t>キボウ</t>
    </rPh>
    <phoneticPr fontId="1"/>
  </si>
  <si>
    <t>空家　ﾄｲﾚ仮復旧なし　ﾄｲﾚ止水栓ｽﾄﾚｰﾅｰ付　エプロン内部材接続</t>
    <rPh sb="0" eb="2">
      <t>アキヤ</t>
    </rPh>
    <rPh sb="6" eb="9">
      <t>カリフッキュウ</t>
    </rPh>
    <rPh sb="15" eb="18">
      <t>シスイセン</t>
    </rPh>
    <rPh sb="24" eb="25">
      <t>ツキ</t>
    </rPh>
    <rPh sb="30" eb="31">
      <t>ナイ</t>
    </rPh>
    <rPh sb="31" eb="35">
      <t>ブザイセツゾク</t>
    </rPh>
    <phoneticPr fontId="1"/>
  </si>
  <si>
    <t>ｷｯﾁﾝ底板SUS→ポリ復旧　給湯管更新済み　エプロン内部材接続</t>
    <rPh sb="4" eb="6">
      <t>ソコイタ</t>
    </rPh>
    <rPh sb="9" eb="14">
      <t>ヤジルシポリフッキュウ</t>
    </rPh>
    <rPh sb="15" eb="18">
      <t>キュウトウカン</t>
    </rPh>
    <rPh sb="18" eb="21">
      <t>コウシンズ</t>
    </rPh>
    <rPh sb="27" eb="32">
      <t>ナイブザイセツゾク</t>
    </rPh>
    <phoneticPr fontId="1"/>
  </si>
  <si>
    <t>浴室と給湯器の給水給湯更新済み　給湯器造作カバー穴開けてモール立ち上げる　浴槽点検口から配管</t>
    <rPh sb="0" eb="2">
      <t>ヨクシツ</t>
    </rPh>
    <rPh sb="3" eb="6">
      <t>キュウトウキ</t>
    </rPh>
    <rPh sb="7" eb="11">
      <t>キュウスイキュウトウ</t>
    </rPh>
    <rPh sb="11" eb="14">
      <t>コウシンズ</t>
    </rPh>
    <rPh sb="16" eb="19">
      <t>キュウトウキ</t>
    </rPh>
    <rPh sb="19" eb="21">
      <t>ゾウサク</t>
    </rPh>
    <rPh sb="24" eb="26">
      <t>アナア</t>
    </rPh>
    <rPh sb="31" eb="32">
      <t>タ</t>
    </rPh>
    <rPh sb="33" eb="34">
      <t>ア</t>
    </rPh>
    <rPh sb="37" eb="42">
      <t>ヨクソウテンケンコウ</t>
    </rPh>
    <rPh sb="44" eb="46">
      <t>ハイカン</t>
    </rPh>
    <phoneticPr fontId="1"/>
  </si>
  <si>
    <t>エプロン内部材接続　ｷｯﾁﾝ底板SUS　給湯器ｶﾊﾞｰあり</t>
    <rPh sb="4" eb="5">
      <t>ナイ</t>
    </rPh>
    <rPh sb="5" eb="7">
      <t>ブザイ</t>
    </rPh>
    <rPh sb="7" eb="9">
      <t>セツゾク</t>
    </rPh>
    <rPh sb="14" eb="16">
      <t>ソコイタ</t>
    </rPh>
    <rPh sb="20" eb="23">
      <t>キュウトウキ</t>
    </rPh>
    <phoneticPr fontId="1"/>
  </si>
  <si>
    <t>給湯管更新済み　台所給水給湯貫通部まで更新済み作業無し　ﾄｲﾚ止水栓ｽﾄﾚｰﾅｰ付　エプロン内部材接続</t>
    <rPh sb="0" eb="3">
      <t>キュウトウカン</t>
    </rPh>
    <rPh sb="3" eb="6">
      <t>コウシンズ</t>
    </rPh>
    <rPh sb="8" eb="10">
      <t>ダイドコロ</t>
    </rPh>
    <rPh sb="10" eb="14">
      <t>キュウスイキュウトウ</t>
    </rPh>
    <rPh sb="14" eb="17">
      <t>カンツウブ</t>
    </rPh>
    <rPh sb="19" eb="22">
      <t>コウシンズ</t>
    </rPh>
    <rPh sb="23" eb="26">
      <t>サギョウナ</t>
    </rPh>
    <rPh sb="31" eb="34">
      <t>シスイセン</t>
    </rPh>
    <rPh sb="40" eb="41">
      <t>ツキ</t>
    </rPh>
    <rPh sb="46" eb="47">
      <t>ナイ</t>
    </rPh>
    <rPh sb="47" eb="49">
      <t>ブザイ</t>
    </rPh>
    <rPh sb="49" eb="51">
      <t>セツゾク</t>
    </rPh>
    <phoneticPr fontId="1"/>
  </si>
  <si>
    <t>給湯管更新済み　浴室給水管更新済み→全更新希望通常工事　エプロン内部材接続
底板SUS→ポリ復旧　ﾄｲﾚ止水栓D式ｱﾝｸﾞﾙ</t>
    <rPh sb="0" eb="6">
      <t>キュウトウカンコウシンズ</t>
    </rPh>
    <rPh sb="8" eb="10">
      <t>ヨクシツ</t>
    </rPh>
    <rPh sb="10" eb="13">
      <t>キュウスイカン</t>
    </rPh>
    <rPh sb="13" eb="16">
      <t>コウシンズ</t>
    </rPh>
    <rPh sb="18" eb="23">
      <t>ゼンコウシンキボウ</t>
    </rPh>
    <rPh sb="23" eb="27">
      <t>ツウジョウコウジ</t>
    </rPh>
    <rPh sb="32" eb="37">
      <t>ナイブザイセツゾク</t>
    </rPh>
    <rPh sb="38" eb="40">
      <t>ソコイタ</t>
    </rPh>
    <rPh sb="46" eb="48">
      <t>フッキュウ</t>
    </rPh>
    <rPh sb="52" eb="55">
      <t>シスイセン</t>
    </rPh>
    <rPh sb="56" eb="57">
      <t>シキ</t>
    </rPh>
    <phoneticPr fontId="1"/>
  </si>
  <si>
    <t>ﾄｲﾚ止水栓D式ｱﾝｸﾞﾙ　エプロン内部材接続  底板SUS→ポリ復旧　ﾄｲﾚ床嵩上げ、ソフト巾木80mm</t>
    <rPh sb="3" eb="6">
      <t>シスイセン</t>
    </rPh>
    <rPh sb="7" eb="8">
      <t>シキ</t>
    </rPh>
    <rPh sb="18" eb="20">
      <t>ブザイ</t>
    </rPh>
    <rPh sb="20" eb="22">
      <t>セツゾク</t>
    </rPh>
    <rPh sb="22" eb="23">
      <t>　</t>
    </rPh>
    <rPh sb="25" eb="27">
      <t>ソコイタ</t>
    </rPh>
    <rPh sb="30" eb="35">
      <t>ヤジルシポリフッキュウ</t>
    </rPh>
    <rPh sb="39" eb="40">
      <t>ユカ</t>
    </rPh>
    <rPh sb="40" eb="42">
      <t>カサア</t>
    </rPh>
    <rPh sb="47" eb="49">
      <t>ハバキ</t>
    </rPh>
    <phoneticPr fontId="1"/>
  </si>
  <si>
    <t>台所ﾄﾗｯﾌﾟ既存 エプロン内部材接続</t>
    <rPh sb="0" eb="2">
      <t>ダイドコロ</t>
    </rPh>
    <rPh sb="7" eb="9">
      <t>キゾン</t>
    </rPh>
    <rPh sb="14" eb="19">
      <t>ナイブザイセツゾク</t>
    </rPh>
    <phoneticPr fontId="1"/>
  </si>
  <si>
    <t>玄関物入塗装→ベニヤ復旧でOK　エプロン内部材接続</t>
    <rPh sb="0" eb="2">
      <t>ゲンカン</t>
    </rPh>
    <rPh sb="2" eb="4">
      <t>モノイレ</t>
    </rPh>
    <rPh sb="4" eb="6">
      <t>トソウ</t>
    </rPh>
    <rPh sb="10" eb="12">
      <t>フッキュウ</t>
    </rPh>
    <rPh sb="20" eb="25">
      <t>ナイブザイセツゾク</t>
    </rPh>
    <phoneticPr fontId="1"/>
  </si>
  <si>
    <t>給湯管更新済み→全更新希望　底板SUS→ポリ復旧　浴室ｴﾌﾟﾛﾝビス止め３か所　エプロン内部材接続</t>
    <rPh sb="0" eb="6">
      <t>キュウトウカンコウシンズ</t>
    </rPh>
    <rPh sb="7" eb="13">
      <t>ヤジルシゼンコウシンキボウ</t>
    </rPh>
    <rPh sb="14" eb="16">
      <t>ソコイタ</t>
    </rPh>
    <rPh sb="19" eb="24">
      <t>ヤジルシポリフッキュウ</t>
    </rPh>
    <rPh sb="25" eb="27">
      <t>ヨクシツ</t>
    </rPh>
    <rPh sb="34" eb="35">
      <t>ド</t>
    </rPh>
    <rPh sb="38" eb="39">
      <t>ショ</t>
    </rPh>
    <rPh sb="44" eb="49">
      <t>ナイブザイセツゾク</t>
    </rPh>
    <phoneticPr fontId="1"/>
  </si>
  <si>
    <t>給湯管更新済み→更新するか残すか検討　ﾄｲﾚ止水栓D式ｱﾝｸﾞﾙ　洗面所既存点検口あり　エプロン内部材接続</t>
    <rPh sb="0" eb="6">
      <t>キュウトウカンコウシンズ</t>
    </rPh>
    <rPh sb="8" eb="10">
      <t>コウシン</t>
    </rPh>
    <rPh sb="13" eb="14">
      <t>ノコ</t>
    </rPh>
    <rPh sb="16" eb="18">
      <t>ケントウ</t>
    </rPh>
    <rPh sb="22" eb="25">
      <t>シスイセン</t>
    </rPh>
    <rPh sb="26" eb="27">
      <t>シキ</t>
    </rPh>
    <rPh sb="33" eb="36">
      <t>センメンジョ</t>
    </rPh>
    <rPh sb="36" eb="41">
      <t>キゾンテンケンコウ</t>
    </rPh>
    <rPh sb="48" eb="53">
      <t>ナイブザイセツゾク</t>
    </rPh>
    <phoneticPr fontId="1"/>
  </si>
  <si>
    <t>給湯管更新済み　浴室ｴﾌﾟﾛﾝ内点検口既存再使用　ﾄｲﾚ止水栓D式ｱﾝｸﾞﾙ　
底板SUS→ポリ復旧　工事前に引っ越す予定売却先決まったら連絡もらう</t>
    <rPh sb="0" eb="6">
      <t>キュウトウカンコウシンズ</t>
    </rPh>
    <rPh sb="8" eb="10">
      <t>ヨクシツ</t>
    </rPh>
    <rPh sb="15" eb="16">
      <t>ナイ</t>
    </rPh>
    <rPh sb="16" eb="19">
      <t>テンケンコウ</t>
    </rPh>
    <rPh sb="19" eb="24">
      <t>キゾンサイシヨウ</t>
    </rPh>
    <rPh sb="28" eb="31">
      <t>シスイセン</t>
    </rPh>
    <rPh sb="32" eb="33">
      <t>シキ</t>
    </rPh>
    <rPh sb="40" eb="42">
      <t>ソコイタ</t>
    </rPh>
    <rPh sb="48" eb="50">
      <t>フッキュウ</t>
    </rPh>
    <rPh sb="51" eb="54">
      <t>コウジマエ</t>
    </rPh>
    <rPh sb="55" eb="56">
      <t>ヒ</t>
    </rPh>
    <rPh sb="57" eb="58">
      <t>コ</t>
    </rPh>
    <rPh sb="59" eb="61">
      <t>ヨテイ</t>
    </rPh>
    <rPh sb="61" eb="64">
      <t>バイキャクサキ</t>
    </rPh>
    <rPh sb="64" eb="65">
      <t>キ</t>
    </rPh>
    <rPh sb="69" eb="71">
      <t>レンラク</t>
    </rPh>
    <phoneticPr fontId="1"/>
  </si>
  <si>
    <t>給湯管更新済み→全更新希望　ﾄｲﾚ止水栓D式ｱﾝｸﾞﾙ　エプロン内部材接続</t>
    <rPh sb="0" eb="6">
      <t>キュウトウカンコウシンズ</t>
    </rPh>
    <rPh sb="7" eb="13">
      <t>ヤジルシゼンコウシンキボウ</t>
    </rPh>
    <rPh sb="17" eb="20">
      <t>シスイセン</t>
    </rPh>
    <rPh sb="21" eb="22">
      <t>シキ</t>
    </rPh>
    <rPh sb="32" eb="37">
      <t>ナイブザイセツゾク</t>
    </rPh>
    <phoneticPr fontId="1"/>
  </si>
  <si>
    <t>底板SUS→ポリ復旧、既存壁だし　洗濯パン洗面台に寄せる　追い焚き機能がないので新しく追加したい　 エプロン内部材接続</t>
    <rPh sb="0" eb="2">
      <t>ソコイタ</t>
    </rPh>
    <rPh sb="5" eb="10">
      <t>ヤジルシポリフッキュウ</t>
    </rPh>
    <rPh sb="11" eb="14">
      <t>キゾンカベ</t>
    </rPh>
    <rPh sb="17" eb="19">
      <t>センタク</t>
    </rPh>
    <rPh sb="21" eb="24">
      <t>センメンダイ</t>
    </rPh>
    <rPh sb="25" eb="26">
      <t>ヨ</t>
    </rPh>
    <rPh sb="29" eb="30">
      <t>オ</t>
    </rPh>
    <rPh sb="31" eb="35">
      <t>ダキキノウ</t>
    </rPh>
    <rPh sb="40" eb="41">
      <t>アタラ</t>
    </rPh>
    <rPh sb="43" eb="45">
      <t>ツイカ</t>
    </rPh>
    <rPh sb="54" eb="59">
      <t>ナイブザイセツゾク</t>
    </rPh>
    <phoneticPr fontId="1"/>
  </si>
  <si>
    <t>ﾄｲﾚ止水栓ｽﾄﾚｰﾅｰ付　ひな段　エプロン内部材接続</t>
    <rPh sb="3" eb="6">
      <t>シスイセン</t>
    </rPh>
    <rPh sb="12" eb="13">
      <t>ツキ</t>
    </rPh>
    <rPh sb="16" eb="17">
      <t>ダン</t>
    </rPh>
    <rPh sb="22" eb="27">
      <t>ナイブザイセツゾク</t>
    </rPh>
    <phoneticPr fontId="1"/>
  </si>
  <si>
    <t>追い焚き管交換検討　底板SUS→ポリ復旧　ﾄｲﾚ止水栓D式ｱﾝｸﾞﾙ　エプロン内部材接続</t>
    <rPh sb="39" eb="44">
      <t>ナイブザイセツゾク</t>
    </rPh>
    <phoneticPr fontId="1"/>
  </si>
  <si>
    <t>底板SUS→ポリ復旧　給湯管、追い焚き管更新済み　洗面床CFに上にカーペットしいてあるすぐ剥がせる　洗濯パン動かすスペースないので巾木の高さまで露出でモール立ち上げる　凝固剤×２セット渡す　電話線切っているので何かあったら訪問するようにする　浴室水栓2つカウンター付き　エプロン内部材接続</t>
    <rPh sb="0" eb="2">
      <t>ソコイタ</t>
    </rPh>
    <rPh sb="5" eb="10">
      <t>ヤジルシポリフッキュウ</t>
    </rPh>
    <rPh sb="11" eb="14">
      <t>キュウトウカン</t>
    </rPh>
    <rPh sb="15" eb="16">
      <t>オ</t>
    </rPh>
    <rPh sb="17" eb="18">
      <t>ダ</t>
    </rPh>
    <rPh sb="19" eb="23">
      <t>カンコウシンズ</t>
    </rPh>
    <rPh sb="25" eb="28">
      <t>センメンユカ</t>
    </rPh>
    <rPh sb="31" eb="32">
      <t>ウエ</t>
    </rPh>
    <rPh sb="45" eb="46">
      <t>ハ</t>
    </rPh>
    <rPh sb="50" eb="52">
      <t>センタク</t>
    </rPh>
    <rPh sb="54" eb="55">
      <t>ウゴ</t>
    </rPh>
    <rPh sb="65" eb="67">
      <t>ハバキ</t>
    </rPh>
    <rPh sb="68" eb="69">
      <t>タカ</t>
    </rPh>
    <rPh sb="72" eb="74">
      <t>ロシュツ</t>
    </rPh>
    <rPh sb="78" eb="79">
      <t>タ</t>
    </rPh>
    <rPh sb="80" eb="81">
      <t>ア</t>
    </rPh>
    <rPh sb="84" eb="87">
      <t>ギョウコザイ</t>
    </rPh>
    <rPh sb="92" eb="93">
      <t>ワタ</t>
    </rPh>
    <rPh sb="95" eb="99">
      <t>デンワセンキ</t>
    </rPh>
    <rPh sb="105" eb="106">
      <t>ナニ</t>
    </rPh>
    <rPh sb="111" eb="113">
      <t>ホウモン</t>
    </rPh>
    <rPh sb="121" eb="123">
      <t>ヨクシツ</t>
    </rPh>
    <rPh sb="123" eb="125">
      <t>スイセン</t>
    </rPh>
    <rPh sb="132" eb="133">
      <t>ツ</t>
    </rPh>
    <rPh sb="139" eb="144">
      <t>ナイブザイセツゾク</t>
    </rPh>
    <phoneticPr fontId="1"/>
  </si>
  <si>
    <t>給湯管、老い先管更新済み　ひな段既存壁だし、再底路真ん中の引き出しも作業はいるかも背板開口　洗面所点検口あり　ﾄｲﾚ止水栓D式ｱﾝｸﾞﾙ　ﾎﾟｰﾀﾌﾞﾙﾄｲﾚ+凝固剤セット×4ほしい　エプロン内部材接続</t>
    <rPh sb="0" eb="3">
      <t>キュウトウカン</t>
    </rPh>
    <rPh sb="4" eb="5">
      <t>オ</t>
    </rPh>
    <rPh sb="6" eb="11">
      <t>サキカンコウシンズ</t>
    </rPh>
    <rPh sb="15" eb="19">
      <t>ダンキゾンカベ</t>
    </rPh>
    <rPh sb="22" eb="25">
      <t>サイソコロ</t>
    </rPh>
    <rPh sb="25" eb="26">
      <t>マ</t>
    </rPh>
    <rPh sb="27" eb="28">
      <t>ナカ</t>
    </rPh>
    <rPh sb="29" eb="30">
      <t>ヒ</t>
    </rPh>
    <rPh sb="31" eb="32">
      <t>ダ</t>
    </rPh>
    <rPh sb="34" eb="36">
      <t>サギョウ</t>
    </rPh>
    <rPh sb="41" eb="45">
      <t>セイタカイコウ</t>
    </rPh>
    <rPh sb="46" eb="49">
      <t>センメンジョ</t>
    </rPh>
    <rPh sb="49" eb="52">
      <t>テンケンコウ</t>
    </rPh>
    <rPh sb="58" eb="61">
      <t>シスイセン</t>
    </rPh>
    <rPh sb="62" eb="63">
      <t>シキ</t>
    </rPh>
    <rPh sb="80" eb="83">
      <t>ギョウコザイ</t>
    </rPh>
    <rPh sb="96" eb="101">
      <t>ナイブザイセツゾク</t>
    </rPh>
    <phoneticPr fontId="1"/>
  </si>
  <si>
    <t>瀧澤 康</t>
    <rPh sb="0" eb="2">
      <t>タキザワ</t>
    </rPh>
    <rPh sb="3" eb="4">
      <t>ヤスシ</t>
    </rPh>
    <phoneticPr fontId="1"/>
  </si>
  <si>
    <t>048-685-4265
090-8341-3387</t>
    <phoneticPr fontId="1"/>
  </si>
  <si>
    <t>W80940183・09048
BP-1116SBZE2</t>
    <phoneticPr fontId="1"/>
  </si>
  <si>
    <t>浴室ｴﾌﾟﾛﾝ内点検口設置する　ひな段既存壁だし　OP洗濯パン交換検討　</t>
    <rPh sb="0" eb="2">
      <t>ヨクシツ</t>
    </rPh>
    <rPh sb="7" eb="8">
      <t>ナイ</t>
    </rPh>
    <rPh sb="8" eb="13">
      <t>テンケンコウセッチ</t>
    </rPh>
    <rPh sb="18" eb="22">
      <t>ダンキゾンカベ</t>
    </rPh>
    <rPh sb="27" eb="29">
      <t>センタク</t>
    </rPh>
    <rPh sb="31" eb="35">
      <t>コウカンケントウ</t>
    </rPh>
    <phoneticPr fontId="1"/>
  </si>
  <si>
    <t>宝田 勝邦</t>
    <rPh sb="0" eb="2">
      <t>タカラダ</t>
    </rPh>
    <rPh sb="3" eb="4">
      <t>カツ</t>
    </rPh>
    <rPh sb="4" eb="5">
      <t>クニ</t>
    </rPh>
    <phoneticPr fontId="1"/>
  </si>
  <si>
    <t>048-686-2324</t>
    <phoneticPr fontId="1"/>
  </si>
  <si>
    <t>WZV1117・138359</t>
    <phoneticPr fontId="1"/>
  </si>
  <si>
    <t>浴室ｴﾌﾟﾛﾝ内部材接続　ひな段　ﾄｲﾚ止水栓Ｄ式ｱﾝｸﾞﾙ　ＯＰ追い焚き管交換、便器交換検討中</t>
    <rPh sb="0" eb="2">
      <t>ヨクシツ</t>
    </rPh>
    <rPh sb="7" eb="12">
      <t>ナイブザイセツゾク</t>
    </rPh>
    <rPh sb="15" eb="16">
      <t>ダン</t>
    </rPh>
    <rPh sb="20" eb="23">
      <t>シスイセン</t>
    </rPh>
    <rPh sb="24" eb="25">
      <t>シキ</t>
    </rPh>
    <rPh sb="33" eb="34">
      <t>オ</t>
    </rPh>
    <rPh sb="35" eb="36">
      <t>ダ</t>
    </rPh>
    <rPh sb="37" eb="40">
      <t>カンコウカン</t>
    </rPh>
    <rPh sb="41" eb="45">
      <t>ベンキコウカン</t>
    </rPh>
    <rPh sb="45" eb="48">
      <t>ケントウチュウ</t>
    </rPh>
    <phoneticPr fontId="1"/>
  </si>
  <si>
    <t>関口 清</t>
    <rPh sb="0" eb="2">
      <t>セキグチ</t>
    </rPh>
    <rPh sb="3" eb="4">
      <t>キヨシ</t>
    </rPh>
    <phoneticPr fontId="1"/>
  </si>
  <si>
    <t>080-1096-6274</t>
    <phoneticPr fontId="1"/>
  </si>
  <si>
    <t>浴室ｴﾌﾟﾛﾝ内点検口設置　トイレSソケで後ろに下げている　洗濯パン洗面台に寄せる　給湯管更新済み→更新するか検討　ひな段既存壁だし　洗濯水栓２口→交換OK　洗濯パン交換検討　</t>
    <rPh sb="0" eb="2">
      <t>ヨクシツ</t>
    </rPh>
    <rPh sb="7" eb="13">
      <t>ナイテンケンコウセッチ</t>
    </rPh>
    <rPh sb="21" eb="22">
      <t>ウシ</t>
    </rPh>
    <rPh sb="24" eb="25">
      <t>サ</t>
    </rPh>
    <rPh sb="30" eb="32">
      <t>センタク</t>
    </rPh>
    <rPh sb="34" eb="37">
      <t>センメンダイ</t>
    </rPh>
    <rPh sb="38" eb="39">
      <t>ヨ</t>
    </rPh>
    <rPh sb="42" eb="48">
      <t>キュウトウカンコウシンズ</t>
    </rPh>
    <rPh sb="49" eb="57">
      <t>ミギコウシンスルカケントウ</t>
    </rPh>
    <rPh sb="60" eb="61">
      <t>ダン</t>
    </rPh>
    <rPh sb="61" eb="64">
      <t>キゾンカベ</t>
    </rPh>
    <rPh sb="67" eb="71">
      <t>センタクスイセン</t>
    </rPh>
    <rPh sb="72" eb="73">
      <t>クチ</t>
    </rPh>
    <rPh sb="73" eb="75">
      <t>コウカン</t>
    </rPh>
    <rPh sb="75" eb="77">
      <t>ＯＫ</t>
    </rPh>
    <rPh sb="79" eb="80">
      <t>センタク</t>
    </rPh>
    <rPh sb="80" eb="82">
      <t>パン</t>
    </rPh>
    <rPh sb="84" eb="86">
      <t>ケントウ</t>
    </rPh>
    <rPh sb="86" eb="87">
      <t>　</t>
    </rPh>
    <phoneticPr fontId="1"/>
  </si>
  <si>
    <t>藤本 千尋</t>
    <rPh sb="0" eb="2">
      <t>フジモト</t>
    </rPh>
    <rPh sb="3" eb="5">
      <t>チヒロ</t>
    </rPh>
    <phoneticPr fontId="1"/>
  </si>
  <si>
    <t>090-3682-4869</t>
    <phoneticPr fontId="1"/>
  </si>
  <si>
    <t>WZV1117・150948</t>
    <phoneticPr fontId="1"/>
  </si>
  <si>
    <t>浴室鏡裏開口　ﾄｲﾚ止水栓ｽﾄﾚｰﾅｰ付き　洗面所床FL→CF上張りしたら　　洗濯パン洗面台にずらす　底板SUS→ポリ復旧　台所水栓交換検討　</t>
    <rPh sb="0" eb="2">
      <t>ヨクシツ</t>
    </rPh>
    <rPh sb="2" eb="6">
      <t>カガミウラカイコウ</t>
    </rPh>
    <rPh sb="10" eb="13">
      <t>シスイセン</t>
    </rPh>
    <rPh sb="19" eb="20">
      <t>ツ</t>
    </rPh>
    <rPh sb="22" eb="25">
      <t>センメンジョ</t>
    </rPh>
    <rPh sb="25" eb="26">
      <t>ユカ</t>
    </rPh>
    <rPh sb="31" eb="33">
      <t>ウワバ</t>
    </rPh>
    <rPh sb="39" eb="41">
      <t>センタク</t>
    </rPh>
    <rPh sb="43" eb="46">
      <t>センメンダイ</t>
    </rPh>
    <rPh sb="51" eb="53">
      <t>ソコイタ</t>
    </rPh>
    <rPh sb="56" eb="61">
      <t>ヤジルシポリフッキュウ</t>
    </rPh>
    <rPh sb="62" eb="70">
      <t>ダイドコロスイセンコウカンケントウ</t>
    </rPh>
    <phoneticPr fontId="1"/>
  </si>
  <si>
    <t>白鳥 聖子</t>
    <rPh sb="0" eb="2">
      <t>シラトリ</t>
    </rPh>
    <rPh sb="3" eb="5">
      <t>セイコ</t>
    </rPh>
    <phoneticPr fontId="1"/>
  </si>
  <si>
    <t>048-683-2561</t>
    <phoneticPr fontId="1"/>
  </si>
  <si>
    <t>浴室ｴﾌﾟﾛﾝ内点検口あり　洗濯パン洗面台に寄せる　底板SUS→ポリ復旧　養生は毎日外す</t>
    <rPh sb="0" eb="2">
      <t>ヨクシツ</t>
    </rPh>
    <rPh sb="7" eb="8">
      <t>ナイ</t>
    </rPh>
    <rPh sb="8" eb="11">
      <t>テンケンコウ</t>
    </rPh>
    <rPh sb="14" eb="16">
      <t>センタク</t>
    </rPh>
    <rPh sb="18" eb="21">
      <t>センメンダイ</t>
    </rPh>
    <rPh sb="22" eb="23">
      <t>ヨ</t>
    </rPh>
    <rPh sb="26" eb="28">
      <t>ソコイタ</t>
    </rPh>
    <rPh sb="31" eb="36">
      <t>ヤジルシポリフッキュウ</t>
    </rPh>
    <rPh sb="37" eb="39">
      <t>ヨウジョウ</t>
    </rPh>
    <rPh sb="39" eb="41">
      <t>マイニチ</t>
    </rPh>
    <rPh sb="40" eb="43">
      <t>マイニチハズ</t>
    </rPh>
    <phoneticPr fontId="1"/>
  </si>
  <si>
    <t>伊藤 昭</t>
    <rPh sb="0" eb="2">
      <t>イトウ</t>
    </rPh>
    <rPh sb="3" eb="4">
      <t>アキラ</t>
    </rPh>
    <phoneticPr fontId="1"/>
  </si>
  <si>
    <t>048-684-5224</t>
    <phoneticPr fontId="1"/>
  </si>
  <si>
    <t>WRV1117・154872</t>
    <phoneticPr fontId="1"/>
  </si>
  <si>
    <t>浴室内部材接続　ﾄｲﾚ止水栓Ｄ式ｱﾝｸﾞﾙ　底板SUS→ポリ復旧　給湯管追い焚き管更新済み　洗濯パン洗面谷寄せる隙間なし一部洗濯モールむき出しになる</t>
    <rPh sb="0" eb="2">
      <t>ヨクシツ</t>
    </rPh>
    <rPh sb="2" eb="7">
      <t>ナイブザイセツゾク</t>
    </rPh>
    <rPh sb="11" eb="14">
      <t>シスイセン</t>
    </rPh>
    <rPh sb="15" eb="16">
      <t>シキ</t>
    </rPh>
    <rPh sb="22" eb="24">
      <t>ソコイタ</t>
    </rPh>
    <rPh sb="27" eb="32">
      <t>ヤジルシポリフッキュウ</t>
    </rPh>
    <rPh sb="33" eb="37">
      <t>キュウトウカンオ</t>
    </rPh>
    <rPh sb="38" eb="39">
      <t>ダ</t>
    </rPh>
    <rPh sb="40" eb="41">
      <t>カン</t>
    </rPh>
    <rPh sb="41" eb="44">
      <t>コウシンズ</t>
    </rPh>
    <rPh sb="46" eb="48">
      <t>センタク</t>
    </rPh>
    <rPh sb="50" eb="54">
      <t>センメンダニヨ</t>
    </rPh>
    <rPh sb="56" eb="58">
      <t>スキマ</t>
    </rPh>
    <rPh sb="60" eb="62">
      <t>イチブ</t>
    </rPh>
    <rPh sb="62" eb="64">
      <t>センタク</t>
    </rPh>
    <rPh sb="69" eb="70">
      <t>ダ</t>
    </rPh>
    <phoneticPr fontId="1"/>
  </si>
  <si>
    <t>小田 重雄</t>
    <rPh sb="0" eb="2">
      <t>オダ</t>
    </rPh>
    <rPh sb="3" eb="5">
      <t>シゲオ</t>
    </rPh>
    <phoneticPr fontId="1"/>
  </si>
  <si>
    <t>048-685-3690</t>
    <phoneticPr fontId="1"/>
  </si>
  <si>
    <t>丸山 忠澄</t>
    <rPh sb="0" eb="2">
      <t>マルヤマ</t>
    </rPh>
    <rPh sb="3" eb="4">
      <t>タダシ</t>
    </rPh>
    <rPh sb="4" eb="5">
      <t>スミ</t>
    </rPh>
    <phoneticPr fontId="1"/>
  </si>
  <si>
    <t>048-685-6479</t>
    <phoneticPr fontId="1"/>
  </si>
  <si>
    <t>浴室デッキタイプ　洗面所壁点検口設置する　洗濯パンずらすかパン交換検討　ひな段既存壁だし　食洗器壊れていて使っていない　給湯管、追い焚き管更新済み→更新するか検討</t>
    <rPh sb="0" eb="2">
      <t>ヨクシツ</t>
    </rPh>
    <rPh sb="9" eb="12">
      <t>センメンジョ</t>
    </rPh>
    <rPh sb="12" eb="18">
      <t>カベテンケンコウセッチ</t>
    </rPh>
    <rPh sb="21" eb="23">
      <t>センタク</t>
    </rPh>
    <rPh sb="31" eb="33">
      <t>コウカン</t>
    </rPh>
    <rPh sb="33" eb="35">
      <t>ケントウ</t>
    </rPh>
    <rPh sb="38" eb="42">
      <t>ダンキゾンカベ</t>
    </rPh>
    <rPh sb="45" eb="48">
      <t>ショクセンキ</t>
    </rPh>
    <rPh sb="48" eb="49">
      <t>コワ</t>
    </rPh>
    <rPh sb="53" eb="54">
      <t>ツカ</t>
    </rPh>
    <rPh sb="60" eb="63">
      <t>キュウトウカン</t>
    </rPh>
    <rPh sb="64" eb="65">
      <t>オ</t>
    </rPh>
    <rPh sb="66" eb="67">
      <t>ダ</t>
    </rPh>
    <rPh sb="68" eb="72">
      <t>カンコウシンズ</t>
    </rPh>
    <rPh sb="74" eb="76">
      <t>コウシン</t>
    </rPh>
    <rPh sb="79" eb="81">
      <t>ケントウ</t>
    </rPh>
    <phoneticPr fontId="1"/>
  </si>
  <si>
    <t>大石 剣</t>
    <rPh sb="0" eb="2">
      <t>オオイシ</t>
    </rPh>
    <rPh sb="3" eb="4">
      <t>ケン</t>
    </rPh>
    <phoneticPr fontId="1"/>
  </si>
  <si>
    <t>080-9207-4563</t>
    <phoneticPr fontId="1"/>
  </si>
  <si>
    <t>底板SUSと洗濯モール配管方法ｵｰﾅｰ様に確認する　洗面所壁に点検口設置する</t>
    <rPh sb="0" eb="2">
      <t>ソコイタ</t>
    </rPh>
    <rPh sb="6" eb="8">
      <t>センタク</t>
    </rPh>
    <rPh sb="11" eb="15">
      <t>ハイカンホウホウ</t>
    </rPh>
    <rPh sb="19" eb="20">
      <t>サマ</t>
    </rPh>
    <rPh sb="21" eb="23">
      <t>カクニン</t>
    </rPh>
    <rPh sb="26" eb="30">
      <t>センメンジョカベ</t>
    </rPh>
    <rPh sb="31" eb="36">
      <t>テンケンコウセッチ</t>
    </rPh>
    <phoneticPr fontId="1"/>
  </si>
  <si>
    <t>森 敬明</t>
    <rPh sb="0" eb="1">
      <t>モリ</t>
    </rPh>
    <rPh sb="2" eb="3">
      <t>ケイ</t>
    </rPh>
    <rPh sb="3" eb="4">
      <t>アキラ</t>
    </rPh>
    <phoneticPr fontId="1"/>
  </si>
  <si>
    <t>048-685-4366
090-9146-9804</t>
    <phoneticPr fontId="1"/>
  </si>
  <si>
    <t>給湯管更新済み→全更新希望　浴槽デッキタイプ　洗面所壁に点検口設置する　洗濯パン交換提案　ひな段既存壁だし　</t>
    <rPh sb="0" eb="6">
      <t>キュウトウカンコウシンズ</t>
    </rPh>
    <rPh sb="8" eb="13">
      <t>ゼンコウシンキボウ</t>
    </rPh>
    <rPh sb="14" eb="16">
      <t>ヨクソウ</t>
    </rPh>
    <rPh sb="23" eb="25">
      <t>センメン</t>
    </rPh>
    <rPh sb="25" eb="26">
      <t>ジョ</t>
    </rPh>
    <rPh sb="26" eb="27">
      <t>カベ</t>
    </rPh>
    <rPh sb="28" eb="31">
      <t>テンケンコウ</t>
    </rPh>
    <rPh sb="31" eb="33">
      <t>セッチ</t>
    </rPh>
    <rPh sb="36" eb="38">
      <t>センタク</t>
    </rPh>
    <rPh sb="40" eb="42">
      <t>コウカン</t>
    </rPh>
    <rPh sb="42" eb="44">
      <t>テイアン</t>
    </rPh>
    <rPh sb="47" eb="48">
      <t>ダン</t>
    </rPh>
    <rPh sb="48" eb="50">
      <t>キゾン</t>
    </rPh>
    <rPh sb="50" eb="51">
      <t>カベ</t>
    </rPh>
    <phoneticPr fontId="1"/>
  </si>
  <si>
    <t>090-8312-5997</t>
    <phoneticPr fontId="1"/>
  </si>
  <si>
    <t>WHV1116UT・187Y4G</t>
    <phoneticPr fontId="1"/>
  </si>
  <si>
    <t>太谷 忠弘</t>
    <rPh sb="0" eb="1">
      <t>フトシ</t>
    </rPh>
    <rPh sb="1" eb="2">
      <t>タニ</t>
    </rPh>
    <rPh sb="3" eb="5">
      <t>タダヒロ</t>
    </rPh>
    <phoneticPr fontId="1"/>
  </si>
  <si>
    <t>080-5008-8680</t>
    <phoneticPr fontId="1"/>
  </si>
  <si>
    <t>浴室ｴﾌﾟﾛﾝ内点検口あり　給湯管、追い焚き管更新済み　乾燥機有、床下に点検口あり→なくしてok 洗面所ふかし壁あり巾木貼ってない　ｷｯﾁﾝ背板底板ホーロー板→脱着　後日床暖房付ける予定らしい　洗濯水栓真下からモール立ち上げる</t>
    <rPh sb="0" eb="2">
      <t>ヨクシツ</t>
    </rPh>
    <rPh sb="7" eb="11">
      <t>ナイテンケンコウ</t>
    </rPh>
    <rPh sb="14" eb="17">
      <t>キュウトウカン</t>
    </rPh>
    <rPh sb="18" eb="19">
      <t>オ</t>
    </rPh>
    <rPh sb="20" eb="21">
      <t>ダ</t>
    </rPh>
    <rPh sb="22" eb="26">
      <t>カンコウシンズ</t>
    </rPh>
    <rPh sb="28" eb="32">
      <t>カンソウキアリ</t>
    </rPh>
    <rPh sb="33" eb="35">
      <t>ユカシタ</t>
    </rPh>
    <rPh sb="36" eb="39">
      <t>テンケンコウ</t>
    </rPh>
    <rPh sb="49" eb="52">
      <t>センメンジョ</t>
    </rPh>
    <rPh sb="55" eb="56">
      <t>カベ</t>
    </rPh>
    <rPh sb="58" eb="61">
      <t>ハバキハ</t>
    </rPh>
    <rPh sb="70" eb="74">
      <t>セイタソコイタ</t>
    </rPh>
    <rPh sb="78" eb="79">
      <t>イタ</t>
    </rPh>
    <rPh sb="80" eb="82">
      <t>ダッチャク</t>
    </rPh>
    <rPh sb="83" eb="85">
      <t>ゴジツ</t>
    </rPh>
    <rPh sb="85" eb="89">
      <t>ユカダンボウツ</t>
    </rPh>
    <rPh sb="91" eb="93">
      <t>ヨテイ</t>
    </rPh>
    <rPh sb="97" eb="101">
      <t>センタクスイセン</t>
    </rPh>
    <rPh sb="101" eb="103">
      <t>マシタ</t>
    </rPh>
    <rPh sb="108" eb="109">
      <t>タ</t>
    </rPh>
    <rPh sb="110" eb="111">
      <t>ア</t>
    </rPh>
    <phoneticPr fontId="1"/>
  </si>
  <si>
    <t>仁田</t>
    <rPh sb="0" eb="1">
      <t>ジン</t>
    </rPh>
    <rPh sb="1" eb="2">
      <t>タ</t>
    </rPh>
    <phoneticPr fontId="1"/>
  </si>
  <si>
    <t>048-683-2229</t>
    <phoneticPr fontId="1"/>
  </si>
  <si>
    <t>WZV1117・190724</t>
    <phoneticPr fontId="1"/>
  </si>
  <si>
    <t>浴室内部材接続　ﾄｲﾚ止水栓Ｄ式ｱﾝｸﾞﾙ　洗面所壁に点検口設置する　洗面台に寄せるスペース無し一部配管むき出しでＯＫ　台所トラップ既存　給湯管更新済み追い焚き管更新済み</t>
    <rPh sb="0" eb="2">
      <t>ヨクシツ</t>
    </rPh>
    <rPh sb="2" eb="7">
      <t>ナイブザイセツゾク</t>
    </rPh>
    <rPh sb="11" eb="14">
      <t>シスイセン</t>
    </rPh>
    <rPh sb="15" eb="16">
      <t>シキ</t>
    </rPh>
    <rPh sb="22" eb="26">
      <t>センメンジョカベ</t>
    </rPh>
    <rPh sb="27" eb="32">
      <t>テンケンコウセッチ</t>
    </rPh>
    <rPh sb="35" eb="38">
      <t>センメンダイ</t>
    </rPh>
    <rPh sb="39" eb="40">
      <t>ヨ</t>
    </rPh>
    <rPh sb="46" eb="47">
      <t>ナ</t>
    </rPh>
    <rPh sb="48" eb="52">
      <t>イチブハイカン</t>
    </rPh>
    <rPh sb="54" eb="55">
      <t>ダ</t>
    </rPh>
    <rPh sb="60" eb="62">
      <t>ダイドコロ</t>
    </rPh>
    <rPh sb="66" eb="68">
      <t>キゾン</t>
    </rPh>
    <rPh sb="69" eb="75">
      <t>キュウトウカンコウシンズ</t>
    </rPh>
    <rPh sb="76" eb="77">
      <t>オ</t>
    </rPh>
    <rPh sb="78" eb="79">
      <t>ダ</t>
    </rPh>
    <rPh sb="80" eb="81">
      <t>カン</t>
    </rPh>
    <rPh sb="81" eb="84">
      <t>コウシンズ</t>
    </rPh>
    <phoneticPr fontId="1"/>
  </si>
  <si>
    <t>姜</t>
    <rPh sb="0" eb="1">
      <t>カン</t>
    </rPh>
    <phoneticPr fontId="1"/>
  </si>
  <si>
    <t>048-685-5110</t>
    <phoneticPr fontId="1"/>
  </si>
  <si>
    <t>デッキタイプ浴槽点検口より作業可能　底板SUS→ポリ復旧</t>
    <rPh sb="6" eb="11">
      <t>ヨクソウテンケンコウ</t>
    </rPh>
    <rPh sb="13" eb="17">
      <t>サギョウカノウ</t>
    </rPh>
    <rPh sb="18" eb="20">
      <t>ソコイタ</t>
    </rPh>
    <rPh sb="23" eb="28">
      <t>ヤジルシポリフッキュウ</t>
    </rPh>
    <phoneticPr fontId="1"/>
  </si>
  <si>
    <t>伊藤 達也</t>
    <rPh sb="0" eb="2">
      <t>イトウ</t>
    </rPh>
    <rPh sb="3" eb="5">
      <t>タツヤ</t>
    </rPh>
    <phoneticPr fontId="1"/>
  </si>
  <si>
    <t>048-686-4662</t>
    <phoneticPr fontId="1"/>
  </si>
  <si>
    <t>小島 達也</t>
    <rPh sb="0" eb="2">
      <t>コジマ</t>
    </rPh>
    <rPh sb="3" eb="5">
      <t>タツヤ</t>
    </rPh>
    <phoneticPr fontId="1"/>
  </si>
  <si>
    <t>080-5557-4335</t>
    <phoneticPr fontId="1"/>
  </si>
  <si>
    <t>フロアタイル</t>
    <phoneticPr fontId="1"/>
  </si>
  <si>
    <t>Panasonic</t>
    <phoneticPr fontId="1"/>
  </si>
  <si>
    <t>浴室床下既存管接続　玄関物入家具開口必要　洗面所ﾄｲﾚ床フロアタイル→CF選んでいるが現状復旧検討</t>
    <rPh sb="0" eb="2">
      <t>ヨクシツ</t>
    </rPh>
    <rPh sb="2" eb="4">
      <t>ユカシタ</t>
    </rPh>
    <rPh sb="4" eb="6">
      <t>キゾン</t>
    </rPh>
    <rPh sb="6" eb="7">
      <t>カン</t>
    </rPh>
    <rPh sb="7" eb="9">
      <t>セツゾク</t>
    </rPh>
    <rPh sb="10" eb="12">
      <t>ゲンカン</t>
    </rPh>
    <rPh sb="12" eb="14">
      <t>モノイレ</t>
    </rPh>
    <rPh sb="14" eb="16">
      <t>カグ</t>
    </rPh>
    <rPh sb="16" eb="18">
      <t>カイコウ</t>
    </rPh>
    <rPh sb="18" eb="20">
      <t>ヒツヨウ</t>
    </rPh>
    <rPh sb="21" eb="23">
      <t>センメン</t>
    </rPh>
    <rPh sb="23" eb="24">
      <t>ジョ</t>
    </rPh>
    <rPh sb="27" eb="28">
      <t>ユカ</t>
    </rPh>
    <rPh sb="37" eb="38">
      <t>エラ</t>
    </rPh>
    <rPh sb="43" eb="45">
      <t>ゲンジョウ</t>
    </rPh>
    <rPh sb="45" eb="47">
      <t>フッキュウ</t>
    </rPh>
    <rPh sb="47" eb="49">
      <t>ケントウ</t>
    </rPh>
    <phoneticPr fontId="1"/>
  </si>
  <si>
    <t>竹内 尚子</t>
    <rPh sb="0" eb="2">
      <t>タケウチ</t>
    </rPh>
    <rPh sb="3" eb="5">
      <t>ナオコ</t>
    </rPh>
    <phoneticPr fontId="1"/>
  </si>
  <si>
    <t>070-8371-1932</t>
    <phoneticPr fontId="1"/>
  </si>
  <si>
    <t>所有</t>
    <rPh sb="0" eb="2">
      <t>ショユウ</t>
    </rPh>
    <phoneticPr fontId="1"/>
  </si>
  <si>
    <t>未更新</t>
    <rPh sb="0" eb="3">
      <t>ミコウシン</t>
    </rPh>
    <phoneticPr fontId="1"/>
  </si>
  <si>
    <t>日立</t>
    <rPh sb="0" eb="2">
      <t>ヒタチ</t>
    </rPh>
    <phoneticPr fontId="1"/>
  </si>
  <si>
    <t>不可</t>
    <rPh sb="0" eb="2">
      <t>フカ</t>
    </rPh>
    <phoneticPr fontId="1"/>
  </si>
  <si>
    <t>システム</t>
    <phoneticPr fontId="1"/>
  </si>
  <si>
    <t>無</t>
    <rPh sb="0" eb="1">
      <t>ナ</t>
    </rPh>
    <phoneticPr fontId="1"/>
  </si>
  <si>
    <t>給湯管更新済み→全更新希望　ｴﾌﾟﾛﾝ内点検口あり　ﾄｲﾚ止水栓Ｄ式ｱﾝｸﾞﾙ　洗濯パン洗面台によせる</t>
    <rPh sb="0" eb="3">
      <t>キュウトウカン</t>
    </rPh>
    <rPh sb="3" eb="6">
      <t>コウシンズ</t>
    </rPh>
    <rPh sb="8" eb="13">
      <t>ゼンコウシンキボウ</t>
    </rPh>
    <rPh sb="19" eb="20">
      <t>ナイ</t>
    </rPh>
    <rPh sb="20" eb="23">
      <t>テンケンコウ</t>
    </rPh>
    <rPh sb="29" eb="32">
      <t>シスイセン</t>
    </rPh>
    <rPh sb="33" eb="34">
      <t>シキ</t>
    </rPh>
    <rPh sb="40" eb="42">
      <t>センタク</t>
    </rPh>
    <rPh sb="44" eb="47">
      <t>センメンダイ</t>
    </rPh>
    <phoneticPr fontId="1"/>
  </si>
  <si>
    <t>仁田 修治</t>
    <rPh sb="0" eb="1">
      <t>ジン</t>
    </rPh>
    <rPh sb="1" eb="2">
      <t>タ</t>
    </rPh>
    <rPh sb="3" eb="5">
      <t>シュウジ</t>
    </rPh>
    <phoneticPr fontId="1"/>
  </si>
  <si>
    <t>048-686-0360</t>
    <phoneticPr fontId="1"/>
  </si>
  <si>
    <t>WZV1117・158304</t>
    <phoneticPr fontId="1"/>
  </si>
  <si>
    <t>給湯管追い焚き管更新済み→給湯管全更新希望　ひな段　ｴﾌﾟﾛﾝ内点検口ありｺｰｷﾝｸﾞ打ち　洗面所壁点検口設置ありｺｰｷﾝｸﾞ打ち　洗濯パン洗面台側に寄せるスペース無し</t>
    <rPh sb="0" eb="3">
      <t>キュウトウカン</t>
    </rPh>
    <rPh sb="3" eb="4">
      <t>オ</t>
    </rPh>
    <rPh sb="5" eb="6">
      <t>ダ</t>
    </rPh>
    <rPh sb="7" eb="8">
      <t>カン</t>
    </rPh>
    <rPh sb="8" eb="11">
      <t>コウシンズ</t>
    </rPh>
    <rPh sb="13" eb="16">
      <t>キュウトウカン</t>
    </rPh>
    <rPh sb="16" eb="21">
      <t>ゼンコウシンキボウ</t>
    </rPh>
    <rPh sb="24" eb="25">
      <t>ダン</t>
    </rPh>
    <rPh sb="31" eb="32">
      <t>ナイ</t>
    </rPh>
    <rPh sb="32" eb="35">
      <t>テンケンコウ</t>
    </rPh>
    <rPh sb="43" eb="44">
      <t>ウ</t>
    </rPh>
    <rPh sb="46" eb="50">
      <t>センメンジョカベ</t>
    </rPh>
    <rPh sb="50" eb="53">
      <t>テンケンコウ</t>
    </rPh>
    <rPh sb="53" eb="55">
      <t>セッチ</t>
    </rPh>
    <rPh sb="63" eb="64">
      <t>ウ</t>
    </rPh>
    <rPh sb="66" eb="68">
      <t>センタク</t>
    </rPh>
    <rPh sb="70" eb="74">
      <t>センメンダイガワ</t>
    </rPh>
    <rPh sb="75" eb="76">
      <t>ヨ</t>
    </rPh>
    <rPh sb="82" eb="83">
      <t>ナ</t>
    </rPh>
    <phoneticPr fontId="1"/>
  </si>
  <si>
    <t>髙橋 豊</t>
    <rPh sb="0" eb="2">
      <t>タカハシ</t>
    </rPh>
    <rPh sb="3" eb="4">
      <t>ユタカ</t>
    </rPh>
    <phoneticPr fontId="1"/>
  </si>
  <si>
    <t>048-686-7867</t>
    <phoneticPr fontId="1"/>
  </si>
  <si>
    <t>WZV1117・170716</t>
    <phoneticPr fontId="1"/>
  </si>
  <si>
    <t>浴室内部材接続　ひな段　ﾄｲﾚ止水栓Ｄ式ｱﾝｸﾞﾙ</t>
    <rPh sb="0" eb="2">
      <t>ヨクシツ</t>
    </rPh>
    <rPh sb="2" eb="5">
      <t>ナイブザイ</t>
    </rPh>
    <rPh sb="5" eb="7">
      <t>セツゾク</t>
    </rPh>
    <rPh sb="10" eb="11">
      <t>ダン</t>
    </rPh>
    <rPh sb="15" eb="18">
      <t>シスイセン</t>
    </rPh>
    <rPh sb="19" eb="20">
      <t>シキ</t>
    </rPh>
    <phoneticPr fontId="1"/>
  </si>
  <si>
    <t>三谷 修司</t>
    <rPh sb="0" eb="2">
      <t>ミタニ</t>
    </rPh>
    <rPh sb="3" eb="5">
      <t>シュウジ</t>
    </rPh>
    <phoneticPr fontId="1"/>
  </si>
  <si>
    <t>090-4937-2320</t>
    <phoneticPr fontId="1"/>
  </si>
  <si>
    <t>W80860201・794682A
BKW-1116LBF</t>
    <phoneticPr fontId="1"/>
  </si>
  <si>
    <t>浴室内部材接続　洗面所ふかし壁点検口２つ　給湯管、追い焚き管更新済み→給湯管全更新希望　玄関物入底板CF→ベニヤでOK　ひな段　給水付き洗濯パンに交換検討してもらう</t>
    <rPh sb="0" eb="2">
      <t>ヨクシツ</t>
    </rPh>
    <rPh sb="2" eb="7">
      <t>ナイブザイセツゾク</t>
    </rPh>
    <rPh sb="8" eb="11">
      <t>センメンジョ</t>
    </rPh>
    <rPh sb="14" eb="15">
      <t>カベ</t>
    </rPh>
    <rPh sb="15" eb="18">
      <t>テンケンコウ</t>
    </rPh>
    <rPh sb="21" eb="24">
      <t>キュウトウカン</t>
    </rPh>
    <rPh sb="25" eb="26">
      <t>オ</t>
    </rPh>
    <rPh sb="27" eb="28">
      <t>ダ</t>
    </rPh>
    <rPh sb="29" eb="33">
      <t>カンコウシンズ</t>
    </rPh>
    <rPh sb="34" eb="43">
      <t>ミギキュウトウカンゼンコウシンキボウ</t>
    </rPh>
    <rPh sb="44" eb="48">
      <t>ゲンカンモノイレ</t>
    </rPh>
    <rPh sb="48" eb="50">
      <t>ソコイタ</t>
    </rPh>
    <rPh sb="62" eb="63">
      <t>ダン</t>
    </rPh>
    <rPh sb="64" eb="67">
      <t>キュウスイツ</t>
    </rPh>
    <rPh sb="68" eb="70">
      <t>センタク</t>
    </rPh>
    <rPh sb="73" eb="75">
      <t>コウカン</t>
    </rPh>
    <rPh sb="75" eb="77">
      <t>ケントウ</t>
    </rPh>
    <phoneticPr fontId="1"/>
  </si>
  <si>
    <t>髙橋 良一</t>
    <rPh sb="0" eb="2">
      <t>タカハシ</t>
    </rPh>
    <rPh sb="3" eb="5">
      <t>リョウイチ</t>
    </rPh>
    <phoneticPr fontId="1"/>
  </si>
  <si>
    <t>090-4021-0292</t>
    <phoneticPr fontId="1"/>
  </si>
  <si>
    <t>コルクタイル</t>
    <phoneticPr fontId="1"/>
  </si>
  <si>
    <t>WZV1117・141729</t>
    <phoneticPr fontId="1"/>
  </si>
  <si>
    <t>浴室洗面所壁点検口設置or既存管接続　ﾄｲﾚ止水栓Ｄ式ｱﾝｸﾞﾙ　ひな段　</t>
    <rPh sb="0" eb="2">
      <t>ヨクシツ</t>
    </rPh>
    <rPh sb="2" eb="6">
      <t>センメンジョカベ</t>
    </rPh>
    <rPh sb="6" eb="11">
      <t>テンケンコウセッチ</t>
    </rPh>
    <rPh sb="13" eb="15">
      <t>キゾン</t>
    </rPh>
    <rPh sb="15" eb="18">
      <t>カンセツゾク</t>
    </rPh>
    <rPh sb="22" eb="25">
      <t>シスイセン</t>
    </rPh>
    <rPh sb="26" eb="27">
      <t>シキ</t>
    </rPh>
    <rPh sb="35" eb="36">
      <t>ダン</t>
    </rPh>
    <phoneticPr fontId="1"/>
  </si>
  <si>
    <t>清松 道明</t>
    <rPh sb="0" eb="2">
      <t>キヨマツ</t>
    </rPh>
    <rPh sb="3" eb="5">
      <t>ミチアキ</t>
    </rPh>
    <phoneticPr fontId="1"/>
  </si>
  <si>
    <t>048-686-2185</t>
    <phoneticPr fontId="1"/>
  </si>
  <si>
    <t>浴室デッキタイプ　洗面所壁点検口設置　底板SUS→ポリ復旧　洗濯パン洗面台にずらす　洗面台、台所蛇口交換検討　</t>
    <rPh sb="0" eb="2">
      <t>ヨクシツ</t>
    </rPh>
    <rPh sb="9" eb="18">
      <t>センメンジョカベテンケンコウセッチ</t>
    </rPh>
    <rPh sb="19" eb="21">
      <t>ソコイタ</t>
    </rPh>
    <rPh sb="24" eb="29">
      <t>ヤジルシポリフッキュウ</t>
    </rPh>
    <rPh sb="30" eb="32">
      <t>センタク</t>
    </rPh>
    <rPh sb="34" eb="37">
      <t>センメンダイ</t>
    </rPh>
    <rPh sb="42" eb="45">
      <t>センメンダイ</t>
    </rPh>
    <rPh sb="46" eb="48">
      <t>ダイドコロ</t>
    </rPh>
    <rPh sb="48" eb="50">
      <t>ジャグチ</t>
    </rPh>
    <rPh sb="50" eb="52">
      <t>コウカン</t>
    </rPh>
    <rPh sb="52" eb="54">
      <t>ケントウ</t>
    </rPh>
    <phoneticPr fontId="1"/>
  </si>
  <si>
    <t>吉野 礼子</t>
    <rPh sb="0" eb="2">
      <t>ヨシノ</t>
    </rPh>
    <rPh sb="3" eb="5">
      <t>レイコ</t>
    </rPh>
    <phoneticPr fontId="1"/>
  </si>
  <si>
    <t>090-9313-1127</t>
    <phoneticPr fontId="1"/>
  </si>
  <si>
    <t>浴室デッキタイプ　洗面所壁点検口設置する　ﾄｲﾚ止水栓ｽﾄﾚｰﾅｰ付　ひな段既存壁だし　</t>
    <rPh sb="0" eb="2">
      <t>ヨクシツ</t>
    </rPh>
    <rPh sb="9" eb="18">
      <t>センメンジョカベテンケンコウセッチ</t>
    </rPh>
    <rPh sb="24" eb="27">
      <t>シスイセン</t>
    </rPh>
    <rPh sb="33" eb="34">
      <t>ツキ</t>
    </rPh>
    <rPh sb="37" eb="38">
      <t>ダン</t>
    </rPh>
    <rPh sb="38" eb="40">
      <t>キゾン</t>
    </rPh>
    <rPh sb="40" eb="41">
      <t>カベ</t>
    </rPh>
    <phoneticPr fontId="1"/>
  </si>
  <si>
    <t>三井 重孝</t>
    <rPh sb="0" eb="2">
      <t>ミツイ</t>
    </rPh>
    <rPh sb="3" eb="5">
      <t>シゲタカ</t>
    </rPh>
    <phoneticPr fontId="1"/>
  </si>
  <si>
    <t>048-686-4613
080-9023-3210</t>
    <phoneticPr fontId="1"/>
  </si>
  <si>
    <t>浴室デッキタイプ　洗面所壁点検口設置する　バスヒーター使えなくしている　腰と膝が悪い</t>
    <rPh sb="0" eb="2">
      <t>ヨクシツ</t>
    </rPh>
    <rPh sb="9" eb="18">
      <t>センメンジョカベテンケンコウセッチ</t>
    </rPh>
    <rPh sb="27" eb="28">
      <t>ツカ</t>
    </rPh>
    <rPh sb="36" eb="37">
      <t>コシ</t>
    </rPh>
    <rPh sb="38" eb="39">
      <t>ヒザ</t>
    </rPh>
    <rPh sb="40" eb="41">
      <t>ワル</t>
    </rPh>
    <phoneticPr fontId="1"/>
  </si>
  <si>
    <t>岩嵜 公一</t>
    <rPh sb="0" eb="2">
      <t>イワサキ</t>
    </rPh>
    <rPh sb="3" eb="5">
      <t>コウイチ</t>
    </rPh>
    <phoneticPr fontId="1"/>
  </si>
  <si>
    <t>048-686-4614</t>
    <phoneticPr fontId="1"/>
  </si>
  <si>
    <t>浴室ｴﾌﾟﾛﾝ内点検口設置する　ひな段既存壁だし　洗濯パン洗面台によせる　ﾄｲﾚ止水栓ｽﾄﾚｰﾅｰ付</t>
    <rPh sb="0" eb="2">
      <t>ヨクシツ</t>
    </rPh>
    <rPh sb="7" eb="10">
      <t>テンケンコウ</t>
    </rPh>
    <rPh sb="10" eb="13">
      <t>セッチ</t>
    </rPh>
    <rPh sb="18" eb="22">
      <t>ダンキゾンカベ</t>
    </rPh>
    <rPh sb="25" eb="27">
      <t>センタク</t>
    </rPh>
    <rPh sb="29" eb="32">
      <t>センメンダイ</t>
    </rPh>
    <rPh sb="40" eb="43">
      <t>シスイセン</t>
    </rPh>
    <rPh sb="49" eb="50">
      <t>ツキ</t>
    </rPh>
    <phoneticPr fontId="1"/>
  </si>
  <si>
    <t>内山 正已</t>
    <rPh sb="0" eb="2">
      <t>ウチヤマ</t>
    </rPh>
    <rPh sb="3" eb="5">
      <t>マサキ</t>
    </rPh>
    <phoneticPr fontId="1"/>
  </si>
  <si>
    <t>048-686-4664</t>
    <phoneticPr fontId="1"/>
  </si>
  <si>
    <t>JZV1117・137615</t>
    <phoneticPr fontId="1"/>
  </si>
  <si>
    <t>洗面所壁点検口設置する　給湯器一部分だけ給湯更新されているが床下は未更新のまま　ひな段　　</t>
    <rPh sb="0" eb="9">
      <t>センメンジョカベテンケンコウセッチ</t>
    </rPh>
    <rPh sb="12" eb="15">
      <t>キュウトウキ</t>
    </rPh>
    <rPh sb="15" eb="18">
      <t>イチブブン</t>
    </rPh>
    <rPh sb="20" eb="22">
      <t>キュウトウ</t>
    </rPh>
    <rPh sb="22" eb="24">
      <t>コウシン</t>
    </rPh>
    <rPh sb="30" eb="32">
      <t>ユカシタ</t>
    </rPh>
    <rPh sb="33" eb="36">
      <t>ミコウシン</t>
    </rPh>
    <rPh sb="42" eb="43">
      <t>ダン</t>
    </rPh>
    <phoneticPr fontId="1"/>
  </si>
  <si>
    <t>安達 徹</t>
    <rPh sb="0" eb="2">
      <t>アダチ</t>
    </rPh>
    <rPh sb="3" eb="4">
      <t>トオル</t>
    </rPh>
    <phoneticPr fontId="1"/>
  </si>
  <si>
    <t>048-683-2019
080-5017-0258</t>
    <phoneticPr fontId="1"/>
  </si>
  <si>
    <t>WBV1117JN・1587JY</t>
    <phoneticPr fontId="1"/>
  </si>
  <si>
    <t>浴室既存管接続orﾄｲﾚ側より施工　底板SUS→ポリ復旧　洗濯パン洗面台にずらす</t>
    <rPh sb="0" eb="2">
      <t>ヨクシツ</t>
    </rPh>
    <rPh sb="2" eb="7">
      <t>キゾンカンセツゾク</t>
    </rPh>
    <rPh sb="12" eb="13">
      <t>ガワ</t>
    </rPh>
    <rPh sb="15" eb="17">
      <t>セコウ</t>
    </rPh>
    <rPh sb="18" eb="20">
      <t>ソコイタ</t>
    </rPh>
    <rPh sb="23" eb="28">
      <t>ヤジルシポリフッキュウ</t>
    </rPh>
    <rPh sb="29" eb="31">
      <t>センタク</t>
    </rPh>
    <rPh sb="33" eb="36">
      <t>センメンダイ</t>
    </rPh>
    <phoneticPr fontId="1"/>
  </si>
  <si>
    <t>石坂 欣也</t>
    <rPh sb="0" eb="2">
      <t>イシザカ</t>
    </rPh>
    <rPh sb="3" eb="5">
      <t>キンヤ</t>
    </rPh>
    <phoneticPr fontId="1"/>
  </si>
  <si>
    <t>048-685-9416</t>
    <phoneticPr fontId="1"/>
  </si>
  <si>
    <t>750+320</t>
    <phoneticPr fontId="1"/>
  </si>
  <si>
    <t>W80030308・821893B
BYU-1216LBSHU</t>
    <phoneticPr fontId="1"/>
  </si>
  <si>
    <t>浴室水栓２つ、洗面所壁点検口設置する　ﾄｲﾚ床嵩上げ　旧給湯器設置個所に洗面所棚→外す　ひな段既存壁だし　</t>
    <rPh sb="0" eb="2">
      <t>ヨクシツ</t>
    </rPh>
    <rPh sb="2" eb="4">
      <t>スイセン</t>
    </rPh>
    <rPh sb="7" eb="11">
      <t>センメンジョカベ</t>
    </rPh>
    <rPh sb="11" eb="16">
      <t>テンケンコウセッチ</t>
    </rPh>
    <rPh sb="22" eb="23">
      <t>ユカ</t>
    </rPh>
    <rPh sb="23" eb="25">
      <t>カサア</t>
    </rPh>
    <rPh sb="27" eb="28">
      <t>キュウ</t>
    </rPh>
    <rPh sb="28" eb="31">
      <t>キュウトウキ</t>
    </rPh>
    <rPh sb="31" eb="35">
      <t>セッチカショ</t>
    </rPh>
    <rPh sb="36" eb="40">
      <t>センメンジョタナ</t>
    </rPh>
    <rPh sb="41" eb="42">
      <t>ハズ</t>
    </rPh>
    <rPh sb="46" eb="50">
      <t>ダンキゾンカベ</t>
    </rPh>
    <phoneticPr fontId="1"/>
  </si>
  <si>
    <t>飯田 秀美</t>
    <rPh sb="0" eb="2">
      <t>イイダ</t>
    </rPh>
    <rPh sb="3" eb="5">
      <t>ヒデミ</t>
    </rPh>
    <phoneticPr fontId="1"/>
  </si>
  <si>
    <t>048-685-5817</t>
    <phoneticPr fontId="1"/>
  </si>
  <si>
    <t>WRV1117・157T1R</t>
    <phoneticPr fontId="1"/>
  </si>
  <si>
    <t>浴室ｴﾌﾟﾛﾝ内部材接続　ﾄｲﾚ止水栓Ｄ式ｱﾝｸﾞﾙ　ﾎﾟｰﾀﾌﾞﾙﾄｲﾚ+凝固剤セット希望　　旧給湯器設置個所に造作カバーあり→外せる</t>
    <rPh sb="0" eb="2">
      <t>ヨクシツ</t>
    </rPh>
    <rPh sb="7" eb="12">
      <t>ナイブザイセツゾク</t>
    </rPh>
    <rPh sb="16" eb="19">
      <t>シスイセン</t>
    </rPh>
    <rPh sb="20" eb="21">
      <t>シキ</t>
    </rPh>
    <rPh sb="38" eb="41">
      <t>ギョウコザイ</t>
    </rPh>
    <rPh sb="44" eb="46">
      <t>キボウ</t>
    </rPh>
    <rPh sb="48" eb="49">
      <t>キュウ</t>
    </rPh>
    <rPh sb="49" eb="52">
      <t>キュウトウキ</t>
    </rPh>
    <rPh sb="52" eb="56">
      <t>セッチカショ</t>
    </rPh>
    <rPh sb="57" eb="59">
      <t>ゾウサク</t>
    </rPh>
    <rPh sb="65" eb="66">
      <t>ハズ</t>
    </rPh>
    <phoneticPr fontId="1"/>
  </si>
  <si>
    <t>井上 豊</t>
    <rPh sb="0" eb="2">
      <t>イノウエ</t>
    </rPh>
    <rPh sb="3" eb="4">
      <t>ユタカ</t>
    </rPh>
    <phoneticPr fontId="1"/>
  </si>
  <si>
    <t>090-1660-5278</t>
    <phoneticPr fontId="1"/>
  </si>
  <si>
    <t>WRV1117UD・167KYJ</t>
    <phoneticPr fontId="1"/>
  </si>
  <si>
    <t>浴室鏡裏開口、浴室ｶｳﾝﾀｰに水栓ついていてｶｳﾝﾀｰ内で直接壁に給水持っていく　洗濯パン洗面台にずらす　底板SUS→ポリ復旧　ﾄｲﾚ止水栓Ｄ式ｱﾝｸﾞﾙ　追い焚き管見える範囲では更新ざれている</t>
    <rPh sb="0" eb="2">
      <t>ヨクシツ</t>
    </rPh>
    <rPh sb="2" eb="6">
      <t>カガミウラカイコウ</t>
    </rPh>
    <rPh sb="7" eb="9">
      <t>ヨクシツ</t>
    </rPh>
    <rPh sb="15" eb="17">
      <t>スイセン</t>
    </rPh>
    <rPh sb="27" eb="28">
      <t>ナイ</t>
    </rPh>
    <rPh sb="29" eb="32">
      <t>チョクセツカベ</t>
    </rPh>
    <rPh sb="33" eb="36">
      <t>キュウスイモ</t>
    </rPh>
    <rPh sb="41" eb="43">
      <t>センタク</t>
    </rPh>
    <rPh sb="45" eb="48">
      <t>センメンダイ</t>
    </rPh>
    <rPh sb="53" eb="55">
      <t>ソコイタ</t>
    </rPh>
    <rPh sb="58" eb="63">
      <t>ヤジルシポリフッキュウ</t>
    </rPh>
    <rPh sb="67" eb="70">
      <t>シスイセン</t>
    </rPh>
    <rPh sb="71" eb="72">
      <t>シキ</t>
    </rPh>
    <rPh sb="78" eb="79">
      <t>オ</t>
    </rPh>
    <rPh sb="80" eb="81">
      <t>ダ</t>
    </rPh>
    <rPh sb="82" eb="84">
      <t>カンミ</t>
    </rPh>
    <rPh sb="86" eb="88">
      <t>ハンイ</t>
    </rPh>
    <rPh sb="90" eb="92">
      <t>コウシン</t>
    </rPh>
    <phoneticPr fontId="1"/>
  </si>
  <si>
    <t>鯉沼 洋樹</t>
    <rPh sb="0" eb="2">
      <t>コイヌマ</t>
    </rPh>
    <rPh sb="3" eb="4">
      <t>ヒロシ</t>
    </rPh>
    <rPh sb="4" eb="5">
      <t>キ</t>
    </rPh>
    <phoneticPr fontId="1"/>
  </si>
  <si>
    <t>048-795-4124
070-3320-2754</t>
    <phoneticPr fontId="1"/>
  </si>
  <si>
    <t>浴室デッキタイプ洗面所壁点検口設置する　給湯器下造作カバー付き　ﾄｲﾚ止水栓Ｄ式ｱﾝｸﾞﾙ　ひな段給水給湯管背板裏隠ぺい点検口再使用　隠蔽配管希望和室と玄関廊下の作業あり、玄関物入の作業無し　洗濯パン洗面台びずらす　玄関床下のガス管の状況を確認してほしい　15号棟に息子住んでいる</t>
    <rPh sb="0" eb="2">
      <t>ヨクシツ</t>
    </rPh>
    <rPh sb="8" eb="17">
      <t>センメンジョカベテンケンコウセッチ</t>
    </rPh>
    <rPh sb="20" eb="24">
      <t>キュウトウキシタ</t>
    </rPh>
    <rPh sb="24" eb="26">
      <t>ゾウサク</t>
    </rPh>
    <rPh sb="29" eb="30">
      <t>ツ</t>
    </rPh>
    <rPh sb="35" eb="38">
      <t>シスイセン</t>
    </rPh>
    <rPh sb="39" eb="40">
      <t>シキ</t>
    </rPh>
    <rPh sb="48" eb="49">
      <t>ダン</t>
    </rPh>
    <rPh sb="49" eb="53">
      <t>キュウスイキュウトウ</t>
    </rPh>
    <rPh sb="53" eb="54">
      <t>カン</t>
    </rPh>
    <rPh sb="54" eb="58">
      <t>セイタウライン</t>
    </rPh>
    <rPh sb="60" eb="63">
      <t>テンケンコウ</t>
    </rPh>
    <rPh sb="63" eb="66">
      <t>サイシヨウ</t>
    </rPh>
    <rPh sb="67" eb="73">
      <t>インペイハイカンキボウ</t>
    </rPh>
    <rPh sb="73" eb="75">
      <t>ワシツ</t>
    </rPh>
    <rPh sb="76" eb="80">
      <t>ゲンカンロウカ</t>
    </rPh>
    <phoneticPr fontId="1"/>
  </si>
  <si>
    <t>本田 中</t>
    <rPh sb="0" eb="2">
      <t>ホンダ</t>
    </rPh>
    <rPh sb="3" eb="4">
      <t>ナカ</t>
    </rPh>
    <phoneticPr fontId="1"/>
  </si>
  <si>
    <t>048-686-4663</t>
    <phoneticPr fontId="1"/>
  </si>
  <si>
    <t>WRV1117・154RLN</t>
    <phoneticPr fontId="1"/>
  </si>
  <si>
    <t>浴室内部材接続　ﾄｲﾚ止水栓ｽﾄﾚｰﾅｰ付　給湯器下造作カバー付きモール立ち上げスペース無し→給水付き洗濯パン勧めたら検討するとのこと　洗面台UB交換希望、洗面所壁全面２番貼替希望　ひな段</t>
    <rPh sb="0" eb="2">
      <t>ヨクシツ</t>
    </rPh>
    <rPh sb="2" eb="7">
      <t>ナイブザイセツゾク</t>
    </rPh>
    <rPh sb="11" eb="14">
      <t>シスイセン</t>
    </rPh>
    <rPh sb="20" eb="21">
      <t>ツキ</t>
    </rPh>
    <rPh sb="22" eb="25">
      <t>キュウトウキ</t>
    </rPh>
    <rPh sb="25" eb="26">
      <t>シタ</t>
    </rPh>
    <rPh sb="26" eb="28">
      <t>ゾウサク</t>
    </rPh>
    <rPh sb="31" eb="32">
      <t>ツ</t>
    </rPh>
    <rPh sb="36" eb="37">
      <t>タ</t>
    </rPh>
    <rPh sb="38" eb="39">
      <t>ア</t>
    </rPh>
    <rPh sb="44" eb="45">
      <t>ナ</t>
    </rPh>
    <rPh sb="47" eb="50">
      <t>キュウスイツ</t>
    </rPh>
    <rPh sb="51" eb="53">
      <t>センタク</t>
    </rPh>
    <rPh sb="55" eb="56">
      <t>スス</t>
    </rPh>
    <rPh sb="59" eb="61">
      <t>ケントウ</t>
    </rPh>
    <rPh sb="68" eb="71">
      <t>センメンダイ</t>
    </rPh>
    <rPh sb="73" eb="77">
      <t>コウカンキボウ</t>
    </rPh>
    <rPh sb="78" eb="82">
      <t>センメンジョカベ</t>
    </rPh>
    <rPh sb="82" eb="84">
      <t>ゼンメン</t>
    </rPh>
    <rPh sb="85" eb="88">
      <t>バンハリカエ</t>
    </rPh>
    <rPh sb="88" eb="90">
      <t>キボウ</t>
    </rPh>
    <rPh sb="93" eb="94">
      <t>ダン</t>
    </rPh>
    <phoneticPr fontId="1"/>
  </si>
  <si>
    <t>杉本 久司</t>
    <rPh sb="0" eb="2">
      <t>スギモト</t>
    </rPh>
    <rPh sb="3" eb="4">
      <t>キュウ</t>
    </rPh>
    <rPh sb="4" eb="5">
      <t>ツカサ</t>
    </rPh>
    <phoneticPr fontId="1"/>
  </si>
  <si>
    <t>048-686-4687
080-3009-3407</t>
    <phoneticPr fontId="1"/>
  </si>
  <si>
    <t>浴室ｴﾌﾟﾛﾝ内点検口設置　底板SUS→ポリ復旧</t>
    <rPh sb="0" eb="2">
      <t>ヨクシツ</t>
    </rPh>
    <rPh sb="7" eb="8">
      <t>ナイ</t>
    </rPh>
    <rPh sb="8" eb="11">
      <t>テンケンコウ</t>
    </rPh>
    <rPh sb="11" eb="13">
      <t>セッチ</t>
    </rPh>
    <rPh sb="14" eb="16">
      <t>ソコイタ</t>
    </rPh>
    <rPh sb="19" eb="24">
      <t>ヤジルシポリフッキュウ</t>
    </rPh>
    <phoneticPr fontId="1"/>
  </si>
  <si>
    <t>清野 八重子</t>
    <rPh sb="0" eb="2">
      <t>キヨノ</t>
    </rPh>
    <rPh sb="3" eb="6">
      <t>ヤエコ</t>
    </rPh>
    <phoneticPr fontId="1"/>
  </si>
  <si>
    <t>048-686-4688</t>
    <phoneticPr fontId="1"/>
  </si>
  <si>
    <t>浴室デッキタイプ　洗面所壁に点検口設置する　ひな段　ﾄｲﾚ止水栓Ｄ式ｱﾝｸﾞﾙ</t>
    <rPh sb="0" eb="2">
      <t>ヨクシツ</t>
    </rPh>
    <rPh sb="9" eb="13">
      <t>センメンジョカベ</t>
    </rPh>
    <rPh sb="14" eb="19">
      <t>テンケンコウセッチ</t>
    </rPh>
    <rPh sb="24" eb="25">
      <t>ダン</t>
    </rPh>
    <rPh sb="29" eb="32">
      <t>シスイセン</t>
    </rPh>
    <rPh sb="33" eb="34">
      <t>シキ</t>
    </rPh>
    <phoneticPr fontId="1"/>
  </si>
  <si>
    <t>庭林 よしゑ</t>
    <rPh sb="0" eb="1">
      <t>ニワ</t>
    </rPh>
    <rPh sb="1" eb="2">
      <t>ハヤシ</t>
    </rPh>
    <phoneticPr fontId="1"/>
  </si>
  <si>
    <t>090-1888-1488</t>
    <phoneticPr fontId="1"/>
  </si>
  <si>
    <t>浴室ｴﾌﾟﾛﾝ内点検口設置　底板SUS→ポリ復旧　洗濯パン洗面台にずらす</t>
    <rPh sb="0" eb="2">
      <t>ヨクシツ</t>
    </rPh>
    <rPh sb="7" eb="8">
      <t>ナイ</t>
    </rPh>
    <rPh sb="8" eb="13">
      <t>テンケンコウセッチ</t>
    </rPh>
    <rPh sb="14" eb="16">
      <t>ソコイタ</t>
    </rPh>
    <rPh sb="19" eb="24">
      <t>ヤジルシポリフッキュウ</t>
    </rPh>
    <rPh sb="25" eb="27">
      <t>センタク</t>
    </rPh>
    <rPh sb="29" eb="32">
      <t>センメンダイ</t>
    </rPh>
    <phoneticPr fontId="1"/>
  </si>
  <si>
    <t>川村 麻紀</t>
    <rPh sb="0" eb="2">
      <t>カワムラ</t>
    </rPh>
    <rPh sb="3" eb="5">
      <t>マキ</t>
    </rPh>
    <phoneticPr fontId="1"/>
  </si>
  <si>
    <t>090-2656-0296</t>
    <phoneticPr fontId="1"/>
  </si>
  <si>
    <t>タカラスタンダード</t>
    <phoneticPr fontId="1"/>
  </si>
  <si>
    <t>リラクシア</t>
    <phoneticPr fontId="1"/>
  </si>
  <si>
    <t>浴室鏡裏開口→ホーローな為既存管接続検討　洗面所床点検口あり　ひな段</t>
    <rPh sb="0" eb="2">
      <t>ヨクシツ</t>
    </rPh>
    <rPh sb="2" eb="6">
      <t>カガミウラカイコウ</t>
    </rPh>
    <rPh sb="12" eb="13">
      <t>タメ</t>
    </rPh>
    <rPh sb="13" eb="18">
      <t>キゾンカンセツゾク</t>
    </rPh>
    <rPh sb="18" eb="20">
      <t>ケントウ</t>
    </rPh>
    <rPh sb="21" eb="24">
      <t>センメンジョ</t>
    </rPh>
    <rPh sb="24" eb="25">
      <t>ユカ</t>
    </rPh>
    <rPh sb="25" eb="28">
      <t>テンケンコウ</t>
    </rPh>
    <rPh sb="33" eb="34">
      <t>ダン</t>
    </rPh>
    <phoneticPr fontId="1"/>
  </si>
  <si>
    <t>津田 章子</t>
    <rPh sb="0" eb="2">
      <t>ツダ</t>
    </rPh>
    <rPh sb="3" eb="5">
      <t>アキコ</t>
    </rPh>
    <phoneticPr fontId="1"/>
  </si>
  <si>
    <t>048-688-0157</t>
    <phoneticPr fontId="1"/>
  </si>
  <si>
    <t>740+600ｷｬﾋﾞ</t>
    <phoneticPr fontId="1"/>
  </si>
  <si>
    <t>WZV1117・189252</t>
    <phoneticPr fontId="1"/>
  </si>
  <si>
    <t>ｴﾌﾟﾛﾝ内点検口設置or洗面所壁点検口設置(片方部材接続ではなく洗面所側の壁からつないでいる)　ﾄｲﾚ床嵩上げ、止水栓Ｄ式ｱﾝｸﾞﾙ　ひな段　追い焚き機能を新規で取り付けたい</t>
    <rPh sb="5" eb="6">
      <t>ナイ</t>
    </rPh>
    <rPh sb="6" eb="11">
      <t>テンケンコウセッチ</t>
    </rPh>
    <rPh sb="13" eb="17">
      <t>センメンジョカベ</t>
    </rPh>
    <rPh sb="17" eb="22">
      <t>テンケンコウセッチ</t>
    </rPh>
    <rPh sb="23" eb="25">
      <t>カタホウ</t>
    </rPh>
    <rPh sb="25" eb="27">
      <t>ブザイ</t>
    </rPh>
    <rPh sb="27" eb="29">
      <t>セツゾク</t>
    </rPh>
    <rPh sb="33" eb="37">
      <t>センメンジョガワ</t>
    </rPh>
    <rPh sb="38" eb="39">
      <t>カベ</t>
    </rPh>
    <rPh sb="52" eb="55">
      <t>ユカカサア</t>
    </rPh>
    <rPh sb="57" eb="60">
      <t>シスイセン</t>
    </rPh>
    <rPh sb="61" eb="62">
      <t>シキ</t>
    </rPh>
    <rPh sb="70" eb="71">
      <t>ダン</t>
    </rPh>
    <rPh sb="72" eb="73">
      <t>オ</t>
    </rPh>
    <rPh sb="74" eb="78">
      <t>ダキキノウ</t>
    </rPh>
    <rPh sb="79" eb="81">
      <t>シンキ</t>
    </rPh>
    <rPh sb="82" eb="83">
      <t>ト</t>
    </rPh>
    <rPh sb="84" eb="85">
      <t>ツ</t>
    </rPh>
    <phoneticPr fontId="1"/>
  </si>
  <si>
    <t>金子 則秋</t>
    <rPh sb="0" eb="2">
      <t>カネコ</t>
    </rPh>
    <rPh sb="3" eb="5">
      <t>ノリアキ</t>
    </rPh>
    <phoneticPr fontId="1"/>
  </si>
  <si>
    <t>048-685-7025</t>
    <phoneticPr fontId="1"/>
  </si>
  <si>
    <t>WRV1117US・162PW2</t>
    <phoneticPr fontId="1"/>
  </si>
  <si>
    <t>浴室壁ﾊﾟﾈﾙ開口鏡新規取付　隠蔽配管希望→見積り検討　ﾄｲﾚ止水栓ｽﾄﾚｰﾅｰ付　ひな段　OP給水付き洗濯パン、洗面台、洗面所入口アコーディオンカーテン交換検討</t>
    <rPh sb="0" eb="2">
      <t>ヨクシツ</t>
    </rPh>
    <rPh sb="2" eb="3">
      <t>カベ</t>
    </rPh>
    <rPh sb="7" eb="9">
      <t>カイコウ</t>
    </rPh>
    <rPh sb="9" eb="14">
      <t>カガミシンキトリツケ</t>
    </rPh>
    <rPh sb="16" eb="18">
      <t>ハイカン</t>
    </rPh>
    <rPh sb="18" eb="20">
      <t>キボウ</t>
    </rPh>
    <rPh sb="20" eb="21">
      <t>ヤジルシ</t>
    </rPh>
    <rPh sb="21" eb="24">
      <t>ミツモリ</t>
    </rPh>
    <rPh sb="24" eb="26">
      <t>ケントウ</t>
    </rPh>
    <rPh sb="26" eb="27">
      <t>　</t>
    </rPh>
    <rPh sb="31" eb="34">
      <t>シスイセン</t>
    </rPh>
    <rPh sb="40" eb="41">
      <t>ツキ</t>
    </rPh>
    <rPh sb="44" eb="45">
      <t>ダン</t>
    </rPh>
    <rPh sb="48" eb="51">
      <t>キュウスイツ</t>
    </rPh>
    <rPh sb="52" eb="54">
      <t>センタク</t>
    </rPh>
    <rPh sb="57" eb="60">
      <t>センメンダイ</t>
    </rPh>
    <rPh sb="61" eb="64">
      <t>センメンジョ</t>
    </rPh>
    <rPh sb="64" eb="65">
      <t>イ</t>
    </rPh>
    <rPh sb="65" eb="66">
      <t>グチ</t>
    </rPh>
    <rPh sb="77" eb="79">
      <t>コウカン</t>
    </rPh>
    <rPh sb="79" eb="81">
      <t>ケントウ</t>
    </rPh>
    <phoneticPr fontId="1"/>
  </si>
  <si>
    <t>大瀧 進</t>
    <rPh sb="0" eb="1">
      <t>ダイ</t>
    </rPh>
    <rPh sb="1" eb="2">
      <t>タキ</t>
    </rPh>
    <rPh sb="3" eb="4">
      <t>ススム</t>
    </rPh>
    <phoneticPr fontId="1"/>
  </si>
  <si>
    <t>080-6619-1176</t>
    <phoneticPr fontId="1"/>
  </si>
  <si>
    <t>WBV1117JT・194TEG</t>
    <phoneticPr fontId="1"/>
  </si>
  <si>
    <t>浴室鏡裏開口　ﾄｲﾚ止水栓ｽﾄﾚｰﾅｰ付　ひな段　犬吠える　インターホン鳴らしても出てくるのに時間がかかる</t>
    <rPh sb="0" eb="2">
      <t>ヨクシツ</t>
    </rPh>
    <rPh sb="2" eb="6">
      <t>カガミウラカイコウ</t>
    </rPh>
    <rPh sb="10" eb="13">
      <t>シスイセン</t>
    </rPh>
    <rPh sb="19" eb="20">
      <t>ツキ</t>
    </rPh>
    <rPh sb="23" eb="24">
      <t>ダン</t>
    </rPh>
    <rPh sb="25" eb="26">
      <t>イヌ</t>
    </rPh>
    <rPh sb="26" eb="27">
      <t>ホ</t>
    </rPh>
    <rPh sb="36" eb="37">
      <t>ナ</t>
    </rPh>
    <rPh sb="41" eb="42">
      <t>デ</t>
    </rPh>
    <rPh sb="47" eb="49">
      <t>ジカン</t>
    </rPh>
    <phoneticPr fontId="1"/>
  </si>
  <si>
    <t>米川 日出男</t>
    <rPh sb="0" eb="2">
      <t>ヨネカワ</t>
    </rPh>
    <rPh sb="3" eb="6">
      <t>ヒデオ</t>
    </rPh>
    <phoneticPr fontId="1"/>
  </si>
  <si>
    <t>048-686-4637</t>
    <phoneticPr fontId="1"/>
  </si>
  <si>
    <t>WRV1117・1657D2</t>
    <phoneticPr fontId="1"/>
  </si>
  <si>
    <t>浴室ｴﾌﾟﾛﾝ内部材接続　浴室にジャグジーついているが電気線切っているので使っていない　台所既存ﾄﾗｯﾌﾟ　洗濯モール配管立ち上げスペース微妙、給湯器裏隙間あるが洗面台に寄せる隙間なし　ﾄｲﾚ止水栓Ｄ式ｱﾝｸﾞﾙ</t>
    <rPh sb="0" eb="2">
      <t>ヨクシツ</t>
    </rPh>
    <rPh sb="7" eb="12">
      <t>ナイブザイセツゾク</t>
    </rPh>
    <rPh sb="13" eb="15">
      <t>ヨクシツ</t>
    </rPh>
    <rPh sb="27" eb="29">
      <t>デンキ</t>
    </rPh>
    <rPh sb="29" eb="30">
      <t>セン</t>
    </rPh>
    <rPh sb="30" eb="31">
      <t>キ</t>
    </rPh>
    <rPh sb="37" eb="38">
      <t>ツカ</t>
    </rPh>
    <rPh sb="44" eb="48">
      <t>ダイドコロキゾン</t>
    </rPh>
    <rPh sb="54" eb="56">
      <t>センタク</t>
    </rPh>
    <rPh sb="59" eb="61">
      <t>ハイカン</t>
    </rPh>
    <rPh sb="61" eb="62">
      <t>タ</t>
    </rPh>
    <rPh sb="63" eb="64">
      <t>ア</t>
    </rPh>
    <rPh sb="69" eb="71">
      <t>ビミョウ</t>
    </rPh>
    <rPh sb="72" eb="76">
      <t>キュウトウキウラ</t>
    </rPh>
    <rPh sb="76" eb="78">
      <t>スキマ</t>
    </rPh>
    <rPh sb="81" eb="84">
      <t>センメンダイ</t>
    </rPh>
    <rPh sb="85" eb="86">
      <t>ヨ</t>
    </rPh>
    <rPh sb="88" eb="90">
      <t>スキマ</t>
    </rPh>
    <rPh sb="96" eb="99">
      <t>シスイセン</t>
    </rPh>
    <rPh sb="100" eb="101">
      <t>シキ</t>
    </rPh>
    <phoneticPr fontId="1"/>
  </si>
  <si>
    <t>人進 正枝</t>
    <rPh sb="0" eb="1">
      <t>ヒト</t>
    </rPh>
    <rPh sb="1" eb="2">
      <t>スス</t>
    </rPh>
    <rPh sb="3" eb="5">
      <t>マサエ</t>
    </rPh>
    <phoneticPr fontId="1"/>
  </si>
  <si>
    <t>090-1122-1017</t>
    <phoneticPr fontId="1"/>
  </si>
  <si>
    <t>松下電工</t>
    <rPh sb="0" eb="2">
      <t>マツシタ</t>
    </rPh>
    <rPh sb="2" eb="4">
      <t>デンコウ</t>
    </rPh>
    <phoneticPr fontId="1"/>
  </si>
  <si>
    <t>浴槽点検口より作業可能　台所既存ﾄﾗｯﾌﾟ　TES仕様中　トイレ床シート貼ってある巾木の塗装剥がれるかもと説明済み　</t>
    <rPh sb="0" eb="2">
      <t>ヨクソウ</t>
    </rPh>
    <rPh sb="2" eb="5">
      <t>テンケンコウ</t>
    </rPh>
    <rPh sb="7" eb="9">
      <t>サギョウ</t>
    </rPh>
    <rPh sb="9" eb="11">
      <t>カノウ</t>
    </rPh>
    <rPh sb="12" eb="16">
      <t>ダイドコロキゾン</t>
    </rPh>
    <rPh sb="25" eb="27">
      <t>シヨウ</t>
    </rPh>
    <rPh sb="27" eb="28">
      <t>チュウ</t>
    </rPh>
    <rPh sb="32" eb="33">
      <t>ユカ</t>
    </rPh>
    <rPh sb="36" eb="37">
      <t>ハ</t>
    </rPh>
    <rPh sb="41" eb="43">
      <t>ハバキ</t>
    </rPh>
    <rPh sb="44" eb="47">
      <t>トソウハ</t>
    </rPh>
    <rPh sb="53" eb="56">
      <t>セツメイズ</t>
    </rPh>
    <phoneticPr fontId="1"/>
  </si>
  <si>
    <t>石野 博吉</t>
    <rPh sb="0" eb="2">
      <t>イシノ</t>
    </rPh>
    <rPh sb="3" eb="5">
      <t>ヒロキチ</t>
    </rPh>
    <phoneticPr fontId="1"/>
  </si>
  <si>
    <t>048-686-4684</t>
    <phoneticPr fontId="1"/>
  </si>
  <si>
    <t>ｴﾌﾟﾛﾝ内点検口設置　ひな段既存壁だし</t>
    <rPh sb="5" eb="6">
      <t>ナイ</t>
    </rPh>
    <rPh sb="6" eb="11">
      <t>テンケンコウセッチ</t>
    </rPh>
    <rPh sb="14" eb="18">
      <t>ダンキゾンカベ</t>
    </rPh>
    <phoneticPr fontId="1"/>
  </si>
  <si>
    <t>三宅 光明</t>
    <rPh sb="0" eb="2">
      <t>ミヤケ</t>
    </rPh>
    <rPh sb="3" eb="4">
      <t>ミツ</t>
    </rPh>
    <rPh sb="4" eb="5">
      <t>アカ</t>
    </rPh>
    <phoneticPr fontId="1"/>
  </si>
  <si>
    <t>090-2239-5769</t>
    <phoneticPr fontId="1"/>
  </si>
  <si>
    <t>部屋の電球切らしている　TES使用中</t>
    <rPh sb="0" eb="2">
      <t>ヘヤ</t>
    </rPh>
    <rPh sb="3" eb="5">
      <t>デンキュウ</t>
    </rPh>
    <rPh sb="5" eb="6">
      <t>キ</t>
    </rPh>
    <rPh sb="15" eb="18">
      <t>シヨウチュウ</t>
    </rPh>
    <phoneticPr fontId="1"/>
  </si>
  <si>
    <t>谷川 節子</t>
    <rPh sb="0" eb="2">
      <t>タニカワ</t>
    </rPh>
    <rPh sb="3" eb="5">
      <t>セツコ</t>
    </rPh>
    <phoneticPr fontId="1"/>
  </si>
  <si>
    <t>048-687-3205</t>
    <phoneticPr fontId="1"/>
  </si>
  <si>
    <t>WRV1117・164TVH</t>
    <phoneticPr fontId="1"/>
  </si>
  <si>
    <t>浴室エプロン内部材接続　洗面所床点検口あり→なくしてOK　ｷｯﾁﾝホーロー板脱着</t>
    <rPh sb="0" eb="2">
      <t>ヨクシツ</t>
    </rPh>
    <rPh sb="6" eb="11">
      <t>ナイブザイセツゾク</t>
    </rPh>
    <rPh sb="12" eb="15">
      <t>センメンジョ</t>
    </rPh>
    <rPh sb="15" eb="16">
      <t>ユカ</t>
    </rPh>
    <rPh sb="16" eb="19">
      <t>テンケンコウ</t>
    </rPh>
    <rPh sb="37" eb="38">
      <t>イタ</t>
    </rPh>
    <rPh sb="38" eb="40">
      <t>ダッチャク</t>
    </rPh>
    <phoneticPr fontId="1"/>
  </si>
  <si>
    <t>畠</t>
    <rPh sb="0" eb="1">
      <t>ハタケ</t>
    </rPh>
    <phoneticPr fontId="1"/>
  </si>
  <si>
    <t>048-686-2477
090-8023-1673</t>
    <phoneticPr fontId="1"/>
  </si>
  <si>
    <t>900+450ｷｬﾋﾞ</t>
    <phoneticPr fontId="1"/>
  </si>
  <si>
    <t>エプロン内点検口あり　給湯器造作カバー付　ﾄｲﾚレストパル手洗い付き最終日復旧の説明OK　ひな段既存壁だし　玄関棚有後日再調査　追い焚き管交換検討　旦那さん体調悪め</t>
    <rPh sb="4" eb="5">
      <t>ナイ</t>
    </rPh>
    <rPh sb="5" eb="8">
      <t>テンケンコウ</t>
    </rPh>
    <rPh sb="11" eb="14">
      <t>キュウトウキ</t>
    </rPh>
    <rPh sb="14" eb="16">
      <t>ゾウサク</t>
    </rPh>
    <rPh sb="19" eb="20">
      <t>ヅケ</t>
    </rPh>
    <rPh sb="29" eb="31">
      <t>テアラ</t>
    </rPh>
    <rPh sb="32" eb="33">
      <t>ツ</t>
    </rPh>
    <rPh sb="34" eb="37">
      <t>サイシュウビ</t>
    </rPh>
    <rPh sb="37" eb="39">
      <t>フッキュウ</t>
    </rPh>
    <rPh sb="40" eb="42">
      <t>セツメイ</t>
    </rPh>
    <rPh sb="47" eb="48">
      <t>ダン</t>
    </rPh>
    <rPh sb="48" eb="50">
      <t>キゾン</t>
    </rPh>
    <rPh sb="50" eb="51">
      <t>カベ</t>
    </rPh>
    <rPh sb="54" eb="56">
      <t>ゲンカン</t>
    </rPh>
    <rPh sb="56" eb="57">
      <t>タナ</t>
    </rPh>
    <rPh sb="57" eb="58">
      <t>アリ</t>
    </rPh>
    <rPh sb="58" eb="60">
      <t>ゴジツ</t>
    </rPh>
    <rPh sb="60" eb="63">
      <t>サイチョウサ</t>
    </rPh>
    <rPh sb="64" eb="65">
      <t>オ</t>
    </rPh>
    <rPh sb="66" eb="67">
      <t>ダ</t>
    </rPh>
    <rPh sb="68" eb="69">
      <t>カン</t>
    </rPh>
    <rPh sb="69" eb="71">
      <t>コウカン</t>
    </rPh>
    <rPh sb="71" eb="73">
      <t>ケントウ</t>
    </rPh>
    <rPh sb="74" eb="76">
      <t>ダンナ</t>
    </rPh>
    <rPh sb="78" eb="80">
      <t>タイチョウ</t>
    </rPh>
    <rPh sb="80" eb="81">
      <t>ワル</t>
    </rPh>
    <phoneticPr fontId="1"/>
  </si>
  <si>
    <t>石川 栄次</t>
    <rPh sb="0" eb="2">
      <t>イシカワ</t>
    </rPh>
    <rPh sb="3" eb="4">
      <t>エイ</t>
    </rPh>
    <rPh sb="4" eb="5">
      <t>ジ</t>
    </rPh>
    <phoneticPr fontId="1"/>
  </si>
  <si>
    <t>080-1336-9908</t>
    <phoneticPr fontId="1"/>
  </si>
  <si>
    <t>WZV1117・173588</t>
    <phoneticPr fontId="1"/>
  </si>
  <si>
    <t>ｴﾌﾟﾛﾝ内部材接続　ﾄｲﾚ止水栓ｽﾄﾚｰﾅｰ付　ひな段　ｷｯﾁﾝ真ん中引き出し背板開口かも　WL故障</t>
    <rPh sb="5" eb="6">
      <t>ナイ</t>
    </rPh>
    <rPh sb="6" eb="10">
      <t>ブザイセツゾク</t>
    </rPh>
    <rPh sb="14" eb="17">
      <t>シスイセン</t>
    </rPh>
    <rPh sb="23" eb="24">
      <t>ツキ</t>
    </rPh>
    <rPh sb="27" eb="28">
      <t>ダン</t>
    </rPh>
    <rPh sb="33" eb="34">
      <t>マ</t>
    </rPh>
    <rPh sb="35" eb="36">
      <t>ナカ</t>
    </rPh>
    <rPh sb="36" eb="37">
      <t>ヒ</t>
    </rPh>
    <rPh sb="38" eb="39">
      <t>ダ</t>
    </rPh>
    <rPh sb="40" eb="44">
      <t>セイタカイコウ</t>
    </rPh>
    <rPh sb="49" eb="51">
      <t>コショウ</t>
    </rPh>
    <phoneticPr fontId="1"/>
  </si>
  <si>
    <t>村松 まゆみ</t>
    <rPh sb="0" eb="2">
      <t>ムラマツ</t>
    </rPh>
    <phoneticPr fontId="1"/>
  </si>
  <si>
    <t>048-683-9258</t>
    <phoneticPr fontId="1"/>
  </si>
  <si>
    <t>WZV1117・147AGC</t>
    <phoneticPr fontId="1"/>
  </si>
  <si>
    <t>ｴﾌﾟﾛﾝ内点検口設置　底板SUS→ポリ復旧　ﾄｲﾚ止水栓Ｄ式ｱﾝｸﾞﾙ　ｷｯﾁﾝ扉開閉時音が鳴る一部閉まらないところもある　OPﾄｲﾚ交換検討</t>
    <rPh sb="5" eb="11">
      <t>ナイテンケンコウセッチ</t>
    </rPh>
    <rPh sb="12" eb="14">
      <t>ソコイタ</t>
    </rPh>
    <rPh sb="17" eb="22">
      <t>ヤジルシポリフッキュウ</t>
    </rPh>
    <rPh sb="26" eb="29">
      <t>シスイセン</t>
    </rPh>
    <rPh sb="30" eb="31">
      <t>シキ</t>
    </rPh>
    <rPh sb="41" eb="42">
      <t>トビラ</t>
    </rPh>
    <rPh sb="42" eb="45">
      <t>カイヘイジ</t>
    </rPh>
    <rPh sb="45" eb="46">
      <t>オト</t>
    </rPh>
    <rPh sb="47" eb="48">
      <t>ナ</t>
    </rPh>
    <rPh sb="49" eb="51">
      <t>イチブ</t>
    </rPh>
    <rPh sb="51" eb="52">
      <t>シ</t>
    </rPh>
    <rPh sb="68" eb="72">
      <t>コウカンケントウ</t>
    </rPh>
    <phoneticPr fontId="1"/>
  </si>
  <si>
    <t>佐藤 武夫</t>
    <rPh sb="0" eb="2">
      <t>サトウ</t>
    </rPh>
    <rPh sb="3" eb="5">
      <t>タケオ</t>
    </rPh>
    <phoneticPr fontId="1"/>
  </si>
  <si>
    <t>048-686-4656</t>
    <phoneticPr fontId="1"/>
  </si>
  <si>
    <t>ｴﾌﾟﾛﾝ内点検口設置　トイレ止水栓Ｄ式ｱﾝｸﾞﾙ　底板SUS→ポリ復旧</t>
    <rPh sb="5" eb="11">
      <t>ナイテンケンコウセッチ</t>
    </rPh>
    <rPh sb="15" eb="18">
      <t>シスイセン</t>
    </rPh>
    <rPh sb="19" eb="20">
      <t>シキ</t>
    </rPh>
    <rPh sb="26" eb="28">
      <t>ソコイタ</t>
    </rPh>
    <rPh sb="31" eb="36">
      <t>ヤジルシポリフッキュウ</t>
    </rPh>
    <phoneticPr fontId="1"/>
  </si>
  <si>
    <t>渋谷 誠二</t>
    <rPh sb="0" eb="2">
      <t>シブヤ</t>
    </rPh>
    <rPh sb="3" eb="4">
      <t>マコト</t>
    </rPh>
    <rPh sb="4" eb="5">
      <t>ニ</t>
    </rPh>
    <phoneticPr fontId="1"/>
  </si>
  <si>
    <t>048-686-4632</t>
    <phoneticPr fontId="1"/>
  </si>
  <si>
    <t>WBV1117WT・17562T</t>
    <phoneticPr fontId="1"/>
  </si>
  <si>
    <t>エプロン内部材接続　トイレ止水栓Ｄ式ｱﾝｸﾞﾙ　洗面所壁一部エコカラット注意　ひな段既存壁だし　基本ルートにするか旦那さんと相談中</t>
    <rPh sb="4" eb="9">
      <t>ナイブザイセツゾク</t>
    </rPh>
    <rPh sb="13" eb="16">
      <t>シスイセン</t>
    </rPh>
    <rPh sb="17" eb="18">
      <t>シキ</t>
    </rPh>
    <rPh sb="24" eb="28">
      <t>センメンジョカベ</t>
    </rPh>
    <rPh sb="28" eb="30">
      <t>イチブ</t>
    </rPh>
    <rPh sb="36" eb="38">
      <t>チュウイ</t>
    </rPh>
    <rPh sb="41" eb="45">
      <t>ダンキゾンカベ</t>
    </rPh>
    <rPh sb="48" eb="50">
      <t>キホン</t>
    </rPh>
    <rPh sb="57" eb="59">
      <t>ダンナ</t>
    </rPh>
    <rPh sb="62" eb="65">
      <t>ソウダンチュウ</t>
    </rPh>
    <phoneticPr fontId="1"/>
  </si>
  <si>
    <t>石関 真人</t>
    <rPh sb="0" eb="2">
      <t>イシゼキ</t>
    </rPh>
    <rPh sb="3" eb="5">
      <t>マサト</t>
    </rPh>
    <phoneticPr fontId="1"/>
  </si>
  <si>
    <t>090-9834-1013</t>
    <phoneticPr fontId="1"/>
  </si>
  <si>
    <t>WZV1117・171926</t>
    <phoneticPr fontId="1"/>
  </si>
  <si>
    <t>エプロン内部材接続　トイレ止水栓Ｄ式ｱﾝｸﾞﾙ　ひな段既存壁だし　玄関吊戸棚あり→撤去か方扉ＦＩＸ化か隠蔽配管　隠蔽配管は検討中床コルクタイル　床段有ＴＥＳ使用中</t>
    <rPh sb="4" eb="9">
      <t>ナイブザイセツゾク</t>
    </rPh>
    <rPh sb="13" eb="16">
      <t>シスイセン</t>
    </rPh>
    <rPh sb="17" eb="18">
      <t>シキ</t>
    </rPh>
    <rPh sb="26" eb="30">
      <t>ダンキゾンカベ</t>
    </rPh>
    <rPh sb="33" eb="35">
      <t>ゲンカン</t>
    </rPh>
    <rPh sb="35" eb="38">
      <t>ツリトダナ</t>
    </rPh>
    <rPh sb="41" eb="43">
      <t>テッキョ</t>
    </rPh>
    <rPh sb="44" eb="46">
      <t>カタトビラ</t>
    </rPh>
    <rPh sb="49" eb="50">
      <t>カ</t>
    </rPh>
    <rPh sb="51" eb="53">
      <t>インペイ</t>
    </rPh>
    <rPh sb="53" eb="55">
      <t>ハイカン</t>
    </rPh>
    <rPh sb="56" eb="60">
      <t>インペイハイカン</t>
    </rPh>
    <rPh sb="61" eb="64">
      <t>ケントウチュウ</t>
    </rPh>
    <rPh sb="64" eb="65">
      <t>ユカ</t>
    </rPh>
    <rPh sb="72" eb="75">
      <t>ユカダンアリ</t>
    </rPh>
    <rPh sb="78" eb="81">
      <t>シヨウチュウ</t>
    </rPh>
    <phoneticPr fontId="1"/>
  </si>
  <si>
    <t xml:space="preserve">吉野 </t>
    <rPh sb="0" eb="2">
      <t>ヨシノ</t>
    </rPh>
    <phoneticPr fontId="1"/>
  </si>
  <si>
    <t>048-686-4780</t>
    <phoneticPr fontId="1"/>
  </si>
  <si>
    <t>JZV1117・162058</t>
    <phoneticPr fontId="1"/>
  </si>
  <si>
    <t>洗面所壁に点検口設置する　トイレ止水栓Ｄ式ｱﾝｸﾞﾙ　追い焚き管を通常工事の内容でやってほしい　ひな段</t>
    <rPh sb="0" eb="4">
      <t>センメンジョカベ</t>
    </rPh>
    <rPh sb="5" eb="10">
      <t>テンケンコウセッチ</t>
    </rPh>
    <rPh sb="16" eb="19">
      <t>シスイセン</t>
    </rPh>
    <rPh sb="20" eb="21">
      <t>シキ</t>
    </rPh>
    <rPh sb="27" eb="28">
      <t>オ</t>
    </rPh>
    <rPh sb="29" eb="30">
      <t>ダ</t>
    </rPh>
    <rPh sb="31" eb="32">
      <t>カン</t>
    </rPh>
    <rPh sb="33" eb="37">
      <t>ツウジョウコウジ</t>
    </rPh>
    <rPh sb="38" eb="40">
      <t>ナイヨウ</t>
    </rPh>
    <rPh sb="50" eb="51">
      <t>ダン</t>
    </rPh>
    <phoneticPr fontId="1"/>
  </si>
  <si>
    <t>伊藤 隆之</t>
    <rPh sb="0" eb="2">
      <t>イトウ</t>
    </rPh>
    <rPh sb="3" eb="5">
      <t>タカユキ</t>
    </rPh>
    <phoneticPr fontId="1"/>
  </si>
  <si>
    <t>090-1115-0443</t>
    <phoneticPr fontId="1"/>
  </si>
  <si>
    <t>洗面所壁点検口設置する　隠蔽配管、水栓付き洗濯パン交換検討　底板SUS復旧方法検討中　トイレ仮復旧無し　見積等は郵送する</t>
    <phoneticPr fontId="1"/>
  </si>
  <si>
    <t>浴室デッキタイプ　洗面所壁に点検口設置する　底板SUS→ポリ復旧　元修繕委員だった人　普段浴室使っていない</t>
    <rPh sb="0" eb="2">
      <t>ヨクシツ</t>
    </rPh>
    <rPh sb="9" eb="13">
      <t>センメンジョカベ</t>
    </rPh>
    <rPh sb="14" eb="19">
      <t>テンケンコウセッチ</t>
    </rPh>
    <rPh sb="22" eb="24">
      <t>ソコイタ</t>
    </rPh>
    <rPh sb="27" eb="32">
      <t>ヤジルシポリフッキュウ</t>
    </rPh>
    <rPh sb="33" eb="34">
      <t>モト</t>
    </rPh>
    <rPh sb="34" eb="36">
      <t>シュウゼン</t>
    </rPh>
    <rPh sb="36" eb="38">
      <t>イイン</t>
    </rPh>
    <rPh sb="41" eb="42">
      <t>ヒト</t>
    </rPh>
    <rPh sb="43" eb="45">
      <t>フダン</t>
    </rPh>
    <rPh sb="45" eb="47">
      <t>ヨクシツ</t>
    </rPh>
    <rPh sb="47" eb="48">
      <t>ツカ</t>
    </rPh>
    <phoneticPr fontId="1"/>
  </si>
  <si>
    <t>増田 純</t>
    <rPh sb="0" eb="2">
      <t>マスダ</t>
    </rPh>
    <rPh sb="3" eb="4">
      <t>ジュン</t>
    </rPh>
    <phoneticPr fontId="1"/>
  </si>
  <si>
    <t>080-3090-1135</t>
    <phoneticPr fontId="1"/>
  </si>
  <si>
    <t>給水給湯排水枝管更新済み→ﾄｲﾚ壁と玄関物入内のみ作業　引っ越すかもしれない　玄関廊下洗面所床タイル注意　トイレ嵩上げ床排水床給水</t>
    <rPh sb="0" eb="4">
      <t>キュウスイキュウトウ</t>
    </rPh>
    <rPh sb="4" eb="8">
      <t>ハイスイエダカン</t>
    </rPh>
    <rPh sb="8" eb="11">
      <t>コウシンズ</t>
    </rPh>
    <rPh sb="16" eb="17">
      <t>カベ</t>
    </rPh>
    <rPh sb="18" eb="20">
      <t>ゲンカン</t>
    </rPh>
    <rPh sb="20" eb="23">
      <t>モノイレナイ</t>
    </rPh>
    <rPh sb="25" eb="27">
      <t>サギョウ</t>
    </rPh>
    <rPh sb="28" eb="29">
      <t>ヒ</t>
    </rPh>
    <rPh sb="30" eb="31">
      <t>コ</t>
    </rPh>
    <rPh sb="39" eb="41">
      <t>ゲンカン</t>
    </rPh>
    <rPh sb="41" eb="43">
      <t>ロウカ</t>
    </rPh>
    <rPh sb="43" eb="47">
      <t>センメンジョユカ</t>
    </rPh>
    <rPh sb="50" eb="52">
      <t>チュウイ</t>
    </rPh>
    <rPh sb="56" eb="58">
      <t>カサア</t>
    </rPh>
    <rPh sb="59" eb="62">
      <t>ユカハイスイ</t>
    </rPh>
    <rPh sb="62" eb="65">
      <t>ユカキュウスイ</t>
    </rPh>
    <phoneticPr fontId="1"/>
  </si>
  <si>
    <t>高田 貞子</t>
    <rPh sb="0" eb="2">
      <t>タカダ</t>
    </rPh>
    <rPh sb="3" eb="5">
      <t>サダコ</t>
    </rPh>
    <phoneticPr fontId="1"/>
  </si>
  <si>
    <t>080-9388-1216</t>
    <phoneticPr fontId="1"/>
  </si>
  <si>
    <t>浴室デッキタイプ洗面所壁に点検口設置する　給湯器下銀のプレート貼ってあるCF貼替でOK　ひな段　玄関吊戸棚脱着予定　工事前に引っ越すらしい売却先後日連絡してもらう</t>
    <rPh sb="0" eb="2">
      <t>ヨクシツ</t>
    </rPh>
    <rPh sb="8" eb="12">
      <t>センメンジョカベ</t>
    </rPh>
    <rPh sb="13" eb="18">
      <t>テンケンコウセッチ</t>
    </rPh>
    <rPh sb="21" eb="24">
      <t>キュウトウキ</t>
    </rPh>
    <rPh sb="24" eb="25">
      <t>シタ</t>
    </rPh>
    <rPh sb="25" eb="26">
      <t>ギン</t>
    </rPh>
    <rPh sb="31" eb="32">
      <t>ハ</t>
    </rPh>
    <rPh sb="38" eb="40">
      <t>ハリカエ</t>
    </rPh>
    <rPh sb="46" eb="47">
      <t>ダン</t>
    </rPh>
    <rPh sb="48" eb="50">
      <t>ゲンカン</t>
    </rPh>
    <rPh sb="50" eb="53">
      <t>ツリトダナ</t>
    </rPh>
    <rPh sb="53" eb="55">
      <t>ダッチャク</t>
    </rPh>
    <rPh sb="55" eb="57">
      <t>ヨテイ</t>
    </rPh>
    <rPh sb="58" eb="61">
      <t>コウジマエ</t>
    </rPh>
    <rPh sb="62" eb="63">
      <t>ヒ</t>
    </rPh>
    <rPh sb="64" eb="65">
      <t>コ</t>
    </rPh>
    <rPh sb="69" eb="72">
      <t>バイキャクサキ</t>
    </rPh>
    <rPh sb="72" eb="74">
      <t>ゴジツ</t>
    </rPh>
    <rPh sb="74" eb="76">
      <t>レンラク</t>
    </rPh>
    <phoneticPr fontId="1"/>
  </si>
  <si>
    <t>青山 悦子</t>
    <rPh sb="0" eb="2">
      <t>アオヤマ</t>
    </rPh>
    <rPh sb="3" eb="5">
      <t>エツコ</t>
    </rPh>
    <phoneticPr fontId="1"/>
  </si>
  <si>
    <t>080-5642-6939</t>
    <phoneticPr fontId="1"/>
  </si>
  <si>
    <t>WBV1117JD・166NWR</t>
    <phoneticPr fontId="1"/>
  </si>
  <si>
    <t>エプロン内部材外せなさそう→洗面所壁に点検口設置する　洗濯パン洗面台にずらす　ひな段</t>
    <rPh sb="4" eb="5">
      <t>ナイ</t>
    </rPh>
    <rPh sb="5" eb="7">
      <t>ブザイ</t>
    </rPh>
    <rPh sb="7" eb="8">
      <t>ハズ</t>
    </rPh>
    <rPh sb="14" eb="16">
      <t>センメン</t>
    </rPh>
    <rPh sb="16" eb="17">
      <t>ジョ</t>
    </rPh>
    <rPh sb="17" eb="18">
      <t>カベ</t>
    </rPh>
    <rPh sb="19" eb="22">
      <t>テンケンコウ</t>
    </rPh>
    <rPh sb="22" eb="24">
      <t>セッチ</t>
    </rPh>
    <rPh sb="27" eb="29">
      <t>センタク</t>
    </rPh>
    <rPh sb="31" eb="34">
      <t>センメンダイ</t>
    </rPh>
    <rPh sb="41" eb="42">
      <t>ダン</t>
    </rPh>
    <phoneticPr fontId="1"/>
  </si>
  <si>
    <t>池上 千波</t>
    <rPh sb="0" eb="2">
      <t>イケガミ</t>
    </rPh>
    <rPh sb="3" eb="5">
      <t>チナミ</t>
    </rPh>
    <phoneticPr fontId="1"/>
  </si>
  <si>
    <t>080-4142-4344</t>
    <phoneticPr fontId="1"/>
  </si>
  <si>
    <t>浴室ｴﾌﾟﾛﾝ内既存点検口再使用、UBタイル　洗面所壁点検口設置　ひな段　給湯管、追い焚き管更新済み→給湯管更新希望　二層式洗濯機　</t>
    <rPh sb="0" eb="2">
      <t>ヨクシツ</t>
    </rPh>
    <rPh sb="7" eb="8">
      <t>ナイ</t>
    </rPh>
    <rPh sb="8" eb="13">
      <t>キゾンテンケンコウ</t>
    </rPh>
    <rPh sb="13" eb="16">
      <t>サイシヨウ</t>
    </rPh>
    <rPh sb="23" eb="27">
      <t>センメンジョカベ</t>
    </rPh>
    <rPh sb="27" eb="32">
      <t>テンケンコウセッチ</t>
    </rPh>
    <rPh sb="35" eb="36">
      <t>ダン</t>
    </rPh>
    <rPh sb="39" eb="40">
      <t>、</t>
    </rPh>
    <rPh sb="40" eb="44">
      <t>オイダキ</t>
    </rPh>
    <rPh sb="45" eb="47">
      <t>コウシン</t>
    </rPh>
    <rPh sb="47" eb="49">
      <t>ズミ</t>
    </rPh>
    <rPh sb="51" eb="58">
      <t>キュウトウカンコウシンキボウ</t>
    </rPh>
    <rPh sb="59" eb="62">
      <t>ニソウシキ</t>
    </rPh>
    <rPh sb="62" eb="65">
      <t>センタクキ</t>
    </rPh>
    <phoneticPr fontId="1"/>
  </si>
  <si>
    <t>三浦 浩</t>
    <rPh sb="0" eb="2">
      <t>ミウラ</t>
    </rPh>
    <rPh sb="3" eb="4">
      <t>ヒロシ</t>
    </rPh>
    <phoneticPr fontId="1"/>
  </si>
  <si>
    <t>090-6140-5456</t>
    <phoneticPr fontId="1"/>
  </si>
  <si>
    <t>浴室エプロン内点検口設置　トイレ床FL→CF選定　台所トラップ既存　トイレの機種があってないため便器が少し前に出てきている交換検討　</t>
    <rPh sb="0" eb="2">
      <t>ヨクシツ</t>
    </rPh>
    <rPh sb="6" eb="7">
      <t>ナイ</t>
    </rPh>
    <rPh sb="7" eb="12">
      <t>テンケンコウセッチ</t>
    </rPh>
    <rPh sb="16" eb="17">
      <t>ユカ</t>
    </rPh>
    <rPh sb="22" eb="24">
      <t>センテイ</t>
    </rPh>
    <rPh sb="25" eb="27">
      <t>ダイドコロ</t>
    </rPh>
    <rPh sb="31" eb="33">
      <t>キゾン</t>
    </rPh>
    <rPh sb="38" eb="40">
      <t>キシュ</t>
    </rPh>
    <rPh sb="48" eb="50">
      <t>ベンキ</t>
    </rPh>
    <rPh sb="51" eb="52">
      <t>スコ</t>
    </rPh>
    <rPh sb="53" eb="54">
      <t>マエ</t>
    </rPh>
    <rPh sb="55" eb="56">
      <t>デ</t>
    </rPh>
    <rPh sb="61" eb="65">
      <t>コウカンケントウ</t>
    </rPh>
    <phoneticPr fontId="1"/>
  </si>
  <si>
    <t>桐山 明弘</t>
    <rPh sb="0" eb="2">
      <t>キリヤマ</t>
    </rPh>
    <rPh sb="3" eb="5">
      <t>アキヒロ</t>
    </rPh>
    <phoneticPr fontId="1"/>
  </si>
  <si>
    <t>048-686-4661</t>
    <phoneticPr fontId="1"/>
  </si>
  <si>
    <t>浴室デッキタイプ洗面所壁点検口設置する　台所既存ﾄﾗｯﾌﾟ　トイレ止水栓ｽﾄﾚｰﾅｰ付　洗濯モール立ち上げスペース無し→洗面台と洗濯パンの間で立ち上げてクランクさせる(費用かけたくないので洗濯パン交換は検討していないとのこと)</t>
    <rPh sb="0" eb="2">
      <t>ヨクシツ</t>
    </rPh>
    <rPh sb="8" eb="17">
      <t>センメンジョカベテンケンコウセッチ</t>
    </rPh>
    <rPh sb="20" eb="22">
      <t>ダイドコロ</t>
    </rPh>
    <rPh sb="22" eb="24">
      <t>キゾン</t>
    </rPh>
    <rPh sb="33" eb="36">
      <t>シスイセン</t>
    </rPh>
    <rPh sb="42" eb="43">
      <t>ツキ</t>
    </rPh>
    <rPh sb="44" eb="46">
      <t>センタク</t>
    </rPh>
    <rPh sb="49" eb="50">
      <t>タ</t>
    </rPh>
    <rPh sb="51" eb="52">
      <t>ア</t>
    </rPh>
    <rPh sb="57" eb="58">
      <t>ナ</t>
    </rPh>
    <rPh sb="60" eb="63">
      <t>センメンダイ</t>
    </rPh>
    <rPh sb="64" eb="66">
      <t>センタク</t>
    </rPh>
    <rPh sb="69" eb="70">
      <t>アイダ</t>
    </rPh>
    <rPh sb="71" eb="72">
      <t>タ</t>
    </rPh>
    <rPh sb="73" eb="74">
      <t>ア</t>
    </rPh>
    <rPh sb="84" eb="86">
      <t>ヒヨウ</t>
    </rPh>
    <rPh sb="94" eb="96">
      <t>センタク</t>
    </rPh>
    <rPh sb="98" eb="100">
      <t>コウカン</t>
    </rPh>
    <rPh sb="101" eb="103">
      <t>ケントウ</t>
    </rPh>
    <phoneticPr fontId="1"/>
  </si>
  <si>
    <t>木場 都</t>
    <rPh sb="0" eb="2">
      <t>キバ</t>
    </rPh>
    <rPh sb="3" eb="4">
      <t>ミヤコ</t>
    </rPh>
    <phoneticPr fontId="1"/>
  </si>
  <si>
    <t>080-5001-6900</t>
    <phoneticPr fontId="1"/>
  </si>
  <si>
    <t>WBV1117JT・186039</t>
    <phoneticPr fontId="1"/>
  </si>
  <si>
    <t>浴室鏡裏開口　トイレ止水栓ｽﾄﾚｰﾅｰ付　底板SUS→ポリ復旧　トイレ狩る復旧無し　工事期間中は電気雄契約しておいてくれる　お知らせは郵送　</t>
    <rPh sb="0" eb="2">
      <t>ヨクシツ</t>
    </rPh>
    <rPh sb="2" eb="6">
      <t>カガミウラカイコウ</t>
    </rPh>
    <rPh sb="10" eb="13">
      <t>シスイセン</t>
    </rPh>
    <rPh sb="19" eb="20">
      <t>ツキ</t>
    </rPh>
    <rPh sb="21" eb="23">
      <t>ソコイタ</t>
    </rPh>
    <rPh sb="29" eb="30">
      <t>フク</t>
    </rPh>
    <rPh sb="30" eb="31">
      <t>キュウ</t>
    </rPh>
    <rPh sb="35" eb="36">
      <t>カ</t>
    </rPh>
    <rPh sb="37" eb="40">
      <t>フッキュウナ</t>
    </rPh>
    <rPh sb="42" eb="47">
      <t>コウジキカンチュウ</t>
    </rPh>
    <rPh sb="48" eb="51">
      <t>デンキオ</t>
    </rPh>
    <rPh sb="51" eb="53">
      <t>ケイヤク</t>
    </rPh>
    <rPh sb="63" eb="64">
      <t>シ</t>
    </rPh>
    <rPh sb="67" eb="69">
      <t>ユウソウ</t>
    </rPh>
    <phoneticPr fontId="1"/>
  </si>
  <si>
    <t>増田 伸一</t>
    <rPh sb="0" eb="2">
      <t>マスダ</t>
    </rPh>
    <rPh sb="3" eb="5">
      <t>シンイチ</t>
    </rPh>
    <phoneticPr fontId="1"/>
  </si>
  <si>
    <t>048-688-6796</t>
    <phoneticPr fontId="1"/>
  </si>
  <si>
    <t>WBV1117JT・1776NV</t>
    <phoneticPr fontId="1"/>
  </si>
  <si>
    <t>浴室鏡裏開口　洗濯水栓の位置変えたい→給水付きパンに交換検討　玄関給水ﾙｰﾄふかし壁にしたいクロスは支給品あり　ｷｯﾁﾝ既存壁だし</t>
    <rPh sb="0" eb="2">
      <t>ヨクシツ</t>
    </rPh>
    <rPh sb="2" eb="6">
      <t>カガミウラカイコウ</t>
    </rPh>
    <rPh sb="7" eb="11">
      <t>センタクスイセン</t>
    </rPh>
    <rPh sb="12" eb="15">
      <t>イチカ</t>
    </rPh>
    <rPh sb="19" eb="22">
      <t>キュウスイツ</t>
    </rPh>
    <rPh sb="26" eb="30">
      <t>コウカンケントウ</t>
    </rPh>
    <rPh sb="31" eb="33">
      <t>ゲンカン</t>
    </rPh>
    <rPh sb="33" eb="35">
      <t>キュウスイ</t>
    </rPh>
    <rPh sb="41" eb="42">
      <t>カベ</t>
    </rPh>
    <rPh sb="50" eb="53">
      <t>シキュウヒン</t>
    </rPh>
    <rPh sb="60" eb="63">
      <t>キゾンカベ</t>
    </rPh>
    <phoneticPr fontId="1"/>
  </si>
  <si>
    <t>磯川 キミ子</t>
    <rPh sb="0" eb="2">
      <t>イソカワ</t>
    </rPh>
    <rPh sb="5" eb="6">
      <t>コ</t>
    </rPh>
    <phoneticPr fontId="1"/>
  </si>
  <si>
    <t>048-685-9635</t>
    <phoneticPr fontId="1"/>
  </si>
  <si>
    <t>WRV1117・155FS4</t>
    <phoneticPr fontId="1"/>
  </si>
  <si>
    <t>浴室TOTO部材接続　洗面所壁点検口設置あり　給湯管、追い焚き管更新済み→給湯管更新希望　トイレ止水栓Ｄ式ｱﾝｸﾞﾙ　洗濯パン洗面台にずらす　工事前に引っ越しするかも</t>
    <rPh sb="0" eb="2">
      <t>ヨクシツ</t>
    </rPh>
    <rPh sb="6" eb="7">
      <t>ブ</t>
    </rPh>
    <rPh sb="7" eb="8">
      <t>ザイ</t>
    </rPh>
    <rPh sb="8" eb="10">
      <t>セツゾク</t>
    </rPh>
    <rPh sb="11" eb="20">
      <t>センメンジョカベテンケンコウセッチ</t>
    </rPh>
    <rPh sb="23" eb="26">
      <t>キュウトウカン</t>
    </rPh>
    <rPh sb="27" eb="28">
      <t>オ</t>
    </rPh>
    <rPh sb="29" eb="30">
      <t>ダ</t>
    </rPh>
    <rPh sb="31" eb="32">
      <t>カン</t>
    </rPh>
    <rPh sb="32" eb="35">
      <t>コウシンズ</t>
    </rPh>
    <rPh sb="37" eb="40">
      <t>キュウトウカン</t>
    </rPh>
    <rPh sb="40" eb="44">
      <t>コウシンキボウ</t>
    </rPh>
    <rPh sb="48" eb="51">
      <t>シスイセン</t>
    </rPh>
    <rPh sb="52" eb="53">
      <t>シキ</t>
    </rPh>
    <rPh sb="59" eb="61">
      <t>センタク</t>
    </rPh>
    <rPh sb="63" eb="66">
      <t>センメンダイ</t>
    </rPh>
    <rPh sb="71" eb="74">
      <t>コウジマエ</t>
    </rPh>
    <rPh sb="75" eb="76">
      <t>ヒ</t>
    </rPh>
    <rPh sb="77" eb="78">
      <t>コ</t>
    </rPh>
    <phoneticPr fontId="1"/>
  </si>
  <si>
    <t>布野 洋子</t>
    <rPh sb="0" eb="2">
      <t>フノ</t>
    </rPh>
    <rPh sb="3" eb="5">
      <t>ヨウコ</t>
    </rPh>
    <phoneticPr fontId="1"/>
  </si>
  <si>
    <t>048-686-6162</t>
    <phoneticPr fontId="1"/>
  </si>
  <si>
    <t>エプロン内点検口設置　トイレ止水栓ｽﾄﾚｰﾅｰ付　洗濯パン洗面台にずらす　台所トラップ既存</t>
    <rPh sb="4" eb="5">
      <t>ナイ</t>
    </rPh>
    <rPh sb="5" eb="10">
      <t>テンケンコウセッチ</t>
    </rPh>
    <rPh sb="14" eb="17">
      <t>シスイセン</t>
    </rPh>
    <rPh sb="23" eb="24">
      <t>ツキ</t>
    </rPh>
    <rPh sb="25" eb="27">
      <t>センタク</t>
    </rPh>
    <rPh sb="29" eb="32">
      <t>センメンダイ</t>
    </rPh>
    <rPh sb="37" eb="39">
      <t>ダイドコロ</t>
    </rPh>
    <rPh sb="43" eb="45">
      <t>キゾン</t>
    </rPh>
    <phoneticPr fontId="1"/>
  </si>
  <si>
    <t>小西 健</t>
    <rPh sb="0" eb="2">
      <t>コニシ</t>
    </rPh>
    <rPh sb="3" eb="4">
      <t>ケン</t>
    </rPh>
    <phoneticPr fontId="1"/>
  </si>
  <si>
    <t>048-687-5534</t>
    <phoneticPr fontId="1"/>
  </si>
  <si>
    <t>浴室デッキタイプ　洗面所壁に点検口設置する　底板SUS→ポリ復旧　洗濯パン洗面台にずらす　OP追い焚き管交換検討</t>
    <rPh sb="0" eb="2">
      <t>ヨクシツ</t>
    </rPh>
    <rPh sb="9" eb="13">
      <t>センメンジョカベ</t>
    </rPh>
    <rPh sb="14" eb="19">
      <t>テンケンコウセッチ</t>
    </rPh>
    <rPh sb="22" eb="24">
      <t>ソコイタ</t>
    </rPh>
    <rPh sb="27" eb="31">
      <t>ヤジルシポリフク</t>
    </rPh>
    <rPh sb="31" eb="32">
      <t>キュウ</t>
    </rPh>
    <rPh sb="33" eb="35">
      <t>センタク</t>
    </rPh>
    <rPh sb="37" eb="40">
      <t>センメンダイ</t>
    </rPh>
    <rPh sb="47" eb="48">
      <t>オ</t>
    </rPh>
    <rPh sb="49" eb="50">
      <t>ダ</t>
    </rPh>
    <rPh sb="51" eb="56">
      <t>カンコウカンケントウ</t>
    </rPh>
    <phoneticPr fontId="1"/>
  </si>
  <si>
    <t>内藤 邦夫</t>
    <rPh sb="0" eb="2">
      <t>ナイトウ</t>
    </rPh>
    <rPh sb="3" eb="5">
      <t>クニオ</t>
    </rPh>
    <phoneticPr fontId="1"/>
  </si>
  <si>
    <t>048-686-4636</t>
    <phoneticPr fontId="1"/>
  </si>
  <si>
    <t>浴室デッキタイプ洗面所壁に点検口設置する　ｷｯﾁﾝホーロー板脱着予定　洗面台洗濯パンにずらす　</t>
    <rPh sb="0" eb="2">
      <t>ヨクシツ</t>
    </rPh>
    <rPh sb="8" eb="12">
      <t>センメンジョカベ</t>
    </rPh>
    <rPh sb="13" eb="18">
      <t>テンケンコウセッチ</t>
    </rPh>
    <rPh sb="29" eb="32">
      <t>イタダッチャク</t>
    </rPh>
    <rPh sb="32" eb="34">
      <t>ヨテイ</t>
    </rPh>
    <rPh sb="35" eb="38">
      <t>センメンダイ</t>
    </rPh>
    <rPh sb="38" eb="40">
      <t>センタク</t>
    </rPh>
    <phoneticPr fontId="1"/>
  </si>
  <si>
    <t>相見 哲也</t>
    <rPh sb="0" eb="2">
      <t>アイミ</t>
    </rPh>
    <rPh sb="3" eb="5">
      <t>テツヤ</t>
    </rPh>
    <phoneticPr fontId="1"/>
  </si>
  <si>
    <t>048-686-3544
090-5415-5100</t>
    <phoneticPr fontId="1"/>
  </si>
  <si>
    <t>WBV1117JT・197FN1</t>
    <phoneticPr fontId="1"/>
  </si>
  <si>
    <t>浴室鏡裏開口　ひな段既存壁だし　トイレ止水栓ｽﾄﾚｰﾅｰ付</t>
    <rPh sb="0" eb="2">
      <t>ヨクシツ</t>
    </rPh>
    <rPh sb="2" eb="6">
      <t>カガミウラカイコウ</t>
    </rPh>
    <rPh sb="9" eb="13">
      <t>ダンキゾンカベ</t>
    </rPh>
    <rPh sb="19" eb="22">
      <t>シスイセン</t>
    </rPh>
    <rPh sb="28" eb="29">
      <t>ツキ</t>
    </rPh>
    <phoneticPr fontId="1"/>
  </si>
  <si>
    <t>石田 和子</t>
    <rPh sb="0" eb="2">
      <t>イシダ</t>
    </rPh>
    <rPh sb="3" eb="5">
      <t>カズコ</t>
    </rPh>
    <phoneticPr fontId="1"/>
  </si>
  <si>
    <t>090-2766-3672</t>
    <phoneticPr fontId="1"/>
  </si>
  <si>
    <t>WRV1117・153AEJ</t>
    <phoneticPr fontId="1"/>
  </si>
  <si>
    <t>浴室内部材接続　洗面所トイレ床防音FL→後日選定　ひな段　</t>
    <rPh sb="0" eb="2">
      <t>ヨクシツ</t>
    </rPh>
    <rPh sb="2" eb="7">
      <t>ナイブザイセツゾク</t>
    </rPh>
    <rPh sb="8" eb="11">
      <t>センメンジョ</t>
    </rPh>
    <rPh sb="14" eb="15">
      <t>ユカ</t>
    </rPh>
    <rPh sb="15" eb="17">
      <t>ボウオン</t>
    </rPh>
    <rPh sb="20" eb="22">
      <t>ゴジツ</t>
    </rPh>
    <rPh sb="22" eb="24">
      <t>センテイ</t>
    </rPh>
    <rPh sb="27" eb="28">
      <t>ダン</t>
    </rPh>
    <phoneticPr fontId="1"/>
  </si>
  <si>
    <t>寺澤 秀和</t>
    <rPh sb="0" eb="2">
      <t>テラサワ</t>
    </rPh>
    <rPh sb="3" eb="5">
      <t>ヒデカズ</t>
    </rPh>
    <phoneticPr fontId="1"/>
  </si>
  <si>
    <t>048-797-8124</t>
    <phoneticPr fontId="1"/>
  </si>
  <si>
    <t>浴室デッキタイプ洗面所壁点検口設置する　洗濯パン洗面台側に少し寄せる棚置けるスペースは空ける　洗面台ｺｰｷﾝｸﾞ打ち　玄関物入扉ない　台所の水の勢いがすごい</t>
    <rPh sb="0" eb="2">
      <t>ヨクシツ</t>
    </rPh>
    <rPh sb="8" eb="12">
      <t>センメンジョカベ</t>
    </rPh>
    <rPh sb="12" eb="17">
      <t>テンケンコウセッチ</t>
    </rPh>
    <rPh sb="20" eb="22">
      <t>センタク</t>
    </rPh>
    <rPh sb="24" eb="27">
      <t>センメンダイ</t>
    </rPh>
    <rPh sb="27" eb="28">
      <t>ガワ</t>
    </rPh>
    <rPh sb="29" eb="30">
      <t>スコ</t>
    </rPh>
    <rPh sb="31" eb="32">
      <t>ヨ</t>
    </rPh>
    <rPh sb="34" eb="36">
      <t>タナオ</t>
    </rPh>
    <rPh sb="43" eb="44">
      <t>ア</t>
    </rPh>
    <rPh sb="47" eb="50">
      <t>センメンダイ</t>
    </rPh>
    <rPh sb="55" eb="57">
      <t>ウチ</t>
    </rPh>
    <rPh sb="59" eb="60">
      <t>ゲンカン</t>
    </rPh>
    <rPh sb="60" eb="62">
      <t>モノイレ</t>
    </rPh>
    <rPh sb="62" eb="63">
      <t>トビラ</t>
    </rPh>
    <rPh sb="63" eb="65">
      <t>ナイ</t>
    </rPh>
    <rPh sb="67" eb="69">
      <t>ダイドコロノ</t>
    </rPh>
    <rPh sb="71" eb="74">
      <t>イキオイガ</t>
    </rPh>
    <phoneticPr fontId="1"/>
  </si>
  <si>
    <t>園田 義昭</t>
    <rPh sb="0" eb="2">
      <t>ソノタ</t>
    </rPh>
    <rPh sb="3" eb="5">
      <t>ヨシアキ</t>
    </rPh>
    <phoneticPr fontId="1"/>
  </si>
  <si>
    <t>048-686-0832
090-9146-2606</t>
    <phoneticPr fontId="1"/>
  </si>
  <si>
    <t>浴室デッキタイプ洗面所点検口設置する　底板SUS→ポリ復旧　トイレ止水栓ｽﾄﾚｰﾅｰ付　洗濯パン洗面谷寄せる　引っ越しするかも予定決まったら連絡もらう　玄関物入のとって壊れている</t>
    <rPh sb="0" eb="2">
      <t>ヨクシツ</t>
    </rPh>
    <rPh sb="8" eb="11">
      <t>センメンジョ</t>
    </rPh>
    <rPh sb="11" eb="16">
      <t>テンケンコウセッチ</t>
    </rPh>
    <rPh sb="19" eb="21">
      <t>ソコイタ</t>
    </rPh>
    <rPh sb="24" eb="29">
      <t>ヤジルシポリフッキュウ</t>
    </rPh>
    <rPh sb="33" eb="36">
      <t>シスイセン</t>
    </rPh>
    <rPh sb="42" eb="43">
      <t>ツキ</t>
    </rPh>
    <rPh sb="44" eb="46">
      <t>センタク</t>
    </rPh>
    <rPh sb="48" eb="51">
      <t>センメンダニ</t>
    </rPh>
    <rPh sb="51" eb="52">
      <t>ヨ</t>
    </rPh>
    <rPh sb="55" eb="56">
      <t>ヒ</t>
    </rPh>
    <rPh sb="57" eb="58">
      <t>コ</t>
    </rPh>
    <rPh sb="63" eb="66">
      <t>ヨテイキ</t>
    </rPh>
    <rPh sb="70" eb="72">
      <t>レンラク</t>
    </rPh>
    <rPh sb="76" eb="80">
      <t>ゲンカンモノイレ</t>
    </rPh>
    <rPh sb="84" eb="85">
      <t>コワ</t>
    </rPh>
    <phoneticPr fontId="1"/>
  </si>
  <si>
    <t>喜屋武 有里</t>
    <rPh sb="0" eb="3">
      <t>キヤタケ</t>
    </rPh>
    <rPh sb="4" eb="5">
      <t>ユウ</t>
    </rPh>
    <rPh sb="5" eb="6">
      <t>リ</t>
    </rPh>
    <phoneticPr fontId="1"/>
  </si>
  <si>
    <t>080-4388-8045</t>
    <phoneticPr fontId="1"/>
  </si>
  <si>
    <t>WBV1117JT・167GL6</t>
    <phoneticPr fontId="1"/>
  </si>
  <si>
    <t>浴室鏡裏開口　ひな段既存壁だし　ガス乾燥機あり→ガスと排気外す　追い焚き管使えるが温度調整ができない</t>
    <rPh sb="0" eb="2">
      <t>ヨクシツ</t>
    </rPh>
    <rPh sb="2" eb="6">
      <t>カガミウラカイコウ</t>
    </rPh>
    <rPh sb="9" eb="13">
      <t>ダンキゾンカベ</t>
    </rPh>
    <rPh sb="18" eb="21">
      <t>カンソウキ</t>
    </rPh>
    <rPh sb="27" eb="29">
      <t>ハイキ</t>
    </rPh>
    <rPh sb="29" eb="30">
      <t>ハズ</t>
    </rPh>
    <rPh sb="32" eb="33">
      <t>オ</t>
    </rPh>
    <rPh sb="34" eb="35">
      <t>ダ</t>
    </rPh>
    <rPh sb="36" eb="37">
      <t>カン</t>
    </rPh>
    <rPh sb="37" eb="38">
      <t>ツカ</t>
    </rPh>
    <rPh sb="41" eb="45">
      <t>オンドチョウセイ</t>
    </rPh>
    <phoneticPr fontId="1"/>
  </si>
  <si>
    <t>西井 晃</t>
    <rPh sb="0" eb="2">
      <t>ニシイ</t>
    </rPh>
    <rPh sb="3" eb="4">
      <t>アキラ</t>
    </rPh>
    <phoneticPr fontId="1"/>
  </si>
  <si>
    <t>048-686-4634</t>
    <phoneticPr fontId="1"/>
  </si>
  <si>
    <t>浴室ｴﾌﾟﾛﾝ内点検口設置　トイレ止水栓Ｄ式ｱﾝｸﾞﾙ　追い焚き管交換検討　　ひな段</t>
    <rPh sb="0" eb="2">
      <t>ヨクシツ</t>
    </rPh>
    <rPh sb="7" eb="8">
      <t>ナイ</t>
    </rPh>
    <rPh sb="8" eb="13">
      <t>テンケンコウセッチ</t>
    </rPh>
    <rPh sb="17" eb="20">
      <t>シスイセン</t>
    </rPh>
    <rPh sb="21" eb="22">
      <t>シキ</t>
    </rPh>
    <rPh sb="28" eb="29">
      <t>オ</t>
    </rPh>
    <rPh sb="30" eb="31">
      <t>ダ</t>
    </rPh>
    <rPh sb="32" eb="37">
      <t>カンコウカンケントウ</t>
    </rPh>
    <rPh sb="41" eb="42">
      <t>ダン</t>
    </rPh>
    <phoneticPr fontId="1"/>
  </si>
  <si>
    <t>中村寿美子</t>
    <rPh sb="0" eb="2">
      <t>ナカムラ</t>
    </rPh>
    <rPh sb="2" eb="3">
      <t>コトブキ</t>
    </rPh>
    <rPh sb="3" eb="5">
      <t>ミコ</t>
    </rPh>
    <phoneticPr fontId="1"/>
  </si>
  <si>
    <t>048-685-7037</t>
    <phoneticPr fontId="1"/>
  </si>
  <si>
    <t>浴室ｴﾌﾟﾛﾝ内点検口設置する　洗濯パン洗面谷寄せる　トイレ止水栓ｽﾄﾚｰﾅｰ付　ひな段既存壁だし　1/18娘さん立ち合いのもと再説明済み</t>
    <rPh sb="0" eb="2">
      <t>ヨクシツ</t>
    </rPh>
    <rPh sb="7" eb="8">
      <t>ナイ</t>
    </rPh>
    <rPh sb="8" eb="13">
      <t>テンケンコウセッチ</t>
    </rPh>
    <rPh sb="16" eb="18">
      <t>センタク</t>
    </rPh>
    <rPh sb="20" eb="24">
      <t>センメンダニヨ</t>
    </rPh>
    <rPh sb="30" eb="33">
      <t>シスイセン</t>
    </rPh>
    <rPh sb="39" eb="40">
      <t>ツキ</t>
    </rPh>
    <rPh sb="43" eb="47">
      <t>ダンキゾンカベ</t>
    </rPh>
    <rPh sb="54" eb="55">
      <t>ムスメ</t>
    </rPh>
    <rPh sb="57" eb="58">
      <t>タ</t>
    </rPh>
    <rPh sb="59" eb="60">
      <t>ア</t>
    </rPh>
    <rPh sb="64" eb="68">
      <t>サイセツメイズ</t>
    </rPh>
    <phoneticPr fontId="1"/>
  </si>
  <si>
    <t>内田 彩歌</t>
    <rPh sb="0" eb="2">
      <t>ウチダ</t>
    </rPh>
    <rPh sb="3" eb="5">
      <t>アヤカ</t>
    </rPh>
    <phoneticPr fontId="1"/>
  </si>
  <si>
    <t>080-1172-3620</t>
    <phoneticPr fontId="1"/>
  </si>
  <si>
    <t>高杉 知裕</t>
    <rPh sb="0" eb="2">
      <t>タカスギ</t>
    </rPh>
    <rPh sb="3" eb="5">
      <t>トモヒロ</t>
    </rPh>
    <phoneticPr fontId="1"/>
  </si>
  <si>
    <t>090-2442-6274</t>
    <phoneticPr fontId="1"/>
  </si>
  <si>
    <t>浴室ｴﾌﾟﾛﾝ内点検口設置　台所トラップ既存テープで巻かれている　洗面台収納内が脱着する　洗濯パン洗面谷寄せる　トイレ棚クロス貼らない</t>
    <rPh sb="0" eb="2">
      <t>ヨクシツ</t>
    </rPh>
    <rPh sb="7" eb="8">
      <t>ナイ</t>
    </rPh>
    <rPh sb="8" eb="13">
      <t>テンケンコウセッチ</t>
    </rPh>
    <rPh sb="14" eb="16">
      <t>ダイドコロ</t>
    </rPh>
    <rPh sb="20" eb="22">
      <t>キゾン</t>
    </rPh>
    <rPh sb="26" eb="27">
      <t>マ</t>
    </rPh>
    <rPh sb="33" eb="36">
      <t>センメンダイ</t>
    </rPh>
    <rPh sb="36" eb="39">
      <t>シュウノウナイ</t>
    </rPh>
    <rPh sb="40" eb="42">
      <t>ダッチャク</t>
    </rPh>
    <rPh sb="45" eb="47">
      <t>センタク</t>
    </rPh>
    <rPh sb="49" eb="53">
      <t>センメンダニヨ</t>
    </rPh>
    <rPh sb="59" eb="60">
      <t>タナ</t>
    </rPh>
    <rPh sb="63" eb="64">
      <t>ハ</t>
    </rPh>
    <phoneticPr fontId="1"/>
  </si>
  <si>
    <t>小形 ノブ子</t>
    <rPh sb="0" eb="2">
      <t>オガタ</t>
    </rPh>
    <rPh sb="5" eb="6">
      <t>コ</t>
    </rPh>
    <phoneticPr fontId="1"/>
  </si>
  <si>
    <t>090-3681-3998</t>
    <phoneticPr fontId="1"/>
  </si>
  <si>
    <t>WZV1117・147TDQ</t>
    <phoneticPr fontId="1"/>
  </si>
  <si>
    <t>浴室エプロン内点検口ありｺｰｷﾝｸﾞ打ち　洗面所壁点検口あり　ひな段　ﾄｲﾚ止水栓ｽﾄﾚｰﾅｰ付　給湯管更新済み　洗濯パン洗面台に寄せる　トイレ手すりは最終日復旧　養生しない布団敷く　26-104に娘さんいる</t>
    <rPh sb="0" eb="2">
      <t>ヨクシツ</t>
    </rPh>
    <rPh sb="6" eb="10">
      <t>ナイテンケンコウ</t>
    </rPh>
    <rPh sb="18" eb="19">
      <t>ウ</t>
    </rPh>
    <rPh sb="21" eb="25">
      <t>センメンジョカベ</t>
    </rPh>
    <rPh sb="25" eb="28">
      <t>テンケンコウ</t>
    </rPh>
    <rPh sb="33" eb="34">
      <t>ダン</t>
    </rPh>
    <rPh sb="38" eb="41">
      <t>シスイセン</t>
    </rPh>
    <rPh sb="47" eb="48">
      <t>ツキ</t>
    </rPh>
    <rPh sb="49" eb="55">
      <t>キュウトウカンコウシンズ</t>
    </rPh>
    <rPh sb="57" eb="59">
      <t>センタク</t>
    </rPh>
    <rPh sb="61" eb="64">
      <t>センメンダイ</t>
    </rPh>
    <rPh sb="65" eb="66">
      <t>ヨ</t>
    </rPh>
    <rPh sb="72" eb="73">
      <t>テ</t>
    </rPh>
    <rPh sb="76" eb="79">
      <t>サイシュウビ</t>
    </rPh>
    <rPh sb="79" eb="81">
      <t>フッキュウ</t>
    </rPh>
    <rPh sb="82" eb="84">
      <t>ヨウジョウ</t>
    </rPh>
    <rPh sb="87" eb="90">
      <t>フトンシ</t>
    </rPh>
    <rPh sb="99" eb="100">
      <t>ムスメ</t>
    </rPh>
    <phoneticPr fontId="1"/>
  </si>
  <si>
    <t>中村 房江</t>
    <rPh sb="0" eb="2">
      <t>ナカムラ</t>
    </rPh>
    <rPh sb="3" eb="5">
      <t>フサエ</t>
    </rPh>
    <phoneticPr fontId="1"/>
  </si>
  <si>
    <t>048-686-4606</t>
    <phoneticPr fontId="1"/>
  </si>
  <si>
    <t>浴室エプロン内点検口設置　洗面所壁点検口あり　トイレ腰壁ﾊﾟﾈﾙ開口部分ははがしてOK、他はパネル残してクロスだけ貼替　トイレ止水栓Ｄ式ｱﾝｸﾞﾙ　ひな段</t>
    <rPh sb="0" eb="2">
      <t>ヨクシツ</t>
    </rPh>
    <rPh sb="6" eb="10">
      <t>ナイテンケンコウ</t>
    </rPh>
    <rPh sb="10" eb="12">
      <t>セッチ</t>
    </rPh>
    <rPh sb="13" eb="16">
      <t>センメ</t>
    </rPh>
    <rPh sb="16" eb="17">
      <t>カベ</t>
    </rPh>
    <rPh sb="17" eb="20">
      <t>テンケンコウ</t>
    </rPh>
    <rPh sb="26" eb="28">
      <t>コシカベ</t>
    </rPh>
    <rPh sb="32" eb="36">
      <t>カイコウブブン</t>
    </rPh>
    <rPh sb="44" eb="45">
      <t>ホカ</t>
    </rPh>
    <rPh sb="49" eb="50">
      <t>ノコ</t>
    </rPh>
    <rPh sb="57" eb="59">
      <t>ハリカエ</t>
    </rPh>
    <rPh sb="63" eb="66">
      <t>シスイセン</t>
    </rPh>
    <rPh sb="67" eb="68">
      <t>シキ</t>
    </rPh>
    <rPh sb="76" eb="77">
      <t>ダン</t>
    </rPh>
    <phoneticPr fontId="1"/>
  </si>
  <si>
    <t>村田 京三</t>
    <rPh sb="0" eb="2">
      <t>ムラタ</t>
    </rPh>
    <rPh sb="3" eb="5">
      <t>キョウゾウ</t>
    </rPh>
    <phoneticPr fontId="1"/>
  </si>
  <si>
    <t>048-684-2162</t>
    <phoneticPr fontId="1"/>
  </si>
  <si>
    <t>WBV1117JT・148D4S</t>
    <phoneticPr fontId="1"/>
  </si>
  <si>
    <t>浴室鏡裏開口　ﾄｲﾚ止水栓Ｄ式ｱﾝｸﾞﾙ　ひな段</t>
    <rPh sb="0" eb="2">
      <t>ヨクシツ</t>
    </rPh>
    <rPh sb="2" eb="6">
      <t>カガミウラカイコウ</t>
    </rPh>
    <rPh sb="10" eb="13">
      <t>シスイセン</t>
    </rPh>
    <rPh sb="14" eb="15">
      <t>シキ</t>
    </rPh>
    <rPh sb="23" eb="24">
      <t>ダン</t>
    </rPh>
    <phoneticPr fontId="1"/>
  </si>
  <si>
    <t>伊藤 司</t>
    <rPh sb="0" eb="2">
      <t>イトウ</t>
    </rPh>
    <rPh sb="3" eb="4">
      <t>ツカサ</t>
    </rPh>
    <phoneticPr fontId="1"/>
  </si>
  <si>
    <t>048-708-0752
080-3205-0177</t>
    <phoneticPr fontId="1"/>
  </si>
  <si>
    <t>浴室デッキタイプ　洗面所壁点検口設置　台所トラップ既存　内装等はｵｰﾅｰ様に確認する</t>
    <rPh sb="0" eb="2">
      <t>ヨクシツ</t>
    </rPh>
    <rPh sb="9" eb="16">
      <t>センメンジョカベテンケンコウ</t>
    </rPh>
    <rPh sb="16" eb="18">
      <t>セッチ</t>
    </rPh>
    <rPh sb="19" eb="21">
      <t>ダイドコロ</t>
    </rPh>
    <rPh sb="25" eb="27">
      <t>キゾン</t>
    </rPh>
    <rPh sb="28" eb="30">
      <t>ナイソウ</t>
    </rPh>
    <rPh sb="30" eb="31">
      <t>トウ</t>
    </rPh>
    <phoneticPr fontId="1"/>
  </si>
  <si>
    <t>里見 穂</t>
    <rPh sb="0" eb="2">
      <t>サトミ</t>
    </rPh>
    <rPh sb="3" eb="4">
      <t>ホ</t>
    </rPh>
    <phoneticPr fontId="1"/>
  </si>
  <si>
    <t>090-9320-1847</t>
    <phoneticPr fontId="1"/>
  </si>
  <si>
    <t>WRV1117・158DXQ</t>
    <phoneticPr fontId="1"/>
  </si>
  <si>
    <t>浴室内部材接続　洗面所壁点検口あり　洗濯パン洗面台によせる　給湯管、追い焚き管更新済み　OP洗面台交換検討　トイレのドアノブ壊れている</t>
    <rPh sb="0" eb="2">
      <t>ヨクシツ</t>
    </rPh>
    <rPh sb="2" eb="7">
      <t>ナイブザイセツゾク</t>
    </rPh>
    <rPh sb="8" eb="15">
      <t>センメンジョカベテンケンコウ</t>
    </rPh>
    <rPh sb="18" eb="20">
      <t>センタク</t>
    </rPh>
    <rPh sb="22" eb="25">
      <t>センメンダイ</t>
    </rPh>
    <rPh sb="30" eb="33">
      <t>キュウトウカン</t>
    </rPh>
    <rPh sb="34" eb="35">
      <t>オ</t>
    </rPh>
    <rPh sb="36" eb="37">
      <t>ダ</t>
    </rPh>
    <rPh sb="38" eb="39">
      <t>カン</t>
    </rPh>
    <rPh sb="39" eb="41">
      <t>コウシン</t>
    </rPh>
    <rPh sb="41" eb="42">
      <t>ズ</t>
    </rPh>
    <rPh sb="46" eb="49">
      <t>センメンダイ</t>
    </rPh>
    <rPh sb="49" eb="51">
      <t>コウカン</t>
    </rPh>
    <rPh sb="51" eb="53">
      <t>ケントウ</t>
    </rPh>
    <rPh sb="62" eb="63">
      <t>コワ</t>
    </rPh>
    <phoneticPr fontId="1"/>
  </si>
  <si>
    <t>中嶋 美地世</t>
    <rPh sb="0" eb="2">
      <t>ナカジマ</t>
    </rPh>
    <rPh sb="3" eb="4">
      <t>ビ</t>
    </rPh>
    <rPh sb="4" eb="5">
      <t>チ</t>
    </rPh>
    <rPh sb="5" eb="6">
      <t>ヨ</t>
    </rPh>
    <phoneticPr fontId="1"/>
  </si>
  <si>
    <t>080-6675-2709</t>
    <phoneticPr fontId="1"/>
  </si>
  <si>
    <t>WYV1116JT・157SNS</t>
    <phoneticPr fontId="1"/>
  </si>
  <si>
    <t>不可</t>
    <phoneticPr fontId="1"/>
  </si>
  <si>
    <t>浴室内部材接続　トイレ止水栓ｽﾄﾚｰﾅｰ付　洗濯モール立ち上げスペース無し→給水付き洗濯パン交換orふかし壁に穴開ける　洗面所ふかし壁ﾊﾟﾈﾙ　底板SUS→ポリ復旧　内装材カタログから選定する</t>
    <rPh sb="0" eb="2">
      <t>ヨクシツ</t>
    </rPh>
    <rPh sb="2" eb="5">
      <t>ナイブザイ</t>
    </rPh>
    <rPh sb="5" eb="7">
      <t>セツゾク</t>
    </rPh>
    <rPh sb="11" eb="14">
      <t>シスイセン</t>
    </rPh>
    <rPh sb="20" eb="21">
      <t>ツキ</t>
    </rPh>
    <rPh sb="22" eb="24">
      <t>センタク</t>
    </rPh>
    <rPh sb="27" eb="28">
      <t>タ</t>
    </rPh>
    <rPh sb="29" eb="30">
      <t>ア</t>
    </rPh>
    <rPh sb="35" eb="36">
      <t>ナ</t>
    </rPh>
    <rPh sb="38" eb="40">
      <t>キュウスイ</t>
    </rPh>
    <rPh sb="40" eb="41">
      <t>ツ</t>
    </rPh>
    <rPh sb="42" eb="44">
      <t>センタク</t>
    </rPh>
    <rPh sb="46" eb="48">
      <t>コウカン</t>
    </rPh>
    <rPh sb="53" eb="54">
      <t>カベ</t>
    </rPh>
    <rPh sb="55" eb="57">
      <t>アナア</t>
    </rPh>
    <rPh sb="60" eb="63">
      <t>センメンジョ</t>
    </rPh>
    <rPh sb="66" eb="67">
      <t>カベ</t>
    </rPh>
    <rPh sb="72" eb="74">
      <t>ソコイタ</t>
    </rPh>
    <rPh sb="77" eb="81">
      <t>ヤジルシポリフク</t>
    </rPh>
    <rPh sb="81" eb="82">
      <t>キュウ</t>
    </rPh>
    <rPh sb="83" eb="85">
      <t>ナイソウ</t>
    </rPh>
    <rPh sb="85" eb="86">
      <t>ザイ</t>
    </rPh>
    <rPh sb="92" eb="94">
      <t>センテイ</t>
    </rPh>
    <phoneticPr fontId="1"/>
  </si>
  <si>
    <t>芦沢</t>
    <rPh sb="0" eb="2">
      <t>アシザワ</t>
    </rPh>
    <phoneticPr fontId="1"/>
  </si>
  <si>
    <t>03-3533-1305</t>
    <phoneticPr fontId="1"/>
  </si>
  <si>
    <t>JZV1117・186481</t>
    <phoneticPr fontId="1"/>
  </si>
  <si>
    <t>ｴﾌﾟﾛﾝ内部材接続※もしかしたら外せないかもしれない、洗面所壁点検口設置かも
洗濯機と給湯器の隙間なし洗面台側からモール立ち上げ</t>
    <phoneticPr fontId="1"/>
  </si>
  <si>
    <t>浴室デッキタイプ洗面所壁に点検口設置する　トイレ止水栓ｽﾄﾚｰﾅｰ付　底板SUS→ポリ復旧　洗濯パン洗面谷ずらす　工事期間中は在宅してくれるお知らせはポスト投函OK</t>
    <rPh sb="0" eb="2">
      <t>ヨクシツ</t>
    </rPh>
    <rPh sb="8" eb="10">
      <t>センメン</t>
    </rPh>
    <rPh sb="10" eb="11">
      <t>ジョ</t>
    </rPh>
    <rPh sb="11" eb="12">
      <t>カベ</t>
    </rPh>
    <rPh sb="13" eb="16">
      <t>テンケンコウ</t>
    </rPh>
    <rPh sb="16" eb="18">
      <t>セッチ</t>
    </rPh>
    <rPh sb="24" eb="27">
      <t>シスイセン</t>
    </rPh>
    <rPh sb="33" eb="34">
      <t>ツキ</t>
    </rPh>
    <rPh sb="35" eb="37">
      <t>ソコイタ</t>
    </rPh>
    <rPh sb="43" eb="45">
      <t>フッキュウ</t>
    </rPh>
    <rPh sb="46" eb="48">
      <t>センタク</t>
    </rPh>
    <rPh sb="50" eb="52">
      <t>センメン</t>
    </rPh>
    <rPh sb="52" eb="53">
      <t>ダニ</t>
    </rPh>
    <rPh sb="57" eb="59">
      <t>コウジ</t>
    </rPh>
    <rPh sb="59" eb="62">
      <t>キカンチュウ</t>
    </rPh>
    <rPh sb="63" eb="65">
      <t>ザイタク</t>
    </rPh>
    <rPh sb="71" eb="72">
      <t>シ</t>
    </rPh>
    <rPh sb="78" eb="80">
      <t>トウカン</t>
    </rPh>
    <phoneticPr fontId="1"/>
  </si>
  <si>
    <t>上原 五夫</t>
    <rPh sb="0" eb="2">
      <t>ウエハラ</t>
    </rPh>
    <rPh sb="3" eb="5">
      <t>イツオ</t>
    </rPh>
    <phoneticPr fontId="1"/>
  </si>
  <si>
    <t>048-686-4677</t>
    <phoneticPr fontId="1"/>
  </si>
  <si>
    <t>WRV1117・158B26</t>
    <phoneticPr fontId="1"/>
  </si>
  <si>
    <t>浴室内部材接続　ひな段　追い焚き管更新済みぽい</t>
    <rPh sb="0" eb="2">
      <t>ヨクシツ</t>
    </rPh>
    <rPh sb="2" eb="7">
      <t>ナイブザイセツゾク</t>
    </rPh>
    <rPh sb="10" eb="11">
      <t>ダン</t>
    </rPh>
    <rPh sb="12" eb="13">
      <t>オ</t>
    </rPh>
    <rPh sb="14" eb="15">
      <t>ダ</t>
    </rPh>
    <rPh sb="16" eb="20">
      <t>カンコウシンズ</t>
    </rPh>
    <phoneticPr fontId="1"/>
  </si>
  <si>
    <t>桐生 知之</t>
    <rPh sb="0" eb="2">
      <t>キリュウ</t>
    </rPh>
    <rPh sb="3" eb="5">
      <t>トモユキ</t>
    </rPh>
    <phoneticPr fontId="1"/>
  </si>
  <si>
    <t>048-686-4629</t>
    <phoneticPr fontId="1"/>
  </si>
  <si>
    <t>JZC1117・133845</t>
    <phoneticPr fontId="1"/>
  </si>
  <si>
    <t>唐牛 茂</t>
    <rPh sb="0" eb="2">
      <t>カラウシ</t>
    </rPh>
    <rPh sb="3" eb="4">
      <t>シゲル</t>
    </rPh>
    <phoneticPr fontId="1"/>
  </si>
  <si>
    <t>048-686-4652</t>
    <phoneticPr fontId="1"/>
  </si>
  <si>
    <t>750+300</t>
    <phoneticPr fontId="1"/>
  </si>
  <si>
    <t>WRV1117・152PEK</t>
    <phoneticPr fontId="1"/>
  </si>
  <si>
    <t>隠蔽配管希望洋室ｸﾛｰｾﾞｯﾄ内ベニヤ、給水付き洗濯パン交換希望　露出配管は嫌そう　トイレ壁エコカラット部分は貼替なし、止水栓ｽﾄﾚｰﾅｰ付　洗面所床タイル300角(既存CFの上からはっている)→現状復旧希望　TES撤去したい→費用かかるよ　ひな段既存壁だし　</t>
    <rPh sb="0" eb="4">
      <t>インペイハイカン</t>
    </rPh>
    <rPh sb="4" eb="6">
      <t>キボウ</t>
    </rPh>
    <rPh sb="6" eb="8">
      <t>ヨウシツ</t>
    </rPh>
    <rPh sb="15" eb="16">
      <t>ナイ</t>
    </rPh>
    <rPh sb="20" eb="23">
      <t>キュウスイツ</t>
    </rPh>
    <rPh sb="24" eb="26">
      <t>センタク</t>
    </rPh>
    <rPh sb="28" eb="30">
      <t>コウカン</t>
    </rPh>
    <rPh sb="30" eb="32">
      <t>キボウ</t>
    </rPh>
    <rPh sb="33" eb="37">
      <t>ロシュツハイカン</t>
    </rPh>
    <rPh sb="38" eb="39">
      <t>イヤ</t>
    </rPh>
    <rPh sb="45" eb="46">
      <t>カベ</t>
    </rPh>
    <rPh sb="52" eb="54">
      <t>ブブン</t>
    </rPh>
    <rPh sb="55" eb="57">
      <t>ハリカエ</t>
    </rPh>
    <rPh sb="60" eb="63">
      <t>シスイセン</t>
    </rPh>
    <rPh sb="69" eb="70">
      <t>ツキ</t>
    </rPh>
    <rPh sb="71" eb="74">
      <t>センメンジョ</t>
    </rPh>
    <rPh sb="74" eb="75">
      <t>ユカ</t>
    </rPh>
    <rPh sb="81" eb="82">
      <t>カク</t>
    </rPh>
    <rPh sb="83" eb="85">
      <t>キゾン</t>
    </rPh>
    <rPh sb="88" eb="89">
      <t>ウエ</t>
    </rPh>
    <rPh sb="123" eb="127">
      <t>ダンキゾンカベ</t>
    </rPh>
    <phoneticPr fontId="1"/>
  </si>
  <si>
    <t>細川 由美子</t>
    <rPh sb="0" eb="2">
      <t>ホソカワ</t>
    </rPh>
    <rPh sb="3" eb="6">
      <t>ユミコ</t>
    </rPh>
    <phoneticPr fontId="1"/>
  </si>
  <si>
    <t>048-686-8987
080-8430-4708</t>
    <phoneticPr fontId="1"/>
  </si>
  <si>
    <t>浴室ｴﾌﾟﾛﾝ内点検口設置　給湯器造作カバー付き外せる　ひな段　OP洗面台交換希望</t>
    <rPh sb="0" eb="2">
      <t>ヨクシツ</t>
    </rPh>
    <rPh sb="7" eb="8">
      <t>ナイ</t>
    </rPh>
    <rPh sb="8" eb="13">
      <t>テンケンコウセッチ</t>
    </rPh>
    <rPh sb="14" eb="17">
      <t>キュウトウキ</t>
    </rPh>
    <rPh sb="17" eb="19">
      <t>ゾウサク</t>
    </rPh>
    <rPh sb="22" eb="23">
      <t>ツ</t>
    </rPh>
    <rPh sb="24" eb="25">
      <t>ハズ</t>
    </rPh>
    <rPh sb="30" eb="31">
      <t>ダン</t>
    </rPh>
    <rPh sb="34" eb="39">
      <t>センメンダイコウカン</t>
    </rPh>
    <rPh sb="39" eb="41">
      <t>キボウ</t>
    </rPh>
    <phoneticPr fontId="1"/>
  </si>
  <si>
    <t>佐々木 徳子</t>
    <rPh sb="0" eb="3">
      <t>ササキ</t>
    </rPh>
    <rPh sb="4" eb="6">
      <t>ノリコ</t>
    </rPh>
    <phoneticPr fontId="1"/>
  </si>
  <si>
    <t>080-9426-1958</t>
    <phoneticPr fontId="1"/>
  </si>
  <si>
    <t>給湯管、追い焚き管更新済み(床下はどうなっているか不明)　洗濯パン洗面谷寄せる　トイレ止水栓ｽﾄﾚｰﾅｰ付　洗面所壁に点検口設置する　ひな段既存壁だし　防犯気になる今回の工事は必ずやらないといけないのか→全住戸やると説明　内装後日かタログから選定or品番連絡してもらう</t>
    <rPh sb="0" eb="3">
      <t>キュウトウカン</t>
    </rPh>
    <rPh sb="4" eb="5">
      <t>オ</t>
    </rPh>
    <rPh sb="6" eb="7">
      <t>ダ</t>
    </rPh>
    <rPh sb="8" eb="12">
      <t>カンコウシンズ</t>
    </rPh>
    <rPh sb="14" eb="16">
      <t>ユカシタ</t>
    </rPh>
    <rPh sb="25" eb="27">
      <t>フメイ</t>
    </rPh>
    <rPh sb="29" eb="31">
      <t>センタク</t>
    </rPh>
    <rPh sb="33" eb="37">
      <t>センメンダニヨ</t>
    </rPh>
    <rPh sb="43" eb="46">
      <t>シスイセン</t>
    </rPh>
    <rPh sb="52" eb="53">
      <t>ツキ</t>
    </rPh>
    <rPh sb="54" eb="58">
      <t>センメンジョカベ</t>
    </rPh>
    <rPh sb="59" eb="64">
      <t>テンケンコウセッチ</t>
    </rPh>
    <rPh sb="69" eb="73">
      <t>ダンキゾンカベ</t>
    </rPh>
    <rPh sb="76" eb="79">
      <t>ボウハンキ</t>
    </rPh>
    <rPh sb="125" eb="127">
      <t>ヒンバン</t>
    </rPh>
    <rPh sb="127" eb="129">
      <t>レンラク</t>
    </rPh>
    <phoneticPr fontId="1"/>
  </si>
  <si>
    <t>吉岡 千枝子</t>
    <rPh sb="0" eb="2">
      <t>ヨシオカ</t>
    </rPh>
    <rPh sb="3" eb="6">
      <t>チエコ</t>
    </rPh>
    <phoneticPr fontId="1"/>
  </si>
  <si>
    <t>048-686-4678</t>
    <phoneticPr fontId="1"/>
  </si>
  <si>
    <t>浴室デッキタイプ部材残ってないので洗面所壁に点検口再使用　トイレ止水栓Ｄ式ｱﾝｸﾞﾙ　ひな段　給湯管更新済み→更新するか検討中</t>
    <rPh sb="0" eb="2">
      <t>ヨクシツ</t>
    </rPh>
    <rPh sb="8" eb="10">
      <t>ブザイ</t>
    </rPh>
    <rPh sb="10" eb="11">
      <t>ノコ</t>
    </rPh>
    <rPh sb="17" eb="21">
      <t>センメンジョカベ</t>
    </rPh>
    <rPh sb="22" eb="25">
      <t>テンケンコウ</t>
    </rPh>
    <rPh sb="25" eb="28">
      <t>サイシヨウ</t>
    </rPh>
    <rPh sb="32" eb="35">
      <t>シスイセン</t>
    </rPh>
    <rPh sb="36" eb="37">
      <t>シキ</t>
    </rPh>
    <rPh sb="45" eb="46">
      <t>ダン</t>
    </rPh>
    <rPh sb="47" eb="53">
      <t>キュウトウカンコウシンズ</t>
    </rPh>
    <rPh sb="55" eb="57">
      <t>コウシン</t>
    </rPh>
    <rPh sb="60" eb="63">
      <t>ケントウチュウ</t>
    </rPh>
    <phoneticPr fontId="1"/>
  </si>
  <si>
    <t>浴室ｴﾌﾟﾛﾝ内点検口設置　洗面所ふかし壁あり給湯機隠しているビス止めされているのですぐ外せる　ひな段</t>
    <rPh sb="0" eb="2">
      <t>ヨクシツ</t>
    </rPh>
    <rPh sb="7" eb="8">
      <t>ナイ</t>
    </rPh>
    <rPh sb="8" eb="13">
      <t>テンケンコウセッチ</t>
    </rPh>
    <rPh sb="14" eb="17">
      <t>センメンジョ</t>
    </rPh>
    <rPh sb="20" eb="21">
      <t>カベ</t>
    </rPh>
    <rPh sb="23" eb="26">
      <t>キュウトウキ</t>
    </rPh>
    <rPh sb="26" eb="27">
      <t>カク</t>
    </rPh>
    <rPh sb="33" eb="34">
      <t>ド</t>
    </rPh>
    <rPh sb="44" eb="45">
      <t>ハズ</t>
    </rPh>
    <rPh sb="50" eb="51">
      <t>ダン</t>
    </rPh>
    <phoneticPr fontId="1"/>
  </si>
  <si>
    <t>野寺 敏弘</t>
    <rPh sb="0" eb="2">
      <t>ノデラ</t>
    </rPh>
    <rPh sb="3" eb="5">
      <t>トシヒロ</t>
    </rPh>
    <phoneticPr fontId="1"/>
  </si>
  <si>
    <t>048-687-6349</t>
    <phoneticPr fontId="1"/>
  </si>
  <si>
    <t>トイレ止水栓ｽﾄﾚｰﾅｰ付　洗面所壁点検口設置　TES使用中　ひな段</t>
    <rPh sb="3" eb="6">
      <t>シスイセン</t>
    </rPh>
    <rPh sb="12" eb="13">
      <t>ツキ</t>
    </rPh>
    <rPh sb="14" eb="23">
      <t>センメンジョカベテンケンコウセッチ</t>
    </rPh>
    <rPh sb="27" eb="30">
      <t>シヨウチュウ</t>
    </rPh>
    <rPh sb="33" eb="34">
      <t>ダン</t>
    </rPh>
    <phoneticPr fontId="1"/>
  </si>
  <si>
    <t>吉原 明</t>
    <rPh sb="0" eb="2">
      <t>ヨシワラ</t>
    </rPh>
    <rPh sb="3" eb="4">
      <t>アキラ</t>
    </rPh>
    <phoneticPr fontId="1"/>
  </si>
  <si>
    <t>048-688-4195</t>
    <phoneticPr fontId="1"/>
  </si>
  <si>
    <t>浴室ｴﾌﾟﾛﾝ内点検口設置　ひな段既存壁だし　TESは撤去したけど新しくつけた</t>
    <rPh sb="0" eb="2">
      <t>ヨクシツ</t>
    </rPh>
    <rPh sb="7" eb="8">
      <t>ナイ</t>
    </rPh>
    <rPh sb="8" eb="13">
      <t>テンケンコウセッチ</t>
    </rPh>
    <rPh sb="16" eb="17">
      <t>ダン</t>
    </rPh>
    <rPh sb="17" eb="20">
      <t>キゾンカベ</t>
    </rPh>
    <rPh sb="27" eb="29">
      <t>テッキョ</t>
    </rPh>
    <rPh sb="33" eb="34">
      <t>アタラ</t>
    </rPh>
    <phoneticPr fontId="1"/>
  </si>
  <si>
    <t>朱 寧春</t>
    <rPh sb="0" eb="1">
      <t>シュ</t>
    </rPh>
    <rPh sb="2" eb="3">
      <t>ネイ</t>
    </rPh>
    <rPh sb="3" eb="4">
      <t>ハル</t>
    </rPh>
    <phoneticPr fontId="1"/>
  </si>
  <si>
    <t>080-1188-2927</t>
    <phoneticPr fontId="1"/>
  </si>
  <si>
    <t>浴室ｴﾌﾟﾛﾝ内点検口設置　底板SUS→ポリ復旧　</t>
    <rPh sb="0" eb="2">
      <t>ヨクシツ</t>
    </rPh>
    <rPh sb="7" eb="8">
      <t>ナイ</t>
    </rPh>
    <rPh sb="8" eb="13">
      <t>テンケンコウセッチ</t>
    </rPh>
    <rPh sb="14" eb="16">
      <t>ソコイタ</t>
    </rPh>
    <rPh sb="19" eb="24">
      <t>ヤジルシポリフッキュウ</t>
    </rPh>
    <phoneticPr fontId="1"/>
  </si>
  <si>
    <t>小西 勝利</t>
    <rPh sb="0" eb="2">
      <t>コニシ</t>
    </rPh>
    <rPh sb="3" eb="5">
      <t>カツトシ</t>
    </rPh>
    <phoneticPr fontId="1"/>
  </si>
  <si>
    <t>048-686-4633</t>
    <phoneticPr fontId="1"/>
  </si>
  <si>
    <t>浴室ｴﾌﾟﾛﾝ内部材接続　トイレ止水栓ストレーナー付　底板SUS→ポリ復旧　TES使用中</t>
    <rPh sb="0" eb="2">
      <t>ヨクシツ</t>
    </rPh>
    <rPh sb="7" eb="8">
      <t>ナイ</t>
    </rPh>
    <rPh sb="8" eb="12">
      <t>ブザイセツゾク</t>
    </rPh>
    <rPh sb="16" eb="19">
      <t>シスイセン</t>
    </rPh>
    <rPh sb="25" eb="26">
      <t>ツ</t>
    </rPh>
    <rPh sb="27" eb="29">
      <t>ソコイタ</t>
    </rPh>
    <rPh sb="35" eb="37">
      <t>フッキュウ</t>
    </rPh>
    <rPh sb="41" eb="44">
      <t>シヨウチュウ</t>
    </rPh>
    <phoneticPr fontId="1"/>
  </si>
  <si>
    <t>北原 剛</t>
    <rPh sb="0" eb="2">
      <t>キタハラ</t>
    </rPh>
    <rPh sb="3" eb="4">
      <t>ツヨシ</t>
    </rPh>
    <phoneticPr fontId="1"/>
  </si>
  <si>
    <t>090-2629-1314</t>
    <phoneticPr fontId="1"/>
  </si>
  <si>
    <t>WZV1117・1484AL</t>
    <phoneticPr fontId="1"/>
  </si>
  <si>
    <t>JZV1116・166300</t>
    <phoneticPr fontId="1"/>
  </si>
  <si>
    <t>浴室ｴﾌﾟﾛﾝ内点検口設置　洗面所床CFの上にフロアタイル敷いてある　玄関物入塗装→ベニヤ復旧OK　ｷｯﾁﾝ背板開口広げる　底板は開口無し</t>
    <rPh sb="0" eb="2">
      <t>ヨクシツ</t>
    </rPh>
    <rPh sb="7" eb="8">
      <t>ナイ</t>
    </rPh>
    <rPh sb="8" eb="13">
      <t>テンケンコウセッチ</t>
    </rPh>
    <rPh sb="14" eb="18">
      <t>センメンジョユカ</t>
    </rPh>
    <rPh sb="21" eb="22">
      <t>ウエ</t>
    </rPh>
    <rPh sb="29" eb="30">
      <t>シ</t>
    </rPh>
    <rPh sb="35" eb="39">
      <t>ゲンカンモノイレ</t>
    </rPh>
    <rPh sb="39" eb="41">
      <t>トソウ</t>
    </rPh>
    <rPh sb="45" eb="47">
      <t>フッキュウ</t>
    </rPh>
    <rPh sb="54" eb="56">
      <t>セイタ</t>
    </rPh>
    <rPh sb="56" eb="58">
      <t>カイコウ</t>
    </rPh>
    <rPh sb="58" eb="59">
      <t>ヒロ</t>
    </rPh>
    <rPh sb="62" eb="64">
      <t>ソコイタ</t>
    </rPh>
    <rPh sb="65" eb="68">
      <t>カイコウナ</t>
    </rPh>
    <phoneticPr fontId="1"/>
  </si>
  <si>
    <t>藤原 哲夫</t>
    <rPh sb="0" eb="2">
      <t>フジワラ</t>
    </rPh>
    <rPh sb="3" eb="5">
      <t>テツオ</t>
    </rPh>
    <phoneticPr fontId="1"/>
  </si>
  <si>
    <t>048-686-46660</t>
    <phoneticPr fontId="1"/>
  </si>
  <si>
    <t>WRV1117・160MKG</t>
    <phoneticPr fontId="1"/>
  </si>
  <si>
    <t>浴室鏡裏開口　ﾄｲﾚ止水栓Ｄ式ｱﾝｸﾞﾙ　ひな段　追い焚き管更新されているか不明→交換検討している(ＯＰで)　隠蔽配管希望してたけど基本ルートでいいらしい</t>
    <rPh sb="0" eb="2">
      <t>ヨクシツ</t>
    </rPh>
    <rPh sb="2" eb="6">
      <t>カガミウラカイコウ</t>
    </rPh>
    <rPh sb="10" eb="13">
      <t>シスイセン</t>
    </rPh>
    <rPh sb="14" eb="15">
      <t>シキ</t>
    </rPh>
    <rPh sb="23" eb="24">
      <t>ダン</t>
    </rPh>
    <rPh sb="25" eb="26">
      <t>オ</t>
    </rPh>
    <rPh sb="27" eb="28">
      <t>ダ</t>
    </rPh>
    <rPh sb="29" eb="30">
      <t>カン</t>
    </rPh>
    <rPh sb="31" eb="34">
      <t>サレテ</t>
    </rPh>
    <rPh sb="37" eb="39">
      <t>フメイ</t>
    </rPh>
    <rPh sb="39" eb="40">
      <t>ヤジルシ</t>
    </rPh>
    <rPh sb="40" eb="42">
      <t>コウカン</t>
    </rPh>
    <rPh sb="42" eb="45">
      <t>ケントウ</t>
    </rPh>
    <rPh sb="55" eb="56">
      <t>インペイ</t>
    </rPh>
    <rPh sb="56" eb="58">
      <t>ハイカン</t>
    </rPh>
    <rPh sb="58" eb="61">
      <t>キボウ</t>
    </rPh>
    <rPh sb="65" eb="67">
      <t>キホン</t>
    </rPh>
    <rPh sb="67" eb="71">
      <t>ルートデ</t>
    </rPh>
    <phoneticPr fontId="1"/>
  </si>
  <si>
    <t>鈴木 彰</t>
    <rPh sb="0" eb="2">
      <t>スズキ</t>
    </rPh>
    <rPh sb="3" eb="4">
      <t>アキラ</t>
    </rPh>
    <phoneticPr fontId="1"/>
  </si>
  <si>
    <t>048-683-9181</t>
    <phoneticPr fontId="1"/>
  </si>
  <si>
    <t>WRV1117・159DJJ</t>
    <phoneticPr fontId="1"/>
  </si>
  <si>
    <t>浴室内部材接続　トイレ止水栓Ｄ式ｱﾝｸﾞﾙ　洗面所壁点検口あり　ひな段既存壁だし　給湯管更新済み→残すか検討中　</t>
    <rPh sb="0" eb="2">
      <t>ヨクシツ</t>
    </rPh>
    <rPh sb="2" eb="7">
      <t>ナイブザイセツゾク</t>
    </rPh>
    <rPh sb="11" eb="14">
      <t>シスイセン</t>
    </rPh>
    <rPh sb="15" eb="16">
      <t>シキ</t>
    </rPh>
    <rPh sb="22" eb="26">
      <t>センメンジョカベ</t>
    </rPh>
    <rPh sb="26" eb="29">
      <t>テンケンコウ</t>
    </rPh>
    <rPh sb="34" eb="35">
      <t>ダン</t>
    </rPh>
    <rPh sb="35" eb="38">
      <t>キゾンカベ</t>
    </rPh>
    <rPh sb="41" eb="47">
      <t>キュウトウカンコウシンズ</t>
    </rPh>
    <rPh sb="49" eb="50">
      <t>ノコ</t>
    </rPh>
    <rPh sb="52" eb="55">
      <t>ケントウチュウ</t>
    </rPh>
    <phoneticPr fontId="1"/>
  </si>
  <si>
    <t>澤村 稔</t>
    <rPh sb="0" eb="2">
      <t>サワムラ</t>
    </rPh>
    <rPh sb="3" eb="4">
      <t>ネン</t>
    </rPh>
    <phoneticPr fontId="1"/>
  </si>
  <si>
    <t>080-4435-5179</t>
    <phoneticPr fontId="1"/>
  </si>
  <si>
    <t>WBV1117JT・17525S</t>
    <phoneticPr fontId="1"/>
  </si>
  <si>
    <t>浴室鏡裏開口　底板SUS→ポリ復旧</t>
    <rPh sb="0" eb="2">
      <t>ヨクシツ</t>
    </rPh>
    <rPh sb="2" eb="6">
      <t>カガミウラカイコウ</t>
    </rPh>
    <rPh sb="7" eb="9">
      <t>ソコイタ</t>
    </rPh>
    <rPh sb="12" eb="17">
      <t>ヤジルシポリフッキュウ</t>
    </rPh>
    <phoneticPr fontId="1"/>
  </si>
  <si>
    <t>内田 友里</t>
    <rPh sb="0" eb="2">
      <t>ウチダ</t>
    </rPh>
    <rPh sb="3" eb="4">
      <t>トモ</t>
    </rPh>
    <rPh sb="4" eb="5">
      <t>サト</t>
    </rPh>
    <phoneticPr fontId="1"/>
  </si>
  <si>
    <t>090-6180-6950</t>
    <phoneticPr fontId="1"/>
  </si>
  <si>
    <t>WZV1316・1478QT</t>
    <phoneticPr fontId="1"/>
  </si>
  <si>
    <t>浴室広くなっている内部材接続　洗濯機位置変更ふかし壁に水栓ついてる　ふかし壁の点検口からのぞいた感じ配管変わっていそうだが床下は不明　乾燥機ガスと排気とる　洗面所床CFとタイル見切りつけてはっているトイレ床洗面所とつながっている</t>
    <rPh sb="0" eb="2">
      <t>ヨクシツ</t>
    </rPh>
    <rPh sb="2" eb="3">
      <t>ヒロ</t>
    </rPh>
    <rPh sb="9" eb="14">
      <t>ナイブザイセツゾク</t>
    </rPh>
    <rPh sb="15" eb="22">
      <t>センタクキイチヘンコウ</t>
    </rPh>
    <rPh sb="25" eb="26">
      <t>カベ</t>
    </rPh>
    <rPh sb="27" eb="29">
      <t>スイセン</t>
    </rPh>
    <rPh sb="37" eb="38">
      <t>カベ</t>
    </rPh>
    <rPh sb="39" eb="42">
      <t>テンケンコウ</t>
    </rPh>
    <rPh sb="48" eb="49">
      <t>カン</t>
    </rPh>
    <rPh sb="50" eb="53">
      <t>ハイカンカ</t>
    </rPh>
    <rPh sb="61" eb="63">
      <t>ユカシタ</t>
    </rPh>
    <rPh sb="64" eb="66">
      <t>フメイ</t>
    </rPh>
    <rPh sb="67" eb="70">
      <t>カンソウキ</t>
    </rPh>
    <rPh sb="73" eb="75">
      <t>ハイキ</t>
    </rPh>
    <rPh sb="78" eb="82">
      <t>センメンジョユカ</t>
    </rPh>
    <rPh sb="88" eb="90">
      <t>ミキ</t>
    </rPh>
    <rPh sb="102" eb="103">
      <t>ユカ</t>
    </rPh>
    <rPh sb="103" eb="106">
      <t>センメンジョ</t>
    </rPh>
    <phoneticPr fontId="1"/>
  </si>
  <si>
    <t>CF
タイル</t>
    <phoneticPr fontId="1"/>
  </si>
  <si>
    <t>タイル</t>
    <phoneticPr fontId="1"/>
  </si>
  <si>
    <t>鈴木 安之</t>
    <rPh sb="0" eb="2">
      <t>スズキ</t>
    </rPh>
    <rPh sb="3" eb="4">
      <t>ヤス</t>
    </rPh>
    <rPh sb="4" eb="5">
      <t>ユキ</t>
    </rPh>
    <phoneticPr fontId="1"/>
  </si>
  <si>
    <t>048-685-8274</t>
    <phoneticPr fontId="1"/>
  </si>
  <si>
    <t>浴室デッキタイプ洗面所壁点検口設置　ﾄｲﾚ止水栓Ｄ式ｱﾝｸﾞﾙ　洗濯パン洗面台にずらす　奥さん足悪い　底板SUS→ポリ復旧</t>
    <rPh sb="0" eb="2">
      <t>ヨクシツ</t>
    </rPh>
    <rPh sb="8" eb="12">
      <t>センメンジョカベ</t>
    </rPh>
    <rPh sb="12" eb="17">
      <t>テンケンコウセッチ</t>
    </rPh>
    <rPh sb="21" eb="24">
      <t>シスイセン</t>
    </rPh>
    <rPh sb="25" eb="26">
      <t>シキ</t>
    </rPh>
    <rPh sb="32" eb="34">
      <t>センタク</t>
    </rPh>
    <rPh sb="36" eb="39">
      <t>センメンダイ</t>
    </rPh>
    <rPh sb="44" eb="45">
      <t>オク</t>
    </rPh>
    <rPh sb="47" eb="48">
      <t>アシ</t>
    </rPh>
    <rPh sb="48" eb="49">
      <t>ワル</t>
    </rPh>
    <rPh sb="51" eb="53">
      <t>ソコイタ</t>
    </rPh>
    <rPh sb="56" eb="61">
      <t>ヤジルシポリフッキュウ</t>
    </rPh>
    <phoneticPr fontId="1"/>
  </si>
  <si>
    <t>中澤</t>
    <rPh sb="0" eb="2">
      <t>ナカサワ</t>
    </rPh>
    <phoneticPr fontId="1"/>
  </si>
  <si>
    <t>048-686-4651</t>
    <phoneticPr fontId="1"/>
  </si>
  <si>
    <t>750+320ｷｬﾋﾞ</t>
    <phoneticPr fontId="1"/>
  </si>
  <si>
    <t>WRV1117・1559WS</t>
    <phoneticPr fontId="1"/>
  </si>
  <si>
    <t>浴室デッキタイプ　洗面所壁点検口あり　給湯管更新済み　給水付き洗濯パン交換希望　トイレ止水栓Ｄ式ｱﾝｸﾞﾙ　隠蔽配管検討　ひな段既存壁だし</t>
    <rPh sb="0" eb="2">
      <t>ヨクシツ</t>
    </rPh>
    <rPh sb="9" eb="13">
      <t>センメンジョカベ</t>
    </rPh>
    <rPh sb="13" eb="16">
      <t>テンケンコウ</t>
    </rPh>
    <rPh sb="19" eb="25">
      <t>キュウトウカンコウシンズ</t>
    </rPh>
    <rPh sb="27" eb="30">
      <t>キュウスイツ</t>
    </rPh>
    <rPh sb="31" eb="33">
      <t>センタク</t>
    </rPh>
    <rPh sb="35" eb="37">
      <t>コウカン</t>
    </rPh>
    <rPh sb="37" eb="39">
      <t>キボウ</t>
    </rPh>
    <rPh sb="43" eb="46">
      <t>シスイセン</t>
    </rPh>
    <rPh sb="47" eb="48">
      <t>シキ</t>
    </rPh>
    <rPh sb="54" eb="60">
      <t>インペイハイカンケントウ</t>
    </rPh>
    <rPh sb="63" eb="65">
      <t>キゾン</t>
    </rPh>
    <rPh sb="65" eb="66">
      <t>カベ</t>
    </rPh>
    <rPh sb="66" eb="67">
      <t>ダ</t>
    </rPh>
    <phoneticPr fontId="1"/>
  </si>
  <si>
    <t>小久保 智行</t>
    <rPh sb="0" eb="3">
      <t>コクボ</t>
    </rPh>
    <rPh sb="4" eb="6">
      <t>トモユキ</t>
    </rPh>
    <phoneticPr fontId="1"/>
  </si>
  <si>
    <t>048-684-7673
080-3258-8473</t>
    <phoneticPr fontId="1"/>
  </si>
  <si>
    <t>浴室デッキタイプ洗面所壁点検口設置　荷物多い　底板SUS→ポリ復旧　トイレ止水栓Ｄ式ｱﾝｸﾞﾙ　洗濯パン洗面台にずらす　玄関物入の取っ手壊れている　浴室のドア壊れている</t>
    <rPh sb="0" eb="2">
      <t>ヨクシツ</t>
    </rPh>
    <rPh sb="8" eb="12">
      <t>センメンジョカベ</t>
    </rPh>
    <rPh sb="12" eb="17">
      <t>テンケンコウセッチ</t>
    </rPh>
    <rPh sb="18" eb="20">
      <t>ニモツ</t>
    </rPh>
    <rPh sb="20" eb="21">
      <t>オオ</t>
    </rPh>
    <rPh sb="23" eb="25">
      <t>ソコイタ</t>
    </rPh>
    <rPh sb="28" eb="33">
      <t>ヤジルシポリフッキュウ</t>
    </rPh>
    <rPh sb="37" eb="40">
      <t>シスイセン</t>
    </rPh>
    <rPh sb="41" eb="42">
      <t>シキ</t>
    </rPh>
    <rPh sb="48" eb="50">
      <t>センタク</t>
    </rPh>
    <rPh sb="52" eb="55">
      <t>センメンダイ</t>
    </rPh>
    <rPh sb="60" eb="64">
      <t>ゲンカンモノイレ</t>
    </rPh>
    <rPh sb="65" eb="66">
      <t>ト</t>
    </rPh>
    <rPh sb="67" eb="68">
      <t>テ</t>
    </rPh>
    <rPh sb="68" eb="69">
      <t>コワ</t>
    </rPh>
    <rPh sb="74" eb="76">
      <t>ヨクシツ</t>
    </rPh>
    <rPh sb="79" eb="80">
      <t>コワ</t>
    </rPh>
    <phoneticPr fontId="1"/>
  </si>
  <si>
    <t>浅尾 恵康</t>
    <rPh sb="0" eb="2">
      <t>アサオ</t>
    </rPh>
    <rPh sb="3" eb="4">
      <t>ケイ</t>
    </rPh>
    <rPh sb="4" eb="5">
      <t>ヤス</t>
    </rPh>
    <phoneticPr fontId="1"/>
  </si>
  <si>
    <t>048-685-7322
090-5312-9615</t>
    <phoneticPr fontId="1"/>
  </si>
  <si>
    <t>浴室デッキタイプ洗面所壁点検口あり　給湯管更新済み→更新希望　底板SUS→ポリ復旧　トイレ止水栓ストレーナー付き　廊下フローリングはがれている</t>
    <rPh sb="0" eb="2">
      <t>ヨクシツ</t>
    </rPh>
    <rPh sb="8" eb="10">
      <t>センメン</t>
    </rPh>
    <rPh sb="10" eb="11">
      <t>ジョ</t>
    </rPh>
    <rPh sb="11" eb="12">
      <t>カベ</t>
    </rPh>
    <rPh sb="12" eb="15">
      <t>テンケンコウ</t>
    </rPh>
    <rPh sb="18" eb="21">
      <t>キュウトウカン</t>
    </rPh>
    <rPh sb="21" eb="23">
      <t>コウシン</t>
    </rPh>
    <rPh sb="23" eb="24">
      <t>ズ</t>
    </rPh>
    <rPh sb="26" eb="28">
      <t>コウシン</t>
    </rPh>
    <rPh sb="28" eb="30">
      <t>キボウ</t>
    </rPh>
    <rPh sb="31" eb="33">
      <t>ソコイタ</t>
    </rPh>
    <rPh sb="39" eb="41">
      <t>フッキュウ</t>
    </rPh>
    <rPh sb="45" eb="48">
      <t>シスイセン</t>
    </rPh>
    <rPh sb="54" eb="55">
      <t>ツ</t>
    </rPh>
    <rPh sb="57" eb="59">
      <t>ロウカ</t>
    </rPh>
    <phoneticPr fontId="1"/>
  </si>
  <si>
    <t>北井 敏英</t>
    <rPh sb="0" eb="2">
      <t>キタイ</t>
    </rPh>
    <rPh sb="3" eb="4">
      <t>トシ</t>
    </rPh>
    <rPh sb="4" eb="5">
      <t>ヒデ</t>
    </rPh>
    <phoneticPr fontId="1"/>
  </si>
  <si>
    <t>048-686-4605</t>
    <phoneticPr fontId="1"/>
  </si>
  <si>
    <t>WBV1117JT・179Y41</t>
    <phoneticPr fontId="1"/>
  </si>
  <si>
    <t>鏡裏開口　洗濯水栓分岐使ってないから交換OK　洗濯パン洗面台に寄せる　トイレ止水栓Ｄ式ｱﾝｸﾞﾙ　給湯管更新済み→全更新希望　ひな段既存壁だし</t>
    <rPh sb="0" eb="4">
      <t>カガミウラカイコウ</t>
    </rPh>
    <rPh sb="5" eb="9">
      <t>センタクスイセン</t>
    </rPh>
    <rPh sb="9" eb="11">
      <t>ブンキ</t>
    </rPh>
    <rPh sb="11" eb="12">
      <t>ツカ</t>
    </rPh>
    <rPh sb="18" eb="20">
      <t>コウカン</t>
    </rPh>
    <rPh sb="23" eb="25">
      <t>センタク</t>
    </rPh>
    <rPh sb="27" eb="30">
      <t>センメンダイ</t>
    </rPh>
    <rPh sb="31" eb="32">
      <t>ヨ</t>
    </rPh>
    <rPh sb="38" eb="41">
      <t>シスイセン</t>
    </rPh>
    <rPh sb="42" eb="43">
      <t>シキ</t>
    </rPh>
    <rPh sb="49" eb="51">
      <t>キュウトウカン</t>
    </rPh>
    <rPh sb="51" eb="53">
      <t>コウシン</t>
    </rPh>
    <rPh sb="53" eb="55">
      <t>ズミ</t>
    </rPh>
    <rPh sb="57" eb="59">
      <t>コウシン</t>
    </rPh>
    <rPh sb="59" eb="61">
      <t>キボウ</t>
    </rPh>
    <rPh sb="61" eb="62">
      <t>　</t>
    </rPh>
    <rPh sb="65" eb="67">
      <t>キゾン</t>
    </rPh>
    <rPh sb="67" eb="69">
      <t>カベ</t>
    </rPh>
    <phoneticPr fontId="1"/>
  </si>
  <si>
    <t>加藤 京三</t>
    <rPh sb="0" eb="2">
      <t>カトウ</t>
    </rPh>
    <rPh sb="3" eb="5">
      <t>キョウゾウ</t>
    </rPh>
    <phoneticPr fontId="1"/>
  </si>
  <si>
    <t>048-686-4654
090-4060-1250</t>
    <phoneticPr fontId="1"/>
  </si>
  <si>
    <t>WZV1216・15059W</t>
    <phoneticPr fontId="1"/>
  </si>
  <si>
    <t>浴室内部材接続　ひな段　給水付き洗濯パン交換希望</t>
    <rPh sb="0" eb="2">
      <t>ヨクシツ</t>
    </rPh>
    <rPh sb="2" eb="7">
      <t>ナイブザイセツゾク</t>
    </rPh>
    <rPh sb="10" eb="11">
      <t>ダン</t>
    </rPh>
    <rPh sb="12" eb="15">
      <t>キュウスイツ</t>
    </rPh>
    <rPh sb="16" eb="18">
      <t>センタク</t>
    </rPh>
    <rPh sb="20" eb="24">
      <t>コウカンキボウ</t>
    </rPh>
    <phoneticPr fontId="1"/>
  </si>
  <si>
    <t>澤村 裕見子</t>
    <rPh sb="0" eb="2">
      <t>サワムラ</t>
    </rPh>
    <rPh sb="3" eb="6">
      <t>ユミコ</t>
    </rPh>
    <phoneticPr fontId="1"/>
  </si>
  <si>
    <t>090-1540-4955</t>
    <phoneticPr fontId="1"/>
  </si>
  <si>
    <t>WZV1117・149J54</t>
    <phoneticPr fontId="1"/>
  </si>
  <si>
    <t>浴室内部材接続　トイレ止水栓Ｄ式ｱﾝｸﾞﾙ　旧給湯器置き場の床に板すぐとれる</t>
    <rPh sb="0" eb="2">
      <t>ヨクシツ</t>
    </rPh>
    <rPh sb="2" eb="7">
      <t>ナイブザイセツゾク</t>
    </rPh>
    <rPh sb="11" eb="14">
      <t>シスイセン</t>
    </rPh>
    <rPh sb="15" eb="16">
      <t>シキ</t>
    </rPh>
    <rPh sb="22" eb="23">
      <t>キュウ</t>
    </rPh>
    <rPh sb="23" eb="26">
      <t>キュウトウキ</t>
    </rPh>
    <rPh sb="26" eb="27">
      <t>オ</t>
    </rPh>
    <rPh sb="28" eb="29">
      <t>バ</t>
    </rPh>
    <rPh sb="30" eb="31">
      <t>ユカ</t>
    </rPh>
    <rPh sb="32" eb="33">
      <t>イタ</t>
    </rPh>
    <phoneticPr fontId="1"/>
  </si>
  <si>
    <t>林田 昭一郎</t>
    <rPh sb="0" eb="2">
      <t>ハヤシダ</t>
    </rPh>
    <rPh sb="3" eb="6">
      <t>ショウイチロウ</t>
    </rPh>
    <phoneticPr fontId="1"/>
  </si>
  <si>
    <t>048-686-4679</t>
    <phoneticPr fontId="1"/>
  </si>
  <si>
    <t>WRV1117・154WXK</t>
    <phoneticPr fontId="1"/>
  </si>
  <si>
    <t>浴室カウンター付き内部材接続できなかったら鏡裏開口　給湯器造作カバー付き　ひな段</t>
    <rPh sb="0" eb="2">
      <t>ヨクシツ</t>
    </rPh>
    <rPh sb="7" eb="8">
      <t>ツ</t>
    </rPh>
    <rPh sb="9" eb="14">
      <t>ナイブザイセツゾク</t>
    </rPh>
    <rPh sb="21" eb="25">
      <t>カガミウラカイコウ</t>
    </rPh>
    <rPh sb="26" eb="29">
      <t>キュウトウキ</t>
    </rPh>
    <rPh sb="29" eb="31">
      <t>ゾウサク</t>
    </rPh>
    <rPh sb="34" eb="35">
      <t>ツ</t>
    </rPh>
    <rPh sb="39" eb="40">
      <t>ダン</t>
    </rPh>
    <phoneticPr fontId="1"/>
  </si>
  <si>
    <t>川名 はるみ</t>
    <rPh sb="0" eb="2">
      <t>カワナ</t>
    </rPh>
    <phoneticPr fontId="1"/>
  </si>
  <si>
    <t>080-3411-3777</t>
    <phoneticPr fontId="1"/>
  </si>
  <si>
    <t>浴室デッキタイプ洗面所壁点検口設置　底板SUS→ポリ復旧　空家</t>
    <rPh sb="0" eb="2">
      <t>ヨクシツ</t>
    </rPh>
    <rPh sb="8" eb="17">
      <t>センメンジョカベテンケンコウセッチ</t>
    </rPh>
    <rPh sb="18" eb="20">
      <t>ソコイタ</t>
    </rPh>
    <rPh sb="23" eb="28">
      <t>ヤジルシポリフッキュウ</t>
    </rPh>
    <rPh sb="29" eb="31">
      <t>アキヤ</t>
    </rPh>
    <phoneticPr fontId="1"/>
  </si>
  <si>
    <t>木原 大介</t>
    <rPh sb="0" eb="2">
      <t>キハラ</t>
    </rPh>
    <rPh sb="3" eb="5">
      <t>ダイスケ</t>
    </rPh>
    <phoneticPr fontId="1"/>
  </si>
  <si>
    <t>090-3650-7324</t>
    <phoneticPr fontId="1"/>
  </si>
  <si>
    <t>フロアタイル</t>
  </si>
  <si>
    <t>フロアタイル</t>
    <phoneticPr fontId="1"/>
  </si>
  <si>
    <t>Panasonic</t>
    <phoneticPr fontId="1"/>
  </si>
  <si>
    <t>BYU693</t>
    <phoneticPr fontId="1"/>
  </si>
  <si>
    <t>髙橋 喜治</t>
    <rPh sb="0" eb="2">
      <t>タカハシ</t>
    </rPh>
    <rPh sb="3" eb="5">
      <t>ヨシハル</t>
    </rPh>
    <phoneticPr fontId="1"/>
  </si>
  <si>
    <t>048-686-4602</t>
    <phoneticPr fontId="1"/>
  </si>
  <si>
    <t>740+460ｷｬﾋﾞ</t>
    <phoneticPr fontId="1"/>
  </si>
  <si>
    <t>JZC1117・136734</t>
    <phoneticPr fontId="1"/>
  </si>
  <si>
    <t>浴室中の部品が古いため洗面所壁に点検口設置する　トイレ止水栓Ｄ式ｱﾝｸﾞﾙ　洗濯モール立ち上げスペース狭い→給水付き洗濯パン交換希望　隠蔽配管希望、和室押し入れベニヤ玄関廊下防音ＦＬ復旧プラス２日かかること説明済み　ひな段</t>
    <rPh sb="0" eb="2">
      <t>ヨクシツ</t>
    </rPh>
    <rPh sb="74" eb="77">
      <t>ワシツオ</t>
    </rPh>
    <rPh sb="78" eb="79">
      <t>イ</t>
    </rPh>
    <rPh sb="87" eb="89">
      <t>ボウオン</t>
    </rPh>
    <phoneticPr fontId="1"/>
  </si>
  <si>
    <t>藤本 和紀</t>
    <rPh sb="0" eb="2">
      <t>フジモト</t>
    </rPh>
    <rPh sb="3" eb="4">
      <t>カズ</t>
    </rPh>
    <rPh sb="4" eb="5">
      <t>キ</t>
    </rPh>
    <phoneticPr fontId="1"/>
  </si>
  <si>
    <t>048-685-7124</t>
    <phoneticPr fontId="1"/>
  </si>
  <si>
    <t>洗面所壁点検口設置する　底板SUS→ポリ復旧</t>
    <rPh sb="0" eb="4">
      <t>センメンジョカベ</t>
    </rPh>
    <rPh sb="4" eb="9">
      <t>テンケンコウセッチ</t>
    </rPh>
    <rPh sb="12" eb="14">
      <t>ソコイタ</t>
    </rPh>
    <rPh sb="17" eb="22">
      <t>ヤジルシポリフッキュウ</t>
    </rPh>
    <phoneticPr fontId="1"/>
  </si>
  <si>
    <t>遠藤 美紀</t>
    <rPh sb="0" eb="2">
      <t>エンドウ</t>
    </rPh>
    <rPh sb="3" eb="5">
      <t>ミキ</t>
    </rPh>
    <phoneticPr fontId="1"/>
  </si>
  <si>
    <t>048-686-0078
090-3347-9010</t>
    <phoneticPr fontId="1"/>
  </si>
  <si>
    <t>WBV1117JT・173AX3</t>
    <phoneticPr fontId="1"/>
  </si>
  <si>
    <t>浴室鏡裏開口　トイレ止水栓Ｄ式ｱﾝｸﾞﾙ　底板SUS→ポリ復旧　ｷｯﾁﾝ交換検討(分割払いできるか)</t>
    <rPh sb="0" eb="2">
      <t>ヨクシツ</t>
    </rPh>
    <rPh sb="2" eb="6">
      <t>カガミウラカイコウ</t>
    </rPh>
    <rPh sb="10" eb="13">
      <t>シスイセン</t>
    </rPh>
    <rPh sb="14" eb="15">
      <t>シキ</t>
    </rPh>
    <rPh sb="21" eb="23">
      <t>ソコイタ</t>
    </rPh>
    <rPh sb="26" eb="31">
      <t>ヤジルシポリフッキュウ</t>
    </rPh>
    <rPh sb="36" eb="40">
      <t>コウカンケントウ</t>
    </rPh>
    <rPh sb="41" eb="44">
      <t>ブンカツバラ</t>
    </rPh>
    <phoneticPr fontId="1"/>
  </si>
  <si>
    <t>小池 明</t>
    <rPh sb="0" eb="2">
      <t>コイケ</t>
    </rPh>
    <rPh sb="3" eb="4">
      <t>アキラ</t>
    </rPh>
    <phoneticPr fontId="1"/>
  </si>
  <si>
    <t>048-796-8678
090-1400-6884</t>
    <phoneticPr fontId="1"/>
  </si>
  <si>
    <t>浴室鏡ﾊﾟﾈﾙごと脱着　(浴槽コーク止めしてある浴槽脱着よりいいかも)　引っ越しするかも　台所トラップ既存　洗濯モール給湯器裏スペースあり洗面台にずらす余裕はない</t>
    <rPh sb="0" eb="2">
      <t>ヨクシツ</t>
    </rPh>
    <rPh sb="2" eb="3">
      <t>カガミ</t>
    </rPh>
    <rPh sb="9" eb="11">
      <t>ダッチャク</t>
    </rPh>
    <rPh sb="13" eb="15">
      <t>ヨクソウ</t>
    </rPh>
    <rPh sb="18" eb="19">
      <t>ド</t>
    </rPh>
    <rPh sb="24" eb="26">
      <t>ヨクソウ</t>
    </rPh>
    <rPh sb="26" eb="28">
      <t>ダッチャク</t>
    </rPh>
    <rPh sb="36" eb="37">
      <t>ヒ</t>
    </rPh>
    <rPh sb="38" eb="39">
      <t>コ</t>
    </rPh>
    <rPh sb="45" eb="47">
      <t>ダイドコロ</t>
    </rPh>
    <rPh sb="51" eb="53">
      <t>キゾン</t>
    </rPh>
    <rPh sb="54" eb="56">
      <t>センタク</t>
    </rPh>
    <rPh sb="59" eb="63">
      <t>キュウトウキウラ</t>
    </rPh>
    <rPh sb="69" eb="72">
      <t>センメンダイ</t>
    </rPh>
    <rPh sb="76" eb="78">
      <t>ヨユウ</t>
    </rPh>
    <phoneticPr fontId="1"/>
  </si>
  <si>
    <t>篠葉 洋</t>
    <rPh sb="0" eb="2">
      <t>シノヨウ</t>
    </rPh>
    <rPh sb="3" eb="4">
      <t>ヒロシ</t>
    </rPh>
    <phoneticPr fontId="1"/>
  </si>
  <si>
    <t>090-8849-1570</t>
    <phoneticPr fontId="1"/>
  </si>
  <si>
    <t>積水</t>
    <rPh sb="0" eb="2">
      <t>セキスイ</t>
    </rPh>
    <phoneticPr fontId="1"/>
  </si>
  <si>
    <t>浴室デッキタイプ洗面所壁点検口設置　底板SUS→ポリ復旧　ﾄｲﾚ止水栓Ｄ式ｱﾝｸﾞﾙ　５号棟に親族いる　ＴＥＳ管は残っているが未使用</t>
    <rPh sb="0" eb="2">
      <t>ヨクシツ</t>
    </rPh>
    <rPh sb="8" eb="17">
      <t>センメンジョカベテンケンコウセッチ</t>
    </rPh>
    <rPh sb="18" eb="20">
      <t>ソコイタ</t>
    </rPh>
    <rPh sb="23" eb="28">
      <t>ヤジルシポリフッキュウ</t>
    </rPh>
    <rPh sb="32" eb="35">
      <t>シスイセン</t>
    </rPh>
    <rPh sb="36" eb="37">
      <t>シキ</t>
    </rPh>
    <rPh sb="44" eb="46">
      <t>ゴウトウ</t>
    </rPh>
    <rPh sb="47" eb="49">
      <t>シンゾク</t>
    </rPh>
    <rPh sb="55" eb="56">
      <t>カン</t>
    </rPh>
    <rPh sb="57" eb="58">
      <t>ノコ</t>
    </rPh>
    <rPh sb="63" eb="66">
      <t>ミシヨウ</t>
    </rPh>
    <phoneticPr fontId="1"/>
  </si>
  <si>
    <t>梅澤 明弘</t>
    <rPh sb="0" eb="2">
      <t>ウメザワ</t>
    </rPh>
    <rPh sb="3" eb="5">
      <t>アキヒロ</t>
    </rPh>
    <phoneticPr fontId="1"/>
  </si>
  <si>
    <t>090-4379-1535</t>
    <phoneticPr fontId="1"/>
  </si>
  <si>
    <t>JZ1116</t>
    <phoneticPr fontId="1"/>
  </si>
  <si>
    <t>トイレ仮復旧無し簡易鍵取付けた工事しゅうろゆご連絡する　工事日程の連絡しなくていい　浴室ｴﾌﾟﾛﾝ内点検口設置</t>
    <rPh sb="3" eb="7">
      <t>カリフッキュウナ</t>
    </rPh>
    <rPh sb="8" eb="13">
      <t>カンイカギトリツ</t>
    </rPh>
    <rPh sb="15" eb="17">
      <t>コウジ</t>
    </rPh>
    <rPh sb="23" eb="25">
      <t>レンラク</t>
    </rPh>
    <rPh sb="28" eb="32">
      <t>コウジニッテイ</t>
    </rPh>
    <rPh sb="33" eb="35">
      <t>レンラク</t>
    </rPh>
    <rPh sb="42" eb="44">
      <t>ヨクシツ</t>
    </rPh>
    <rPh sb="49" eb="50">
      <t>ナイ</t>
    </rPh>
    <rPh sb="50" eb="55">
      <t>テンケンコウセッチ</t>
    </rPh>
    <phoneticPr fontId="1"/>
  </si>
  <si>
    <t>柳田 純子</t>
    <rPh sb="0" eb="2">
      <t>ヤナギダ</t>
    </rPh>
    <rPh sb="3" eb="5">
      <t>ジュンコ</t>
    </rPh>
    <phoneticPr fontId="1"/>
  </si>
  <si>
    <t>048-688-2476
090-3522-5643</t>
    <phoneticPr fontId="1"/>
  </si>
  <si>
    <t>JZC1117・174558</t>
    <phoneticPr fontId="1"/>
  </si>
  <si>
    <t>浴室デッキタイプ洗面所壁点検口設置　ひな段既存壁だし　給湯管更新済み→全更新希望追い焚き管見えるところは更新されいていそう　内装支給品になるかも　トイレ止水栓ｽﾄﾚｰﾅｰ付</t>
    <rPh sb="0" eb="2">
      <t>ヨクシツ</t>
    </rPh>
    <rPh sb="8" eb="17">
      <t>センメンジョカベテンケンコウセッチ</t>
    </rPh>
    <rPh sb="20" eb="21">
      <t>ダン</t>
    </rPh>
    <rPh sb="21" eb="23">
      <t>キゾン</t>
    </rPh>
    <rPh sb="23" eb="24">
      <t>カベ</t>
    </rPh>
    <rPh sb="27" eb="33">
      <t>キュウトウカンコウシンズ</t>
    </rPh>
    <rPh sb="35" eb="40">
      <t>ゼンコウシンキボウ</t>
    </rPh>
    <rPh sb="40" eb="41">
      <t>オ</t>
    </rPh>
    <rPh sb="42" eb="43">
      <t>ダ</t>
    </rPh>
    <rPh sb="44" eb="45">
      <t>カン</t>
    </rPh>
    <rPh sb="45" eb="46">
      <t>ミ</t>
    </rPh>
    <rPh sb="52" eb="54">
      <t>コウシン</t>
    </rPh>
    <rPh sb="62" eb="64">
      <t>ナイソウ</t>
    </rPh>
    <rPh sb="64" eb="67">
      <t>シキュウヒン</t>
    </rPh>
    <rPh sb="76" eb="79">
      <t>シスイセン</t>
    </rPh>
    <rPh sb="85" eb="86">
      <t>ツキ</t>
    </rPh>
    <phoneticPr fontId="1"/>
  </si>
  <si>
    <t>中池 勉</t>
    <rPh sb="0" eb="2">
      <t>ナカイケ</t>
    </rPh>
    <rPh sb="3" eb="4">
      <t>ツトム</t>
    </rPh>
    <phoneticPr fontId="1"/>
  </si>
  <si>
    <t>048-686-4598</t>
    <phoneticPr fontId="1"/>
  </si>
  <si>
    <t>WZV1117・139719</t>
    <phoneticPr fontId="1"/>
  </si>
  <si>
    <t>トイレ介護用の手すりあり　ひな段　給湯器裏隙間あり洗面台側に寄せるスペース無し　トイレ交換希望</t>
    <rPh sb="3" eb="6">
      <t>カイゴヨウ</t>
    </rPh>
    <rPh sb="7" eb="8">
      <t>テ</t>
    </rPh>
    <rPh sb="15" eb="16">
      <t>ダン</t>
    </rPh>
    <rPh sb="17" eb="23">
      <t>キュウトウキウラスキマ</t>
    </rPh>
    <rPh sb="25" eb="29">
      <t>センメンダイガワ</t>
    </rPh>
    <rPh sb="30" eb="31">
      <t>ヨ</t>
    </rPh>
    <rPh sb="37" eb="38">
      <t>ナ</t>
    </rPh>
    <rPh sb="43" eb="47">
      <t>コウカンキボウ</t>
    </rPh>
    <phoneticPr fontId="1"/>
  </si>
  <si>
    <t>森下 成子</t>
    <rPh sb="0" eb="2">
      <t>モリシタ</t>
    </rPh>
    <rPh sb="3" eb="5">
      <t>ナリコ</t>
    </rPh>
    <phoneticPr fontId="1"/>
  </si>
  <si>
    <t>048-686-2979
090-9818-2217</t>
    <phoneticPr fontId="1"/>
  </si>
  <si>
    <t>トイレ洗面所手すりあり最終日復旧OK　ひな段既存壁だし　浴槽ｺｰｷﾝｸﾞ打ち、シャンプー台点検口になっている再使用　</t>
    <rPh sb="3" eb="6">
      <t>センメンジョ</t>
    </rPh>
    <rPh sb="6" eb="7">
      <t>テ</t>
    </rPh>
    <rPh sb="11" eb="14">
      <t>サイシュウビ</t>
    </rPh>
    <rPh sb="14" eb="16">
      <t>フッキュウ</t>
    </rPh>
    <rPh sb="21" eb="25">
      <t>ダンキゾンカベ</t>
    </rPh>
    <rPh sb="28" eb="30">
      <t>ヨクソウ</t>
    </rPh>
    <rPh sb="36" eb="37">
      <t>ウ</t>
    </rPh>
    <rPh sb="44" eb="45">
      <t>ダイ</t>
    </rPh>
    <rPh sb="45" eb="48">
      <t>テンケンコウ</t>
    </rPh>
    <rPh sb="54" eb="57">
      <t>サイシヨウ</t>
    </rPh>
    <phoneticPr fontId="1"/>
  </si>
  <si>
    <t>渡辺 東一</t>
    <rPh sb="0" eb="2">
      <t>ワタナベ</t>
    </rPh>
    <rPh sb="3" eb="5">
      <t>トウイチ</t>
    </rPh>
    <phoneticPr fontId="1"/>
  </si>
  <si>
    <t>048-686-4785</t>
    <phoneticPr fontId="1"/>
  </si>
  <si>
    <t>WRV1117UT・161V1W</t>
    <phoneticPr fontId="1"/>
  </si>
  <si>
    <t>菊池 隆志</t>
    <rPh sb="0" eb="2">
      <t>キクチ</t>
    </rPh>
    <rPh sb="3" eb="5">
      <t>タカシ</t>
    </rPh>
    <phoneticPr fontId="1"/>
  </si>
  <si>
    <t>048-686-4263</t>
    <phoneticPr fontId="1"/>
  </si>
  <si>
    <t>クロス+パネル</t>
    <phoneticPr fontId="1"/>
  </si>
  <si>
    <t>便器後ろに少し下がっている　吊戸棚にかぶるので洗濯水栓位置少し下にする　洗面所巾木ｿﾌﾄ巾木75㎜　ひな段既存壁だし　給湯器造作カバー付き 浴室カウンター付き洗面所壁に点検口設置（パネル）　庭は外から入るようにしてほしい</t>
    <rPh sb="0" eb="3">
      <t>ベンキウシ</t>
    </rPh>
    <rPh sb="5" eb="6">
      <t>スコ</t>
    </rPh>
    <rPh sb="7" eb="8">
      <t>サ</t>
    </rPh>
    <rPh sb="14" eb="15">
      <t>ツリ</t>
    </rPh>
    <rPh sb="15" eb="17">
      <t>トダナ</t>
    </rPh>
    <rPh sb="23" eb="27">
      <t>センタクスイセン</t>
    </rPh>
    <rPh sb="27" eb="29">
      <t>イチ</t>
    </rPh>
    <rPh sb="29" eb="30">
      <t>スコ</t>
    </rPh>
    <rPh sb="31" eb="32">
      <t>シタ</t>
    </rPh>
    <rPh sb="36" eb="41">
      <t>センメンジョハバキ</t>
    </rPh>
    <rPh sb="44" eb="46">
      <t>ハバキ</t>
    </rPh>
    <rPh sb="52" eb="56">
      <t>ダンキゾンカベ</t>
    </rPh>
    <rPh sb="59" eb="62">
      <t>キュウトウキ</t>
    </rPh>
    <rPh sb="62" eb="64">
      <t>ゾウサク</t>
    </rPh>
    <rPh sb="67" eb="68">
      <t>ツ</t>
    </rPh>
    <rPh sb="70" eb="72">
      <t>ヨクシツ</t>
    </rPh>
    <rPh sb="77" eb="78">
      <t>ツ</t>
    </rPh>
    <rPh sb="79" eb="83">
      <t>センメンジョカベ</t>
    </rPh>
    <rPh sb="84" eb="89">
      <t>テンケンコウセッチ</t>
    </rPh>
    <rPh sb="95" eb="96">
      <t>ニワ</t>
    </rPh>
    <rPh sb="97" eb="98">
      <t>ソト</t>
    </rPh>
    <rPh sb="100" eb="101">
      <t>ハイ</t>
    </rPh>
    <phoneticPr fontId="1"/>
  </si>
  <si>
    <t>藤本 美恵子</t>
    <rPh sb="0" eb="2">
      <t>フジモト</t>
    </rPh>
    <rPh sb="3" eb="6">
      <t>ミエコ</t>
    </rPh>
    <phoneticPr fontId="1"/>
  </si>
  <si>
    <t>048-686-4586
090-8561-4079</t>
    <phoneticPr fontId="1"/>
  </si>
  <si>
    <t>WRV1117UT・162SCL</t>
    <phoneticPr fontId="1"/>
  </si>
  <si>
    <t>浴室内部材接続　台所トラップ既存　トイレ止水栓Ｄ式ｱﾝｸﾞﾙ</t>
    <rPh sb="0" eb="2">
      <t>ヨクシツ</t>
    </rPh>
    <rPh sb="2" eb="7">
      <t>ナイブザイセツゾク</t>
    </rPh>
    <rPh sb="8" eb="10">
      <t>ダイドコロ</t>
    </rPh>
    <rPh sb="14" eb="16">
      <t>キゾン</t>
    </rPh>
    <rPh sb="20" eb="23">
      <t>シスイセン</t>
    </rPh>
    <rPh sb="24" eb="25">
      <t>シキ</t>
    </rPh>
    <phoneticPr fontId="1"/>
  </si>
  <si>
    <t>中井 昌明</t>
    <rPh sb="0" eb="2">
      <t>ナカイ</t>
    </rPh>
    <rPh sb="3" eb="5">
      <t>マサアキ</t>
    </rPh>
    <phoneticPr fontId="1"/>
  </si>
  <si>
    <t>048-686-4591
090-1690-2394</t>
    <phoneticPr fontId="1"/>
  </si>
  <si>
    <t>JZV1116・190871</t>
    <phoneticPr fontId="1"/>
  </si>
  <si>
    <t>村瀬 俊和</t>
    <rPh sb="0" eb="2">
      <t>ムラセ</t>
    </rPh>
    <rPh sb="3" eb="5">
      <t>トシカズ</t>
    </rPh>
    <phoneticPr fontId="1"/>
  </si>
  <si>
    <t>090-7727-1411</t>
    <phoneticPr fontId="1"/>
  </si>
  <si>
    <t>JBC1116・1502QU</t>
    <phoneticPr fontId="1"/>
  </si>
  <si>
    <t>浴室内部材接続　給湯器下造作カバー付き　底板SUS→ポリ復旧　トイレ止水栓ストレーナー付　内装支給品かも</t>
    <rPh sb="0" eb="2">
      <t>ヨクシツ</t>
    </rPh>
    <rPh sb="2" eb="7">
      <t>ナイブザイセツゾク</t>
    </rPh>
    <rPh sb="8" eb="12">
      <t>キュウトウキシタ</t>
    </rPh>
    <rPh sb="12" eb="14">
      <t>ゾウサク</t>
    </rPh>
    <rPh sb="17" eb="18">
      <t>ツ</t>
    </rPh>
    <rPh sb="20" eb="22">
      <t>ソコイタ</t>
    </rPh>
    <rPh sb="25" eb="30">
      <t>ヤジルシポリフッキュウ</t>
    </rPh>
    <rPh sb="34" eb="37">
      <t>シスイセン</t>
    </rPh>
    <rPh sb="43" eb="44">
      <t>ツ</t>
    </rPh>
    <rPh sb="45" eb="47">
      <t>ナイソウ</t>
    </rPh>
    <rPh sb="47" eb="50">
      <t>シキュウヒン</t>
    </rPh>
    <phoneticPr fontId="1"/>
  </si>
  <si>
    <t>大野 弥希
岩瀬 弥花</t>
    <rPh sb="0" eb="2">
      <t>オオノ</t>
    </rPh>
    <rPh sb="3" eb="4">
      <t>ヤ</t>
    </rPh>
    <rPh sb="4" eb="5">
      <t>キ</t>
    </rPh>
    <rPh sb="6" eb="8">
      <t>イワセ</t>
    </rPh>
    <rPh sb="9" eb="10">
      <t>ヤ</t>
    </rPh>
    <rPh sb="10" eb="11">
      <t>ハナ</t>
    </rPh>
    <phoneticPr fontId="1"/>
  </si>
  <si>
    <t>080-5504-5208(弥希)
090-3086-3625(弥花)</t>
    <rPh sb="14" eb="15">
      <t>ヤ</t>
    </rPh>
    <rPh sb="15" eb="16">
      <t>キ</t>
    </rPh>
    <rPh sb="32" eb="33">
      <t>ヤ</t>
    </rPh>
    <rPh sb="33" eb="34">
      <t>ハナ</t>
    </rPh>
    <phoneticPr fontId="1"/>
  </si>
  <si>
    <t>JZV1117・176104</t>
    <phoneticPr fontId="1"/>
  </si>
  <si>
    <t>あくび</t>
    <phoneticPr fontId="1"/>
  </si>
  <si>
    <t>090-9002-8779</t>
    <phoneticPr fontId="1"/>
  </si>
  <si>
    <t>フロアタイル</t>
    <phoneticPr fontId="1"/>
  </si>
  <si>
    <t>Panasonic</t>
    <phoneticPr fontId="1"/>
  </si>
  <si>
    <t>浴室デッキタイプ洗面所壁点検口設置　ひな段　お知らせ郵送希望組合経由　給湯管更新済み</t>
    <rPh sb="0" eb="2">
      <t>ヨクシツ</t>
    </rPh>
    <rPh sb="8" eb="17">
      <t>センメンジョカベテンケンコウセッチ</t>
    </rPh>
    <rPh sb="20" eb="21">
      <t>ダン</t>
    </rPh>
    <rPh sb="23" eb="24">
      <t>シ</t>
    </rPh>
    <rPh sb="26" eb="30">
      <t>ユウソウキボウ</t>
    </rPh>
    <rPh sb="30" eb="32">
      <t>クミアイ</t>
    </rPh>
    <rPh sb="32" eb="34">
      <t>ケイユ</t>
    </rPh>
    <rPh sb="35" eb="41">
      <t>キュウトウカンコウシンズ</t>
    </rPh>
    <phoneticPr fontId="1"/>
  </si>
  <si>
    <t>洗面所トイレ床フロアタイル→CF選定しているが現状復旧も検討中　浴室Panasonicで開口できるところなし→トイレ側からいけなさそうなら水栓穴拡張してプレート金具取付　洗面所ふかし壁有、洗濯水栓管種によっては床下接続</t>
    <rPh sb="0" eb="3">
      <t>センメンジョ</t>
    </rPh>
    <rPh sb="6" eb="7">
      <t>ユカ</t>
    </rPh>
    <rPh sb="16" eb="18">
      <t>センテイ</t>
    </rPh>
    <phoneticPr fontId="1"/>
  </si>
  <si>
    <t>リフォーム資料確認してもらう→1/28通常工事の再説明済み　洗濯パン給水付き床下接続　洗面所壁ふかし壁点検口あり　ひな段　器具廻りの給水給湯管更新されている　洗面トイレソフト巾木高さ変わること説明済み</t>
    <rPh sb="5" eb="7">
      <t>シリョウ</t>
    </rPh>
    <rPh sb="7" eb="9">
      <t>カクニン</t>
    </rPh>
    <rPh sb="19" eb="23">
      <t>ツウジョウコウジ</t>
    </rPh>
    <rPh sb="24" eb="28">
      <t>サイセツメイズ</t>
    </rPh>
    <rPh sb="30" eb="32">
      <t>センタク</t>
    </rPh>
    <rPh sb="34" eb="37">
      <t>キュウスイツ</t>
    </rPh>
    <rPh sb="38" eb="42">
      <t>ユカシタセツゾク</t>
    </rPh>
    <rPh sb="43" eb="47">
      <t>センメンジョカベ</t>
    </rPh>
    <rPh sb="50" eb="51">
      <t>カベ</t>
    </rPh>
    <rPh sb="51" eb="54">
      <t>テンケンコウ</t>
    </rPh>
    <rPh sb="59" eb="60">
      <t>ダン</t>
    </rPh>
    <rPh sb="61" eb="64">
      <t>キグマワ</t>
    </rPh>
    <rPh sb="66" eb="71">
      <t>キュウスイキュウトウカン</t>
    </rPh>
    <rPh sb="71" eb="73">
      <t>コウシン</t>
    </rPh>
    <rPh sb="79" eb="81">
      <t>センメン</t>
    </rPh>
    <rPh sb="87" eb="89">
      <t>ハバキ</t>
    </rPh>
    <rPh sb="89" eb="90">
      <t>タカ</t>
    </rPh>
    <rPh sb="91" eb="92">
      <t>カ</t>
    </rPh>
    <rPh sb="96" eb="99">
      <t>セツメイズ</t>
    </rPh>
    <phoneticPr fontId="1"/>
  </si>
  <si>
    <t>阿部 薫</t>
    <rPh sb="0" eb="2">
      <t>アベ</t>
    </rPh>
    <rPh sb="3" eb="4">
      <t>カオル</t>
    </rPh>
    <phoneticPr fontId="1"/>
  </si>
  <si>
    <t>048-686-4596</t>
    <phoneticPr fontId="1"/>
  </si>
  <si>
    <t>WFV1116JN・148D19</t>
    <phoneticPr fontId="1"/>
  </si>
  <si>
    <t>浴室内部材接続　トイレ止水栓Ｄ式ｱﾝｸﾞﾙ　底板SUS→ポリ復旧　OP内装貼替検討中</t>
    <rPh sb="0" eb="2">
      <t>ヨクシツ</t>
    </rPh>
    <rPh sb="2" eb="7">
      <t>ナイブザイセツゾク</t>
    </rPh>
    <rPh sb="11" eb="14">
      <t>シスイセン</t>
    </rPh>
    <rPh sb="15" eb="16">
      <t>シキ</t>
    </rPh>
    <rPh sb="22" eb="24">
      <t>ソコイタ</t>
    </rPh>
    <rPh sb="27" eb="32">
      <t>ヤジルシポリフッキュウ</t>
    </rPh>
    <rPh sb="35" eb="37">
      <t>ナイソウ</t>
    </rPh>
    <rPh sb="37" eb="39">
      <t>ハリカエ</t>
    </rPh>
    <rPh sb="39" eb="42">
      <t>ケントウチュウ</t>
    </rPh>
    <phoneticPr fontId="1"/>
  </si>
  <si>
    <t>早乙女  鈴恵</t>
    <rPh sb="0" eb="3">
      <t>サオトメ</t>
    </rPh>
    <rPh sb="5" eb="6">
      <t>スズ</t>
    </rPh>
    <rPh sb="6" eb="7">
      <t>エ</t>
    </rPh>
    <phoneticPr fontId="1"/>
  </si>
  <si>
    <t>048-687-2563</t>
    <phoneticPr fontId="1"/>
  </si>
  <si>
    <t>WRV1216・1599CG</t>
    <phoneticPr fontId="1"/>
  </si>
  <si>
    <t>浴室巣支援２個　洗面所壁点検口設置　トイレ止水栓Ｄ式ｱﾝｸﾞﾙ　</t>
    <rPh sb="0" eb="2">
      <t>ヨクシツ</t>
    </rPh>
    <rPh sb="2" eb="5">
      <t>スシエン</t>
    </rPh>
    <rPh sb="5" eb="7">
      <t>ニコ</t>
    </rPh>
    <rPh sb="8" eb="11">
      <t>センメンジョ</t>
    </rPh>
    <rPh sb="11" eb="12">
      <t>カベ</t>
    </rPh>
    <rPh sb="12" eb="17">
      <t>テンケンコウセッチ</t>
    </rPh>
    <rPh sb="21" eb="24">
      <t>シスイセン</t>
    </rPh>
    <rPh sb="25" eb="26">
      <t>シキ</t>
    </rPh>
    <phoneticPr fontId="1"/>
  </si>
  <si>
    <t>福岡 明子</t>
    <rPh sb="0" eb="2">
      <t>フクオカ</t>
    </rPh>
    <rPh sb="3" eb="5">
      <t>アキコ</t>
    </rPh>
    <phoneticPr fontId="1"/>
  </si>
  <si>
    <t>090-2730-4855</t>
    <phoneticPr fontId="1"/>
  </si>
  <si>
    <t>浴室内部材接続　ひな段既存壁だし　</t>
    <rPh sb="0" eb="2">
      <t>ヨクシツ</t>
    </rPh>
    <rPh sb="2" eb="7">
      <t>ナイブザイセツゾク</t>
    </rPh>
    <rPh sb="10" eb="11">
      <t>ダン</t>
    </rPh>
    <rPh sb="11" eb="14">
      <t>キゾンカベ</t>
    </rPh>
    <phoneticPr fontId="1"/>
  </si>
  <si>
    <t>浴室ｴﾌﾟﾛﾝ内点検口設置　給湯器造作カバー付き中身確認できなかった　ひな段</t>
    <rPh sb="0" eb="2">
      <t>ヨクシツ</t>
    </rPh>
    <rPh sb="7" eb="8">
      <t>ナイ</t>
    </rPh>
    <rPh sb="8" eb="13">
      <t>テンケンコウセッチ</t>
    </rPh>
    <rPh sb="14" eb="17">
      <t>キュウトウキ</t>
    </rPh>
    <rPh sb="17" eb="19">
      <t>ゾウサク</t>
    </rPh>
    <rPh sb="22" eb="23">
      <t>ツ</t>
    </rPh>
    <rPh sb="24" eb="28">
      <t>ナカミカクニン</t>
    </rPh>
    <rPh sb="37" eb="38">
      <t>ダン</t>
    </rPh>
    <phoneticPr fontId="1"/>
  </si>
  <si>
    <t>今井 信雄</t>
    <rPh sb="0" eb="2">
      <t>イマイ</t>
    </rPh>
    <rPh sb="3" eb="5">
      <t>ノブオ</t>
    </rPh>
    <phoneticPr fontId="1"/>
  </si>
  <si>
    <t>048-686-4588</t>
    <phoneticPr fontId="1"/>
  </si>
  <si>
    <t>WZV1117・172359</t>
    <phoneticPr fontId="1"/>
  </si>
  <si>
    <t>浴室内部材接続　玄関電球注意　旧給湯器置き場に荷物あり配管立ち上げスペース分前に出ると説明した　ひな段既存壁だし</t>
    <rPh sb="0" eb="2">
      <t>ヨクシツ</t>
    </rPh>
    <rPh sb="2" eb="7">
      <t>ナイブザイセツゾク</t>
    </rPh>
    <rPh sb="8" eb="10">
      <t>ゲンカン</t>
    </rPh>
    <rPh sb="10" eb="14">
      <t>デンキュウチュウイ</t>
    </rPh>
    <rPh sb="15" eb="19">
      <t>キュウキュウトウキ</t>
    </rPh>
    <rPh sb="19" eb="20">
      <t>オ</t>
    </rPh>
    <rPh sb="21" eb="22">
      <t>バ</t>
    </rPh>
    <rPh sb="23" eb="25">
      <t>ニモツ</t>
    </rPh>
    <rPh sb="27" eb="29">
      <t>ハイカン</t>
    </rPh>
    <rPh sb="29" eb="30">
      <t>タ</t>
    </rPh>
    <rPh sb="31" eb="32">
      <t>ア</t>
    </rPh>
    <rPh sb="37" eb="38">
      <t>ブン</t>
    </rPh>
    <rPh sb="38" eb="39">
      <t>マエ</t>
    </rPh>
    <rPh sb="40" eb="41">
      <t>デ</t>
    </rPh>
    <rPh sb="43" eb="45">
      <t>セツメイ</t>
    </rPh>
    <rPh sb="50" eb="54">
      <t>ダンキゾンカベ</t>
    </rPh>
    <phoneticPr fontId="1"/>
  </si>
  <si>
    <t>窪田 義廣</t>
    <rPh sb="0" eb="2">
      <t>クボタ</t>
    </rPh>
    <rPh sb="3" eb="5">
      <t>ヨシヒロ</t>
    </rPh>
    <phoneticPr fontId="1"/>
  </si>
  <si>
    <t>様</t>
    <rPh sb="0" eb="1">
      <t>サマ</t>
    </rPh>
    <phoneticPr fontId="1"/>
  </si>
  <si>
    <t>048-686-4594</t>
    <phoneticPr fontId="1"/>
  </si>
  <si>
    <t>WYV1116JT・152BWN</t>
    <phoneticPr fontId="1"/>
  </si>
  <si>
    <t>給湯管更新済み→残す　浴室床下接続(今ある鏡は小さめでマグネット式、新規は取付け希望しない)　洗濯パン洗面台に寄せる　ひな段既存壁だし　洗面所壁点検口あり　トイレ止水栓ストレーナー付　</t>
    <rPh sb="0" eb="6">
      <t>キュウトウカンコウシンズ</t>
    </rPh>
    <rPh sb="8" eb="9">
      <t>ノコ</t>
    </rPh>
    <rPh sb="11" eb="13">
      <t>ヨクシツ</t>
    </rPh>
    <rPh sb="13" eb="17">
      <t>ユカシタセツゾク</t>
    </rPh>
    <rPh sb="18" eb="19">
      <t>イマ</t>
    </rPh>
    <rPh sb="21" eb="22">
      <t>カガミ</t>
    </rPh>
    <rPh sb="23" eb="24">
      <t>チイ</t>
    </rPh>
    <rPh sb="32" eb="33">
      <t>シキ</t>
    </rPh>
    <rPh sb="34" eb="36">
      <t>シンキ</t>
    </rPh>
    <rPh sb="37" eb="39">
      <t>トリツ</t>
    </rPh>
    <rPh sb="40" eb="42">
      <t>キボウ</t>
    </rPh>
    <rPh sb="47" eb="49">
      <t>センタク</t>
    </rPh>
    <rPh sb="51" eb="54">
      <t>センメンダイ</t>
    </rPh>
    <rPh sb="55" eb="56">
      <t>ヨ</t>
    </rPh>
    <rPh sb="61" eb="65">
      <t>ダンキゾンカベ</t>
    </rPh>
    <rPh sb="68" eb="70">
      <t>センメン</t>
    </rPh>
    <rPh sb="70" eb="71">
      <t>ジョ</t>
    </rPh>
    <rPh sb="71" eb="72">
      <t>カベ</t>
    </rPh>
    <rPh sb="72" eb="75">
      <t>テンケンコウ</t>
    </rPh>
    <rPh sb="81" eb="84">
      <t>シスイセン</t>
    </rPh>
    <rPh sb="90" eb="91">
      <t>ヅケ</t>
    </rPh>
    <phoneticPr fontId="1"/>
  </si>
  <si>
    <t>加藤 京子</t>
    <rPh sb="0" eb="2">
      <t>カトウ</t>
    </rPh>
    <rPh sb="3" eb="5">
      <t>キョウコ</t>
    </rPh>
    <phoneticPr fontId="1"/>
  </si>
  <si>
    <t>048-686-0397</t>
    <phoneticPr fontId="1"/>
  </si>
  <si>
    <t>浴室デッキタイプ洗面所壁点検口設置　台所トラップ既存　洗濯パン洗面台に寄せる　しばらく住んでいなかったため水廻り調子悪い　洗面所の水が出ない直すならOP</t>
    <rPh sb="0" eb="2">
      <t>ヨクシツ</t>
    </rPh>
    <rPh sb="8" eb="16">
      <t>センメンジョカベテンケンコウセツ</t>
    </rPh>
    <rPh sb="16" eb="17">
      <t>チ</t>
    </rPh>
    <rPh sb="18" eb="20">
      <t>ダイドコロ</t>
    </rPh>
    <rPh sb="24" eb="26">
      <t>キゾン</t>
    </rPh>
    <rPh sb="27" eb="29">
      <t>センタク</t>
    </rPh>
    <rPh sb="31" eb="34">
      <t>センメンダイ</t>
    </rPh>
    <rPh sb="35" eb="36">
      <t>ヨ</t>
    </rPh>
    <rPh sb="43" eb="44">
      <t>ス</t>
    </rPh>
    <rPh sb="53" eb="55">
      <t>ミズマワ</t>
    </rPh>
    <rPh sb="56" eb="59">
      <t>チョウシワル</t>
    </rPh>
    <rPh sb="61" eb="64">
      <t>センメンジョ</t>
    </rPh>
    <rPh sb="65" eb="66">
      <t>ミズ</t>
    </rPh>
    <rPh sb="67" eb="68">
      <t>デ</t>
    </rPh>
    <rPh sb="70" eb="71">
      <t>ナオ</t>
    </rPh>
    <phoneticPr fontId="1"/>
  </si>
  <si>
    <t>熊谷 徳博</t>
    <rPh sb="0" eb="2">
      <t>クマガヤ</t>
    </rPh>
    <rPh sb="3" eb="4">
      <t>トク</t>
    </rPh>
    <rPh sb="4" eb="5">
      <t>ヒロ</t>
    </rPh>
    <phoneticPr fontId="1"/>
  </si>
  <si>
    <t>048-686-2514</t>
    <phoneticPr fontId="1"/>
  </si>
  <si>
    <t>WYV1116JT・163KMH</t>
    <phoneticPr fontId="1"/>
  </si>
  <si>
    <t>浴室鏡裏開口　給湯管、追い焚き管更新済み→更新希望　ひな段　トイレ止水栓ストレーナー付き</t>
    <rPh sb="0" eb="2">
      <t>ヨクシツ</t>
    </rPh>
    <rPh sb="2" eb="6">
      <t>カガミウラカイコウ</t>
    </rPh>
    <rPh sb="7" eb="10">
      <t>キュウトウカン</t>
    </rPh>
    <rPh sb="11" eb="12">
      <t>オ</t>
    </rPh>
    <rPh sb="13" eb="14">
      <t>ダ</t>
    </rPh>
    <rPh sb="15" eb="16">
      <t>カン</t>
    </rPh>
    <rPh sb="16" eb="18">
      <t>コウシン</t>
    </rPh>
    <rPh sb="18" eb="19">
      <t>ズ</t>
    </rPh>
    <rPh sb="21" eb="23">
      <t>コウシン</t>
    </rPh>
    <rPh sb="23" eb="25">
      <t>キボウ</t>
    </rPh>
    <rPh sb="28" eb="29">
      <t>ダン</t>
    </rPh>
    <rPh sb="33" eb="36">
      <t>シスイセン</t>
    </rPh>
    <rPh sb="42" eb="43">
      <t>ツ</t>
    </rPh>
    <phoneticPr fontId="1"/>
  </si>
  <si>
    <t>川田 恵美子</t>
    <rPh sb="0" eb="2">
      <t>カワタ</t>
    </rPh>
    <rPh sb="3" eb="6">
      <t>エミコ</t>
    </rPh>
    <phoneticPr fontId="1"/>
  </si>
  <si>
    <t>048-688-2489</t>
    <phoneticPr fontId="1"/>
  </si>
  <si>
    <t>750+300ｷｬﾋﾞ</t>
    <phoneticPr fontId="1"/>
  </si>
  <si>
    <t>W80950492・652345A
BKW-W1216LBF</t>
    <phoneticPr fontId="1"/>
  </si>
  <si>
    <t>浴室部材接続　ひな段　10-402親族在住</t>
    <rPh sb="0" eb="2">
      <t>ヨクシツ</t>
    </rPh>
    <rPh sb="2" eb="4">
      <t>ブザイ</t>
    </rPh>
    <rPh sb="4" eb="6">
      <t>セツゾク</t>
    </rPh>
    <rPh sb="9" eb="10">
      <t>ダン</t>
    </rPh>
    <rPh sb="17" eb="19">
      <t>シンゾク</t>
    </rPh>
    <rPh sb="19" eb="21">
      <t>ザイジュウ</t>
    </rPh>
    <phoneticPr fontId="1"/>
  </si>
  <si>
    <t>湯原 彰英</t>
    <rPh sb="0" eb="2">
      <t>ユハラ</t>
    </rPh>
    <rPh sb="3" eb="4">
      <t>アキ</t>
    </rPh>
    <rPh sb="4" eb="5">
      <t>ヒデ</t>
    </rPh>
    <phoneticPr fontId="1"/>
  </si>
  <si>
    <t>048-685-4652</t>
    <phoneticPr fontId="1"/>
  </si>
  <si>
    <t>WBV1117JT・174TNA</t>
    <phoneticPr fontId="1"/>
  </si>
  <si>
    <t xml:space="preserve">酒井 </t>
    <rPh sb="0" eb="2">
      <t>サカイ</t>
    </rPh>
    <phoneticPr fontId="1"/>
  </si>
  <si>
    <t>080-4934-5224</t>
    <phoneticPr fontId="1"/>
  </si>
  <si>
    <t>UB工事予定　物入底板クロス→ベニヤ貼替OK　ひな段　猫注意　</t>
    <rPh sb="2" eb="4">
      <t>コウジ</t>
    </rPh>
    <rPh sb="4" eb="6">
      <t>ヨテイ</t>
    </rPh>
    <rPh sb="7" eb="9">
      <t>モノイレ</t>
    </rPh>
    <rPh sb="9" eb="11">
      <t>ソコイタ</t>
    </rPh>
    <rPh sb="18" eb="20">
      <t>ハリカエ</t>
    </rPh>
    <rPh sb="25" eb="26">
      <t>ダン</t>
    </rPh>
    <rPh sb="27" eb="30">
      <t>ネコチュウイ</t>
    </rPh>
    <phoneticPr fontId="1"/>
  </si>
  <si>
    <t>野口 幸美</t>
    <rPh sb="0" eb="2">
      <t>ノグチ</t>
    </rPh>
    <rPh sb="3" eb="5">
      <t>サチミ</t>
    </rPh>
    <phoneticPr fontId="1"/>
  </si>
  <si>
    <t>048-684-1670</t>
    <phoneticPr fontId="1"/>
  </si>
  <si>
    <t>JZC1117・159217</t>
    <phoneticPr fontId="1"/>
  </si>
  <si>
    <t>浴室鏡裏開口　トイレ止水栓Ｄ式ｱﾝｸﾞﾙ　ひな段　トイレＣＦ二重貼り　洗面所ソフト巾木60㎜　給水付き洗濯パン交換検討</t>
    <rPh sb="0" eb="2">
      <t>ヨクシツ</t>
    </rPh>
    <rPh sb="2" eb="6">
      <t>カガミウラカイコウ</t>
    </rPh>
    <rPh sb="10" eb="13">
      <t>シスイセン</t>
    </rPh>
    <rPh sb="14" eb="15">
      <t>シキ</t>
    </rPh>
    <rPh sb="23" eb="24">
      <t>ダン</t>
    </rPh>
    <rPh sb="30" eb="32">
      <t>ニジュウ</t>
    </rPh>
    <rPh sb="32" eb="33">
      <t>ハ</t>
    </rPh>
    <rPh sb="35" eb="38">
      <t>センメンジョ</t>
    </rPh>
    <rPh sb="41" eb="43">
      <t>ハバキ</t>
    </rPh>
    <rPh sb="47" eb="50">
      <t>キュウスイツ</t>
    </rPh>
    <rPh sb="51" eb="53">
      <t>センタク</t>
    </rPh>
    <rPh sb="55" eb="59">
      <t>コウカンケントウ</t>
    </rPh>
    <phoneticPr fontId="1"/>
  </si>
  <si>
    <t>赤池 奈奈</t>
    <rPh sb="0" eb="2">
      <t>アカイケ</t>
    </rPh>
    <rPh sb="3" eb="5">
      <t>ナナ</t>
    </rPh>
    <phoneticPr fontId="1"/>
  </si>
  <si>
    <t>090-4173-0589</t>
    <phoneticPr fontId="1"/>
  </si>
  <si>
    <t>WZV1117・147EN6</t>
    <phoneticPr fontId="1"/>
  </si>
  <si>
    <t>浴室内部材接続　ﾄｲﾚ止水栓Ｄ式ｱﾝｸﾞﾙ　洗濯乾燥機あるが故障中ガス管とつながっているため処分の際は縁切り必要かも　ひな段　ＯＰ台所蛇口交換希望</t>
    <rPh sb="0" eb="2">
      <t>ヨクシツ</t>
    </rPh>
    <rPh sb="2" eb="7">
      <t>ナイブザイセツゾク</t>
    </rPh>
    <rPh sb="11" eb="14">
      <t>シスイセン</t>
    </rPh>
    <rPh sb="15" eb="16">
      <t>シキ</t>
    </rPh>
    <rPh sb="22" eb="27">
      <t>センタクカンソウキ</t>
    </rPh>
    <rPh sb="30" eb="33">
      <t>コショウチュウ</t>
    </rPh>
    <rPh sb="35" eb="36">
      <t>カン</t>
    </rPh>
    <rPh sb="46" eb="48">
      <t>ショブン</t>
    </rPh>
    <rPh sb="49" eb="50">
      <t>サイ</t>
    </rPh>
    <rPh sb="51" eb="53">
      <t>エンギ</t>
    </rPh>
    <rPh sb="54" eb="56">
      <t>ヒツヨウ</t>
    </rPh>
    <rPh sb="61" eb="62">
      <t>ダン</t>
    </rPh>
    <rPh sb="65" eb="67">
      <t>ダイドコロ</t>
    </rPh>
    <rPh sb="67" eb="71">
      <t>ジャグチコウカン</t>
    </rPh>
    <rPh sb="71" eb="73">
      <t>キボウ</t>
    </rPh>
    <phoneticPr fontId="1"/>
  </si>
  <si>
    <t>名倉 幸子</t>
    <rPh sb="0" eb="2">
      <t>ナグラ</t>
    </rPh>
    <rPh sb="3" eb="5">
      <t>サチコ</t>
    </rPh>
    <phoneticPr fontId="1"/>
  </si>
  <si>
    <t>048-685-0675
090-9293-0818</t>
    <phoneticPr fontId="1"/>
  </si>
  <si>
    <t>WZV1117・172667</t>
    <phoneticPr fontId="1"/>
  </si>
  <si>
    <t>浴室内部材接続　トイレ棚内のクロス残したい　ひな段既存壁だし　</t>
    <rPh sb="0" eb="2">
      <t>ヨクシツ</t>
    </rPh>
    <rPh sb="2" eb="7">
      <t>ナイブザイセツゾク</t>
    </rPh>
    <rPh sb="11" eb="12">
      <t>タナ</t>
    </rPh>
    <rPh sb="12" eb="13">
      <t>ナイ</t>
    </rPh>
    <rPh sb="17" eb="18">
      <t>ノコ</t>
    </rPh>
    <rPh sb="24" eb="28">
      <t>ダンキゾンカベ</t>
    </rPh>
    <phoneticPr fontId="1"/>
  </si>
  <si>
    <t>深井 孝雄</t>
    <rPh sb="0" eb="1">
      <t>フカ</t>
    </rPh>
    <rPh sb="1" eb="2">
      <t>イ</t>
    </rPh>
    <rPh sb="3" eb="5">
      <t>タカオ</t>
    </rPh>
    <phoneticPr fontId="1"/>
  </si>
  <si>
    <t>070-4417-6376</t>
    <phoneticPr fontId="1"/>
  </si>
  <si>
    <t>WZV1117・148L05</t>
    <phoneticPr fontId="1"/>
  </si>
  <si>
    <t>楠異 和代</t>
    <rPh sb="0" eb="1">
      <t>クス</t>
    </rPh>
    <rPh sb="1" eb="2">
      <t>イ</t>
    </rPh>
    <rPh sb="3" eb="5">
      <t>カズヨ</t>
    </rPh>
    <phoneticPr fontId="1"/>
  </si>
  <si>
    <t>048-686-4682</t>
    <phoneticPr fontId="1"/>
  </si>
  <si>
    <t>浴室内部材接続　給湯管、追い焚き管更新済→給湯管更新希望　トイレ止水栓Ｄ式ｱﾝｸﾞﾙ　洗面所壁に点検口あり　台所ﾄﾗｯﾌﾟ既存</t>
    <rPh sb="0" eb="7">
      <t>ヨクシツナイブザイセツゾク</t>
    </rPh>
    <rPh sb="8" eb="11">
      <t>キュウトウカン</t>
    </rPh>
    <rPh sb="12" eb="13">
      <t>オ</t>
    </rPh>
    <rPh sb="14" eb="15">
      <t>ダ</t>
    </rPh>
    <rPh sb="16" eb="17">
      <t>カン</t>
    </rPh>
    <rPh sb="17" eb="19">
      <t>コウシン</t>
    </rPh>
    <rPh sb="19" eb="20">
      <t>スミ</t>
    </rPh>
    <rPh sb="21" eb="24">
      <t>キュウトウカン</t>
    </rPh>
    <rPh sb="24" eb="28">
      <t>コウシンキボウ</t>
    </rPh>
    <rPh sb="32" eb="35">
      <t>シスイセン</t>
    </rPh>
    <rPh sb="36" eb="37">
      <t>シキ</t>
    </rPh>
    <rPh sb="43" eb="47">
      <t>センメンジョカベ</t>
    </rPh>
    <rPh sb="50" eb="52">
      <t>アリ</t>
    </rPh>
    <rPh sb="54" eb="56">
      <t>ダイドコロ</t>
    </rPh>
    <rPh sb="61" eb="63">
      <t>キゾン</t>
    </rPh>
    <phoneticPr fontId="1"/>
  </si>
  <si>
    <t>浴室デッキタイプ　洗面所壁点検口あり　給湯管、追い焚き管更新済み→給湯管更新希望　台所ﾄﾗｯﾌﾟ既存</t>
    <rPh sb="0" eb="2">
      <t>ヨクシツ</t>
    </rPh>
    <rPh sb="9" eb="13">
      <t>センメンジョカベ</t>
    </rPh>
    <rPh sb="13" eb="16">
      <t>テンケンコウ</t>
    </rPh>
    <rPh sb="19" eb="22">
      <t>キュウトウカン</t>
    </rPh>
    <rPh sb="23" eb="24">
      <t>オ</t>
    </rPh>
    <rPh sb="25" eb="26">
      <t>ダ</t>
    </rPh>
    <rPh sb="27" eb="31">
      <t>カンコウシンズ</t>
    </rPh>
    <rPh sb="33" eb="36">
      <t>キュウトウカン</t>
    </rPh>
    <rPh sb="36" eb="40">
      <t>コウシンキボウ</t>
    </rPh>
    <rPh sb="41" eb="43">
      <t>ダイドコロ</t>
    </rPh>
    <rPh sb="48" eb="50">
      <t>キゾン</t>
    </rPh>
    <phoneticPr fontId="1"/>
  </si>
  <si>
    <t>松枝 真夏</t>
    <rPh sb="0" eb="2">
      <t>マツエダ</t>
    </rPh>
    <rPh sb="3" eb="5">
      <t>マナツ</t>
    </rPh>
    <phoneticPr fontId="1"/>
  </si>
  <si>
    <t>080-3493-5560</t>
    <phoneticPr fontId="1"/>
  </si>
  <si>
    <t>RCP1117</t>
    <phoneticPr fontId="1"/>
  </si>
  <si>
    <t>浴室鏡裏開口　底板SUS→ポリ復旧OK　既存壁だし</t>
    <rPh sb="0" eb="2">
      <t>ヨクシツ</t>
    </rPh>
    <rPh sb="2" eb="6">
      <t>カガミウラカイコウ</t>
    </rPh>
    <rPh sb="7" eb="9">
      <t>ソコイタ</t>
    </rPh>
    <rPh sb="15" eb="17">
      <t>フッキュウ</t>
    </rPh>
    <rPh sb="20" eb="22">
      <t>キゾン</t>
    </rPh>
    <rPh sb="22" eb="23">
      <t>カベ</t>
    </rPh>
    <phoneticPr fontId="1"/>
  </si>
  <si>
    <t>林 竜樹</t>
    <rPh sb="0" eb="1">
      <t>ハヤシ</t>
    </rPh>
    <rPh sb="2" eb="4">
      <t>タツキ</t>
    </rPh>
    <phoneticPr fontId="1"/>
  </si>
  <si>
    <t>048-686-2511
090-4419-0377</t>
    <phoneticPr fontId="1"/>
  </si>
  <si>
    <t>WGV1116JT・158S0K</t>
    <phoneticPr fontId="1"/>
  </si>
  <si>
    <t>浴室内部材接続　ひな段既存壁だし　トイレ止水栓Ｄ式ｱﾝｸﾞㇽ</t>
    <rPh sb="0" eb="2">
      <t>ヨクシツ</t>
    </rPh>
    <rPh sb="2" eb="7">
      <t>ナイブザイセツゾク</t>
    </rPh>
    <rPh sb="10" eb="11">
      <t>ダン</t>
    </rPh>
    <rPh sb="11" eb="14">
      <t>キゾンカベ</t>
    </rPh>
    <rPh sb="20" eb="23">
      <t>シスイセン</t>
    </rPh>
    <rPh sb="24" eb="25">
      <t>シキ</t>
    </rPh>
    <phoneticPr fontId="1"/>
  </si>
  <si>
    <t>島崎 征介</t>
    <rPh sb="0" eb="2">
      <t>シマザキ</t>
    </rPh>
    <rPh sb="3" eb="5">
      <t>セイスケ</t>
    </rPh>
    <phoneticPr fontId="1"/>
  </si>
  <si>
    <t>048-685-3180</t>
    <phoneticPr fontId="1"/>
  </si>
  <si>
    <t>浴室ｴﾌﾟﾛﾝ内点検口設置　台所トラップ既存　14号棟にお住まい　お知らせポスト投函OK　工事終了まで売却しない</t>
    <rPh sb="0" eb="2">
      <t>ヨクシツ</t>
    </rPh>
    <rPh sb="7" eb="8">
      <t>ナイ</t>
    </rPh>
    <rPh sb="8" eb="11">
      <t>テンケンコウ</t>
    </rPh>
    <rPh sb="11" eb="13">
      <t>セッチ</t>
    </rPh>
    <rPh sb="14" eb="16">
      <t>ダイドコロ</t>
    </rPh>
    <rPh sb="20" eb="22">
      <t>キゾン</t>
    </rPh>
    <rPh sb="25" eb="27">
      <t>ゴウトウ</t>
    </rPh>
    <rPh sb="29" eb="30">
      <t>ス</t>
    </rPh>
    <rPh sb="34" eb="35">
      <t>シ</t>
    </rPh>
    <rPh sb="40" eb="42">
      <t>トウカン</t>
    </rPh>
    <rPh sb="45" eb="49">
      <t>コウジシュウリョウ</t>
    </rPh>
    <rPh sb="51" eb="53">
      <t>バイキャク</t>
    </rPh>
    <phoneticPr fontId="1"/>
  </si>
  <si>
    <t>安斉 悟</t>
    <rPh sb="0" eb="2">
      <t>アンザイ</t>
    </rPh>
    <rPh sb="3" eb="4">
      <t>サトル</t>
    </rPh>
    <phoneticPr fontId="1"/>
  </si>
  <si>
    <t>048-68-2604</t>
    <phoneticPr fontId="1"/>
  </si>
  <si>
    <t>洗面所壁点検口再使用浴室デッキタイプ　給湯管、追い焚き管更新済み　底板SUS→ポリ復旧OK　洗濯パン洗面台にずらす</t>
    <rPh sb="0" eb="4">
      <t>センメンジョカベ</t>
    </rPh>
    <rPh sb="4" eb="7">
      <t>テンケンコウ</t>
    </rPh>
    <rPh sb="7" eb="10">
      <t>サイシヨウ</t>
    </rPh>
    <rPh sb="10" eb="12">
      <t>ヨクシツ</t>
    </rPh>
    <rPh sb="19" eb="22">
      <t>キュウトウカン</t>
    </rPh>
    <rPh sb="23" eb="24">
      <t>オ</t>
    </rPh>
    <rPh sb="25" eb="26">
      <t>ダ</t>
    </rPh>
    <rPh sb="27" eb="28">
      <t>カン</t>
    </rPh>
    <rPh sb="28" eb="30">
      <t>コウシン</t>
    </rPh>
    <rPh sb="30" eb="31">
      <t>ズ</t>
    </rPh>
    <rPh sb="33" eb="35">
      <t>ソコイタ</t>
    </rPh>
    <rPh sb="41" eb="43">
      <t>フッキュウ</t>
    </rPh>
    <rPh sb="46" eb="48">
      <t>センタク</t>
    </rPh>
    <rPh sb="50" eb="53">
      <t>センメンダイ</t>
    </rPh>
    <phoneticPr fontId="1"/>
  </si>
  <si>
    <t>浴室ｴﾌﾟﾛﾝ内部材接続　レストパル　台所既存ﾄﾗｯﾌﾟ　給湯管追い焚き管更新済み　1/30洗濯ホースから水漏れの連絡あり、ホース交換勧めた</t>
    <rPh sb="0" eb="2">
      <t>ヨクシツ</t>
    </rPh>
    <rPh sb="7" eb="10">
      <t>ナイブザイ</t>
    </rPh>
    <rPh sb="10" eb="12">
      <t>セツゾク</t>
    </rPh>
    <rPh sb="19" eb="21">
      <t>ダイドコロ</t>
    </rPh>
    <rPh sb="21" eb="23">
      <t>キゾン</t>
    </rPh>
    <rPh sb="29" eb="32">
      <t>キュウトウカン</t>
    </rPh>
    <rPh sb="32" eb="33">
      <t>オ</t>
    </rPh>
    <rPh sb="34" eb="35">
      <t>ダ</t>
    </rPh>
    <rPh sb="36" eb="37">
      <t>カン</t>
    </rPh>
    <rPh sb="37" eb="40">
      <t>コウシンズ</t>
    </rPh>
    <rPh sb="46" eb="48">
      <t>センタク</t>
    </rPh>
    <rPh sb="53" eb="55">
      <t>ミズモ</t>
    </rPh>
    <rPh sb="57" eb="59">
      <t>レンラク</t>
    </rPh>
    <rPh sb="65" eb="67">
      <t>コウカン</t>
    </rPh>
    <rPh sb="67" eb="68">
      <t>スス</t>
    </rPh>
    <phoneticPr fontId="1"/>
  </si>
  <si>
    <t>宮良 徹一</t>
    <rPh sb="0" eb="2">
      <t>ミヤラ</t>
    </rPh>
    <rPh sb="3" eb="5">
      <t>テツイチ</t>
    </rPh>
    <phoneticPr fontId="1"/>
  </si>
  <si>
    <t>048-685-6493</t>
    <phoneticPr fontId="1"/>
  </si>
  <si>
    <t>浴室デッキタイプ洗面所壁点検口あり　給湯管、追い焚き管更新済み→給湯管更新希望　ﾄｲﾚ背面、腰壁パネル→玄関側開口１面貼替　ひな段既存壁だし　洗面台水漏れする→洗面台交換検討する　洗濯パン給水付きのものに交換検討　</t>
    <rPh sb="0" eb="1">
      <t>ヨク</t>
    </rPh>
    <rPh sb="1" eb="2">
      <t>シツ</t>
    </rPh>
    <rPh sb="8" eb="15">
      <t>センメンジョカベテンケンコウ</t>
    </rPh>
    <rPh sb="18" eb="21">
      <t>キュウトウカン</t>
    </rPh>
    <rPh sb="22" eb="23">
      <t>オ</t>
    </rPh>
    <rPh sb="24" eb="25">
      <t>ダ</t>
    </rPh>
    <rPh sb="26" eb="30">
      <t>カンコウシンズ</t>
    </rPh>
    <rPh sb="32" eb="39">
      <t>キュウトウカンコウシンキボウ</t>
    </rPh>
    <rPh sb="43" eb="45">
      <t>ハイメン</t>
    </rPh>
    <rPh sb="46" eb="48">
      <t>コシカベ</t>
    </rPh>
    <rPh sb="52" eb="57">
      <t>ゲンカンガワカイコウ</t>
    </rPh>
    <rPh sb="58" eb="59">
      <t>メン</t>
    </rPh>
    <rPh sb="59" eb="61">
      <t>ハリカエ</t>
    </rPh>
    <rPh sb="64" eb="65">
      <t>ダン</t>
    </rPh>
    <rPh sb="65" eb="68">
      <t>キゾンカベ</t>
    </rPh>
    <rPh sb="71" eb="74">
      <t>センメンダイ</t>
    </rPh>
    <rPh sb="74" eb="76">
      <t>ミズモ</t>
    </rPh>
    <phoneticPr fontId="1"/>
  </si>
  <si>
    <t>五反田 稔</t>
    <rPh sb="0" eb="3">
      <t>ゴタンダ</t>
    </rPh>
    <rPh sb="4" eb="5">
      <t>ネン</t>
    </rPh>
    <phoneticPr fontId="1"/>
  </si>
  <si>
    <t>048-687-7173
090-7942-0919</t>
    <phoneticPr fontId="1"/>
  </si>
  <si>
    <t>JVV1216・180390</t>
    <phoneticPr fontId="1"/>
  </si>
  <si>
    <t>浴室ｴﾌﾟﾛﾝ内点検口再使用(ｺｰｷﾝｸﾞ打ち)　洗面所壁点検口あり　トイレ吊戸棚脱着レストパル　ひな段既存壁だし　給湯管、追い焚き管更新済み→給湯管更新希望　玄関物入内ペンキ塗り→ベニヤ貼替OK　洗濯配管ﾙｰﾄに自作の棚有→外しておいてくれる使えなくなっても大丈夫、給水付き洗濯パン交換検討　洗面トイレ床CFの上に板貼ってある</t>
    <rPh sb="0" eb="2">
      <t>ヨクシツ</t>
    </rPh>
    <rPh sb="7" eb="14">
      <t>ナイテンケンコウサイシヨウ</t>
    </rPh>
    <rPh sb="21" eb="22">
      <t>ウ</t>
    </rPh>
    <rPh sb="25" eb="29">
      <t>センメンジョカベ</t>
    </rPh>
    <rPh sb="29" eb="32">
      <t>テンケンコウ</t>
    </rPh>
    <rPh sb="38" eb="43">
      <t>ツリトダナダッチャク</t>
    </rPh>
    <rPh sb="51" eb="55">
      <t>ダンキゾンカベ</t>
    </rPh>
    <rPh sb="58" eb="61">
      <t>キュウトウカン</t>
    </rPh>
    <rPh sb="62" eb="63">
      <t>オ</t>
    </rPh>
    <rPh sb="64" eb="65">
      <t>ダ</t>
    </rPh>
    <rPh sb="66" eb="67">
      <t>カン</t>
    </rPh>
    <rPh sb="67" eb="75">
      <t>コウシンズミミギキュウトウカン</t>
    </rPh>
    <rPh sb="75" eb="79">
      <t>コウシンキボウ</t>
    </rPh>
    <rPh sb="80" eb="84">
      <t>ゲンカンモノイレ</t>
    </rPh>
    <rPh sb="84" eb="85">
      <t>ナイ</t>
    </rPh>
    <rPh sb="88" eb="89">
      <t>ヌ</t>
    </rPh>
    <rPh sb="94" eb="96">
      <t>ハリカエ</t>
    </rPh>
    <rPh sb="99" eb="103">
      <t>センタクハイカン</t>
    </rPh>
    <rPh sb="107" eb="109">
      <t>ジサク</t>
    </rPh>
    <rPh sb="110" eb="112">
      <t>タナアリ</t>
    </rPh>
    <rPh sb="113" eb="114">
      <t>ハズ</t>
    </rPh>
    <rPh sb="122" eb="123">
      <t>ツカ</t>
    </rPh>
    <rPh sb="130" eb="133">
      <t>ダイジョウブ</t>
    </rPh>
    <rPh sb="134" eb="137">
      <t>キュウスイツ</t>
    </rPh>
    <rPh sb="138" eb="140">
      <t>センタク</t>
    </rPh>
    <rPh sb="142" eb="146">
      <t>コウカンケントウ</t>
    </rPh>
    <rPh sb="147" eb="149">
      <t>センメン</t>
    </rPh>
    <rPh sb="152" eb="153">
      <t>ユカ</t>
    </rPh>
    <rPh sb="156" eb="157">
      <t>ウエ</t>
    </rPh>
    <rPh sb="158" eb="159">
      <t>イタ</t>
    </rPh>
    <rPh sb="159" eb="160">
      <t>ハ</t>
    </rPh>
    <phoneticPr fontId="1"/>
  </si>
  <si>
    <t>長谷川 ひろみ</t>
    <rPh sb="0" eb="2">
      <t>ハセ</t>
    </rPh>
    <rPh sb="2" eb="3">
      <t>カワ</t>
    </rPh>
    <phoneticPr fontId="1"/>
  </si>
  <si>
    <t>080-3200-9592</t>
    <phoneticPr fontId="1"/>
  </si>
  <si>
    <t>浴室ｴﾌﾟﾛﾝ内点検口設置　台所既存壁だし　トイレ吊戸棚脱着　トイレｱｸｾﾝﾄｸﾛｽどこまで残すか検討</t>
    <rPh sb="0" eb="2">
      <t>ヨクシツ</t>
    </rPh>
    <rPh sb="7" eb="8">
      <t>ナイ</t>
    </rPh>
    <rPh sb="8" eb="13">
      <t>テンケンコウセッチ</t>
    </rPh>
    <rPh sb="14" eb="16">
      <t>ダイドコロ</t>
    </rPh>
    <rPh sb="16" eb="19">
      <t>キゾンカベ</t>
    </rPh>
    <rPh sb="25" eb="30">
      <t>ツリトダナダッチャク</t>
    </rPh>
    <rPh sb="46" eb="47">
      <t>ノコ</t>
    </rPh>
    <rPh sb="49" eb="51">
      <t>ケントウ</t>
    </rPh>
    <phoneticPr fontId="1"/>
  </si>
  <si>
    <t>木元 秀明</t>
    <rPh sb="0" eb="2">
      <t>キモト</t>
    </rPh>
    <rPh sb="3" eb="5">
      <t>ヒデアキ</t>
    </rPh>
    <phoneticPr fontId="1"/>
  </si>
  <si>
    <t>090-6300-7601</t>
    <phoneticPr fontId="1"/>
  </si>
  <si>
    <t>フルリフォーム予定、浴室台所施工方法内装選定検討中　工事期間中も空家予定な為トイレ仮復旧なし　給水付き洗濯パン交換検討　</t>
    <rPh sb="7" eb="9">
      <t>ヨテイ</t>
    </rPh>
    <rPh sb="10" eb="12">
      <t>ヨクシツ</t>
    </rPh>
    <rPh sb="12" eb="14">
      <t>ダイドコロ</t>
    </rPh>
    <rPh sb="14" eb="16">
      <t>セコウ</t>
    </rPh>
    <rPh sb="16" eb="18">
      <t>ホウホウ</t>
    </rPh>
    <rPh sb="18" eb="22">
      <t>ナイソウセンテイ</t>
    </rPh>
    <rPh sb="22" eb="24">
      <t>ケントウ</t>
    </rPh>
    <rPh sb="24" eb="25">
      <t>チュウ</t>
    </rPh>
    <rPh sb="26" eb="31">
      <t>コウジキカンチュウ</t>
    </rPh>
    <rPh sb="32" eb="36">
      <t>アキヤヨテイ</t>
    </rPh>
    <rPh sb="37" eb="38">
      <t>タメ</t>
    </rPh>
    <rPh sb="41" eb="44">
      <t>カリフッキュウ</t>
    </rPh>
    <rPh sb="47" eb="50">
      <t>キュウスイツ</t>
    </rPh>
    <rPh sb="51" eb="53">
      <t>センタク</t>
    </rPh>
    <rPh sb="55" eb="59">
      <t>コウカンケントウ</t>
    </rPh>
    <phoneticPr fontId="1"/>
  </si>
  <si>
    <t>大津 直樹</t>
    <rPh sb="0" eb="2">
      <t>オオツ</t>
    </rPh>
    <rPh sb="3" eb="5">
      <t>ナオキ</t>
    </rPh>
    <phoneticPr fontId="1"/>
  </si>
  <si>
    <t>048-685-1213</t>
    <phoneticPr fontId="1"/>
  </si>
  <si>
    <t>JZV1117・136833</t>
    <phoneticPr fontId="1"/>
  </si>
  <si>
    <t>浴室デッキタイプ洗面所壁点検口設置する　底板SUS→ポリ復旧OK　</t>
    <rPh sb="0" eb="2">
      <t>ヨクシツ</t>
    </rPh>
    <rPh sb="8" eb="15">
      <t>センメンジョカベテンケンコウ</t>
    </rPh>
    <rPh sb="15" eb="17">
      <t>セッチ</t>
    </rPh>
    <rPh sb="20" eb="22">
      <t>ソコイタ</t>
    </rPh>
    <rPh sb="28" eb="30">
      <t>フッキュウ</t>
    </rPh>
    <phoneticPr fontId="1"/>
  </si>
  <si>
    <t>徳永 正博</t>
    <rPh sb="0" eb="2">
      <t>トクナガ</t>
    </rPh>
    <rPh sb="3" eb="4">
      <t>セイ</t>
    </rPh>
    <rPh sb="4" eb="5">
      <t>ヒロ</t>
    </rPh>
    <phoneticPr fontId="1"/>
  </si>
  <si>
    <t>080-6784-6103</t>
    <phoneticPr fontId="1"/>
  </si>
  <si>
    <t>JZV1117・16819</t>
    <phoneticPr fontId="1"/>
  </si>
  <si>
    <t>浴室デッキタイプ洗面所壁点検口あり　トイレ仮復旧無し　台所真ん中引き出し背板開口　ひな段既存壁だし</t>
    <rPh sb="0" eb="2">
      <t>ヨクシツ</t>
    </rPh>
    <rPh sb="8" eb="15">
      <t>センメンジョカベテンケンコウ</t>
    </rPh>
    <rPh sb="21" eb="24">
      <t>カリフッキュウ</t>
    </rPh>
    <rPh sb="24" eb="25">
      <t>ナ</t>
    </rPh>
    <rPh sb="27" eb="28">
      <t>ダイ</t>
    </rPh>
    <rPh sb="28" eb="29">
      <t>ドコロ</t>
    </rPh>
    <rPh sb="29" eb="30">
      <t>マ</t>
    </rPh>
    <rPh sb="31" eb="32">
      <t>ナカ</t>
    </rPh>
    <rPh sb="32" eb="33">
      <t>ヒ</t>
    </rPh>
    <rPh sb="34" eb="35">
      <t>ダ</t>
    </rPh>
    <rPh sb="36" eb="40">
      <t>セイタカイコウ</t>
    </rPh>
    <rPh sb="43" eb="47">
      <t>ダンキゾンカベ</t>
    </rPh>
    <phoneticPr fontId="1"/>
  </si>
  <si>
    <t>？</t>
    <phoneticPr fontId="1"/>
  </si>
  <si>
    <t>WTV1116JN・132NN2</t>
    <phoneticPr fontId="1"/>
  </si>
  <si>
    <t>給水給湯排水管更新済み→トイレのみ作業　内装後日</t>
    <rPh sb="0" eb="4">
      <t>キュウスイキュウトウ</t>
    </rPh>
    <rPh sb="4" eb="7">
      <t>ハイスイカン</t>
    </rPh>
    <rPh sb="7" eb="9">
      <t>コウシン</t>
    </rPh>
    <rPh sb="9" eb="10">
      <t>ズ</t>
    </rPh>
    <rPh sb="17" eb="19">
      <t>サギョウ</t>
    </rPh>
    <rPh sb="20" eb="22">
      <t>ナイソウ</t>
    </rPh>
    <rPh sb="22" eb="24">
      <t>ゴジツ</t>
    </rPh>
    <phoneticPr fontId="1"/>
  </si>
  <si>
    <t>千葉 さか江</t>
    <rPh sb="0" eb="2">
      <t>チバ</t>
    </rPh>
    <rPh sb="5" eb="6">
      <t>エ</t>
    </rPh>
    <phoneticPr fontId="1"/>
  </si>
  <si>
    <t>048-686-2327</t>
    <phoneticPr fontId="1"/>
  </si>
  <si>
    <t>WZV1216・184698</t>
    <phoneticPr fontId="1"/>
  </si>
  <si>
    <t>浴室内部材接続　ひな段　洗濯パン洗面谷寄せる　11号棟に娘いる</t>
    <rPh sb="0" eb="2">
      <t>ヨクシツ</t>
    </rPh>
    <rPh sb="2" eb="7">
      <t>ナイブザイセツゾク</t>
    </rPh>
    <rPh sb="10" eb="11">
      <t>ダン</t>
    </rPh>
    <rPh sb="12" eb="14">
      <t>センタク</t>
    </rPh>
    <rPh sb="16" eb="19">
      <t>センメンダニ</t>
    </rPh>
    <rPh sb="19" eb="20">
      <t>ヨ</t>
    </rPh>
    <rPh sb="25" eb="27">
      <t>ゴウトウ</t>
    </rPh>
    <rPh sb="28" eb="29">
      <t>ムスメ</t>
    </rPh>
    <phoneticPr fontId="1"/>
  </si>
  <si>
    <t>大隅 崇弘</t>
    <rPh sb="0" eb="2">
      <t>オオスミ</t>
    </rPh>
    <rPh sb="3" eb="5">
      <t>タカヒロ</t>
    </rPh>
    <phoneticPr fontId="1"/>
  </si>
  <si>
    <t>090-2897-6658(妻)
080-5662-5646(夫)</t>
    <rPh sb="14" eb="15">
      <t>ツマ</t>
    </rPh>
    <rPh sb="31" eb="32">
      <t>オット</t>
    </rPh>
    <phoneticPr fontId="1"/>
  </si>
  <si>
    <t>浴室エプロン内点検口設置　底板SUS→ポリ復旧　追い焚き配管無し　内装等ｵｰﾅｰ様に確認する</t>
    <rPh sb="0" eb="2">
      <t>ヨクシツ</t>
    </rPh>
    <rPh sb="6" eb="7">
      <t>ナイ</t>
    </rPh>
    <rPh sb="7" eb="12">
      <t>テンケンコウセッチ</t>
    </rPh>
    <rPh sb="13" eb="15">
      <t>ソコイタ</t>
    </rPh>
    <rPh sb="21" eb="23">
      <t>フッキュウ</t>
    </rPh>
    <rPh sb="24" eb="25">
      <t>オ</t>
    </rPh>
    <rPh sb="26" eb="27">
      <t>ダ</t>
    </rPh>
    <rPh sb="28" eb="30">
      <t>ハイカン</t>
    </rPh>
    <rPh sb="30" eb="31">
      <t>ナ</t>
    </rPh>
    <rPh sb="33" eb="35">
      <t>ナイソウ</t>
    </rPh>
    <rPh sb="35" eb="36">
      <t>トウ</t>
    </rPh>
    <phoneticPr fontId="1"/>
  </si>
  <si>
    <t>名倉 由紀子</t>
    <rPh sb="0" eb="2">
      <t>ナグラ</t>
    </rPh>
    <rPh sb="3" eb="6">
      <t>ユキコ</t>
    </rPh>
    <phoneticPr fontId="1"/>
  </si>
  <si>
    <t>048-688-9746
080-3155-1050</t>
    <phoneticPr fontId="1"/>
  </si>
  <si>
    <t>JZ1116</t>
    <phoneticPr fontId="1"/>
  </si>
  <si>
    <t>浴室エプロン内点検口設置or鏡裏開口　玄関棚あり→取付けた業者に連絡して取り外しておいてくれる、棚扉に穴開けるかもと説明した、基本ルート希望　底板SUS→ポリ復旧　</t>
    <rPh sb="0" eb="2">
      <t>ヨクシツ</t>
    </rPh>
    <rPh sb="6" eb="12">
      <t>ナイテンケンコウセッチ</t>
    </rPh>
    <rPh sb="14" eb="18">
      <t>カガミウラカイコウ</t>
    </rPh>
    <rPh sb="19" eb="21">
      <t>ゲンカン</t>
    </rPh>
    <rPh sb="21" eb="22">
      <t>タナ</t>
    </rPh>
    <rPh sb="25" eb="27">
      <t>トリツ</t>
    </rPh>
    <rPh sb="29" eb="31">
      <t>ギョウシャ</t>
    </rPh>
    <rPh sb="32" eb="34">
      <t>レンラク</t>
    </rPh>
    <rPh sb="36" eb="37">
      <t>ト</t>
    </rPh>
    <rPh sb="38" eb="39">
      <t>ハズ</t>
    </rPh>
    <rPh sb="48" eb="49">
      <t>タナ</t>
    </rPh>
    <rPh sb="49" eb="50">
      <t>トビラ</t>
    </rPh>
    <rPh sb="51" eb="52">
      <t>アナ</t>
    </rPh>
    <rPh sb="52" eb="53">
      <t>ヒラ</t>
    </rPh>
    <rPh sb="58" eb="60">
      <t>セツメイ</t>
    </rPh>
    <rPh sb="63" eb="65">
      <t>キホン</t>
    </rPh>
    <rPh sb="68" eb="70">
      <t>キボウ</t>
    </rPh>
    <rPh sb="71" eb="73">
      <t>ソコイタ</t>
    </rPh>
    <rPh sb="79" eb="81">
      <t>フッキュウ</t>
    </rPh>
    <phoneticPr fontId="1"/>
  </si>
  <si>
    <t>宇田川 浩孝</t>
    <rPh sb="0" eb="3">
      <t>ウダガワ</t>
    </rPh>
    <rPh sb="4" eb="5">
      <t>ヒロ</t>
    </rPh>
    <rPh sb="5" eb="6">
      <t>タカ</t>
    </rPh>
    <phoneticPr fontId="1"/>
  </si>
  <si>
    <t>048-686-0365</t>
    <phoneticPr fontId="1"/>
  </si>
  <si>
    <t>JZV1117・142616</t>
    <phoneticPr fontId="1"/>
  </si>
  <si>
    <t>浴室デッキタイプ洗面所壁点検口設置する　洗濯モール立ち上げスペース狭い→露出してOK　奥さん具合悪い基本的に旦那さんが対応してくれる</t>
    <rPh sb="0" eb="2">
      <t>ヨクシツ</t>
    </rPh>
    <rPh sb="8" eb="15">
      <t>センメンジョカベテンケンコウ</t>
    </rPh>
    <rPh sb="15" eb="17">
      <t>セッチ</t>
    </rPh>
    <rPh sb="20" eb="22">
      <t>センタク</t>
    </rPh>
    <rPh sb="25" eb="26">
      <t>タ</t>
    </rPh>
    <rPh sb="27" eb="28">
      <t>ア</t>
    </rPh>
    <rPh sb="33" eb="34">
      <t>セマ</t>
    </rPh>
    <rPh sb="36" eb="38">
      <t>ロシュツ</t>
    </rPh>
    <rPh sb="43" eb="44">
      <t>オク</t>
    </rPh>
    <rPh sb="46" eb="49">
      <t>グアイワル</t>
    </rPh>
    <rPh sb="50" eb="53">
      <t>キホンテキ</t>
    </rPh>
    <rPh sb="54" eb="56">
      <t>ダンナ</t>
    </rPh>
    <rPh sb="59" eb="61">
      <t>タイオウ</t>
    </rPh>
    <phoneticPr fontId="1"/>
  </si>
  <si>
    <t>朴 仙葉</t>
    <rPh sb="0" eb="1">
      <t>パク</t>
    </rPh>
    <rPh sb="2" eb="3">
      <t>セン</t>
    </rPh>
    <rPh sb="3" eb="4">
      <t>ヨウ</t>
    </rPh>
    <phoneticPr fontId="1"/>
  </si>
  <si>
    <t>080-6568-2311</t>
    <phoneticPr fontId="1"/>
  </si>
  <si>
    <t>JZV1116・160UPQ</t>
    <phoneticPr fontId="1"/>
  </si>
  <si>
    <t>浴室ｴﾌﾟﾛﾝ内点検口設置or鏡裏開口　トイレ壁床タイル→玄関側から施工、床CFで選んでもらった　洗濯モール立ち上げスペース狭い　ｵｰﾅｰ様に確認する</t>
    <rPh sb="0" eb="2">
      <t>ヨクシツ</t>
    </rPh>
    <rPh sb="7" eb="13">
      <t>ナイテンケンコウセッチ</t>
    </rPh>
    <rPh sb="15" eb="19">
      <t>カガミウラカイコウ</t>
    </rPh>
    <rPh sb="23" eb="24">
      <t>カベ</t>
    </rPh>
    <rPh sb="24" eb="25">
      <t>ユカ</t>
    </rPh>
    <rPh sb="29" eb="31">
      <t>ゲンカン</t>
    </rPh>
    <rPh sb="31" eb="32">
      <t>ガワ</t>
    </rPh>
    <rPh sb="34" eb="36">
      <t>セコウ</t>
    </rPh>
    <rPh sb="37" eb="38">
      <t>ユカ</t>
    </rPh>
    <rPh sb="41" eb="42">
      <t>エラ</t>
    </rPh>
    <rPh sb="49" eb="51">
      <t>センタク</t>
    </rPh>
    <rPh sb="54" eb="55">
      <t>タ</t>
    </rPh>
    <rPh sb="56" eb="57">
      <t>ア</t>
    </rPh>
    <rPh sb="62" eb="63">
      <t>セマ</t>
    </rPh>
    <phoneticPr fontId="1"/>
  </si>
  <si>
    <t>江利川 孝一</t>
    <rPh sb="0" eb="3">
      <t>エトカワ</t>
    </rPh>
    <rPh sb="4" eb="6">
      <t>コウイチ</t>
    </rPh>
    <phoneticPr fontId="1"/>
  </si>
  <si>
    <t>048-637-2520
080-5544-5709</t>
    <phoneticPr fontId="1"/>
  </si>
  <si>
    <t>クロス腰壁パネル</t>
    <rPh sb="3" eb="5">
      <t>コシカベ</t>
    </rPh>
    <phoneticPr fontId="1"/>
  </si>
  <si>
    <t>WZV1216・134763</t>
    <phoneticPr fontId="1"/>
  </si>
  <si>
    <t>給湯管更新済み→更新希望　洗濯パン洗面谷寄せる　ひな段洗面所壁点検口再使用　　</t>
    <rPh sb="0" eb="6">
      <t>キュウトウカンコウシンズ</t>
    </rPh>
    <rPh sb="8" eb="12">
      <t>コウシンキボウ</t>
    </rPh>
    <rPh sb="13" eb="15">
      <t>センタク</t>
    </rPh>
    <rPh sb="17" eb="20">
      <t>センメンダニ</t>
    </rPh>
    <rPh sb="20" eb="21">
      <t>ヨ</t>
    </rPh>
    <rPh sb="26" eb="27">
      <t>ダン</t>
    </rPh>
    <rPh sb="27" eb="31">
      <t>センメンジョカベ</t>
    </rPh>
    <rPh sb="31" eb="37">
      <t>テンケンコウサイシヨウ</t>
    </rPh>
    <phoneticPr fontId="1"/>
  </si>
  <si>
    <t>髙橋 亜左子</t>
    <rPh sb="0" eb="2">
      <t>タカハシ</t>
    </rPh>
    <rPh sb="3" eb="6">
      <t>アサコ</t>
    </rPh>
    <phoneticPr fontId="1"/>
  </si>
  <si>
    <t>080-3392-5703</t>
    <phoneticPr fontId="1"/>
  </si>
  <si>
    <t>JZC1117・178617</t>
    <phoneticPr fontId="1"/>
  </si>
  <si>
    <t>浴室鏡裏開口　洗濯パン洗面台にずらす　ひな段</t>
    <rPh sb="0" eb="2">
      <t>ヨクシツ</t>
    </rPh>
    <rPh sb="2" eb="6">
      <t>カガミウラカイコウ</t>
    </rPh>
    <rPh sb="7" eb="9">
      <t>センタク</t>
    </rPh>
    <rPh sb="11" eb="14">
      <t>センメンダイ</t>
    </rPh>
    <rPh sb="21" eb="22">
      <t>ダン</t>
    </rPh>
    <phoneticPr fontId="1"/>
  </si>
  <si>
    <t>米沢 篤子</t>
    <rPh sb="0" eb="2">
      <t>ヨネザワ</t>
    </rPh>
    <rPh sb="3" eb="5">
      <t>アツコ</t>
    </rPh>
    <phoneticPr fontId="1"/>
  </si>
  <si>
    <t>048-687-3588</t>
    <phoneticPr fontId="1"/>
  </si>
  <si>
    <t>洗面所に給湯器２つ(浴室用と浴室以外)→工事前に給湯器のリフォームするかも　浴室施工方法は洗面壁に化粧ベニヤはって配管通す穴だけ開けるor床立ち上げの壁穴はプレート隠し　洗濯機費用かけてもいいから廃棄希望　洗面台と給水付き洗濯パン交換希望　ドアや壁に穴開いてるところ多数あり　トイレ床タイル→CFOK、床嵩上げ</t>
    <rPh sb="0" eb="3">
      <t>センメンジョ</t>
    </rPh>
    <rPh sb="4" eb="7">
      <t>キュウトウキ</t>
    </rPh>
    <rPh sb="10" eb="12">
      <t>ヨクシツ</t>
    </rPh>
    <rPh sb="12" eb="13">
      <t>ヨウ</t>
    </rPh>
    <rPh sb="14" eb="16">
      <t>ヨクシツ</t>
    </rPh>
    <rPh sb="16" eb="18">
      <t>イガイ</t>
    </rPh>
    <rPh sb="20" eb="23">
      <t>コウジマエ</t>
    </rPh>
    <rPh sb="24" eb="27">
      <t>キュウトウキ</t>
    </rPh>
    <rPh sb="38" eb="40">
      <t>ヨクシツ</t>
    </rPh>
    <rPh sb="40" eb="44">
      <t>セコウホウホウ</t>
    </rPh>
    <rPh sb="45" eb="48">
      <t>センメンカベ</t>
    </rPh>
    <rPh sb="49" eb="51">
      <t>ケショウ</t>
    </rPh>
    <rPh sb="57" eb="59">
      <t>ハイカン</t>
    </rPh>
    <rPh sb="59" eb="60">
      <t>トオ</t>
    </rPh>
    <rPh sb="61" eb="62">
      <t>アナ</t>
    </rPh>
    <rPh sb="64" eb="65">
      <t>ア</t>
    </rPh>
    <rPh sb="69" eb="70">
      <t>ユカ</t>
    </rPh>
    <rPh sb="70" eb="71">
      <t>タ</t>
    </rPh>
    <rPh sb="72" eb="73">
      <t>ア</t>
    </rPh>
    <rPh sb="75" eb="76">
      <t>カベ</t>
    </rPh>
    <rPh sb="76" eb="77">
      <t>アナ</t>
    </rPh>
    <rPh sb="82" eb="83">
      <t>カク</t>
    </rPh>
    <rPh sb="85" eb="88">
      <t>センタクキ</t>
    </rPh>
    <rPh sb="88" eb="90">
      <t>ヒヨウ</t>
    </rPh>
    <rPh sb="98" eb="100">
      <t>ハイキ</t>
    </rPh>
    <rPh sb="100" eb="102">
      <t>キボウ</t>
    </rPh>
    <rPh sb="103" eb="106">
      <t>センメンダイ</t>
    </rPh>
    <rPh sb="107" eb="109">
      <t>キュウスイ</t>
    </rPh>
    <rPh sb="109" eb="110">
      <t>ツ</t>
    </rPh>
    <rPh sb="111" eb="113">
      <t>センタク</t>
    </rPh>
    <rPh sb="115" eb="119">
      <t>コウカンキボウ</t>
    </rPh>
    <rPh sb="123" eb="124">
      <t>カベ</t>
    </rPh>
    <rPh sb="125" eb="127">
      <t>アナア</t>
    </rPh>
    <rPh sb="133" eb="135">
      <t>タスウ</t>
    </rPh>
    <rPh sb="141" eb="142">
      <t>ユカ</t>
    </rPh>
    <rPh sb="151" eb="152">
      <t>ユカ</t>
    </rPh>
    <rPh sb="152" eb="154">
      <t>カサア</t>
    </rPh>
    <phoneticPr fontId="1"/>
  </si>
  <si>
    <t>田中 冨子</t>
    <rPh sb="0" eb="2">
      <t>タナカ</t>
    </rPh>
    <rPh sb="3" eb="5">
      <t>トミコ</t>
    </rPh>
    <phoneticPr fontId="1"/>
  </si>
  <si>
    <t>048-686-0343
080-3091-9034(息子)</t>
    <rPh sb="27" eb="29">
      <t>ムスコ</t>
    </rPh>
    <phoneticPr fontId="1"/>
  </si>
  <si>
    <t>WZV1117・137250</t>
    <phoneticPr fontId="1"/>
  </si>
  <si>
    <t>浴室鏡ﾊﾟﾈﾙ脱着　洗濯パン洗面台にずらす　底板SUS→ポリ復旧　OP台所蛇口、給水付き洗濯パン交換検討</t>
    <rPh sb="0" eb="2">
      <t>ヨクシツ</t>
    </rPh>
    <rPh sb="2" eb="3">
      <t>カガミ</t>
    </rPh>
    <rPh sb="7" eb="9">
      <t>ダッチャク</t>
    </rPh>
    <rPh sb="10" eb="12">
      <t>センタク</t>
    </rPh>
    <rPh sb="14" eb="17">
      <t>センメンダイ</t>
    </rPh>
    <rPh sb="22" eb="32">
      <t>ソコイタSUSミギポリフッキュウ</t>
    </rPh>
    <rPh sb="35" eb="37">
      <t>ダイドコロ</t>
    </rPh>
    <rPh sb="37" eb="39">
      <t>ジャグチ</t>
    </rPh>
    <rPh sb="40" eb="43">
      <t>キュウスイツ</t>
    </rPh>
    <rPh sb="44" eb="46">
      <t>センタク</t>
    </rPh>
    <rPh sb="48" eb="52">
      <t>コウカンケントウ</t>
    </rPh>
    <phoneticPr fontId="1"/>
  </si>
  <si>
    <t>佐々木 茜</t>
    <rPh sb="0" eb="3">
      <t>ササキ</t>
    </rPh>
    <rPh sb="4" eb="5">
      <t>アカネ</t>
    </rPh>
    <phoneticPr fontId="1"/>
  </si>
  <si>
    <t>080-5070-5378</t>
    <phoneticPr fontId="1"/>
  </si>
  <si>
    <t>タイル</t>
    <phoneticPr fontId="1"/>
  </si>
  <si>
    <t>W80990385・446801A
BP-1116SBZE2</t>
    <phoneticPr fontId="1"/>
  </si>
  <si>
    <t>浴室ｴﾌﾟﾛﾝ内点検口設置　洗濯パン洗面谷よせる　洗面所CFの上にシート貼ってあるが撤去してOK　洗濯水栓再使用してほしい、交換することになったら撤去せずにお客さんに渡す</t>
    <rPh sb="0" eb="2">
      <t>ヨクシツ</t>
    </rPh>
    <rPh sb="7" eb="8">
      <t>ナイ</t>
    </rPh>
    <rPh sb="8" eb="13">
      <t>テンケンコウセッチ</t>
    </rPh>
    <rPh sb="14" eb="16">
      <t>センタク</t>
    </rPh>
    <rPh sb="18" eb="21">
      <t>センメンダニ</t>
    </rPh>
    <rPh sb="25" eb="28">
      <t>センメンジョ</t>
    </rPh>
    <rPh sb="31" eb="32">
      <t>ウエ</t>
    </rPh>
    <rPh sb="36" eb="37">
      <t>ハ</t>
    </rPh>
    <rPh sb="42" eb="44">
      <t>テッキョ</t>
    </rPh>
    <rPh sb="49" eb="53">
      <t>センタクスイセン</t>
    </rPh>
    <rPh sb="53" eb="56">
      <t>サイシヨウ</t>
    </rPh>
    <rPh sb="62" eb="64">
      <t>コウカン</t>
    </rPh>
    <rPh sb="73" eb="75">
      <t>テッキョ</t>
    </rPh>
    <rPh sb="79" eb="80">
      <t>キャク</t>
    </rPh>
    <rPh sb="83" eb="84">
      <t>ワタ</t>
    </rPh>
    <phoneticPr fontId="1"/>
  </si>
  <si>
    <t>川田 救</t>
    <rPh sb="0" eb="2">
      <t>カワタ</t>
    </rPh>
    <rPh sb="3" eb="4">
      <t>スク</t>
    </rPh>
    <phoneticPr fontId="1"/>
  </si>
  <si>
    <t>090-4249-2243</t>
    <phoneticPr fontId="1"/>
  </si>
  <si>
    <t>トイレレストパル手洗い付き　洗濯モール立ち上げスペース狭い→一部露出ＯＫ　親族代行で調査立ち合い　フルリフォーム検討要見積り</t>
    <rPh sb="8" eb="10">
      <t>テアラ</t>
    </rPh>
    <rPh sb="11" eb="12">
      <t>ツ</t>
    </rPh>
    <rPh sb="14" eb="16">
      <t>センタク</t>
    </rPh>
    <rPh sb="19" eb="20">
      <t>タ</t>
    </rPh>
    <rPh sb="21" eb="22">
      <t>ア</t>
    </rPh>
    <rPh sb="27" eb="28">
      <t>セマ</t>
    </rPh>
    <rPh sb="30" eb="32">
      <t>イチブ</t>
    </rPh>
    <rPh sb="32" eb="34">
      <t>ロシュツ</t>
    </rPh>
    <rPh sb="37" eb="39">
      <t>シンゾク</t>
    </rPh>
    <rPh sb="39" eb="41">
      <t>ダイコウ</t>
    </rPh>
    <rPh sb="42" eb="45">
      <t>チョウサタ</t>
    </rPh>
    <rPh sb="46" eb="47">
      <t>ア</t>
    </rPh>
    <rPh sb="56" eb="58">
      <t>ケントウ</t>
    </rPh>
    <rPh sb="58" eb="59">
      <t>ヨウ</t>
    </rPh>
    <rPh sb="59" eb="61">
      <t>ミツモ</t>
    </rPh>
    <phoneticPr fontId="1"/>
  </si>
  <si>
    <t>土屋 良知</t>
    <rPh sb="0" eb="2">
      <t>ツチヤ</t>
    </rPh>
    <rPh sb="3" eb="5">
      <t>ヨシトモ</t>
    </rPh>
    <phoneticPr fontId="1"/>
  </si>
  <si>
    <t>048-685-4284
080-4050-5454</t>
    <phoneticPr fontId="1"/>
  </si>
  <si>
    <t>WBV1117WT・17888U</t>
    <phoneticPr fontId="1"/>
  </si>
  <si>
    <t>浴室内部材接続　底板SUS→ポリ復旧OK　洗濯パン洗面台にずらす　</t>
    <rPh sb="0" eb="2">
      <t>ヨクシツ</t>
    </rPh>
    <rPh sb="2" eb="7">
      <t>ナイブザイセツゾク</t>
    </rPh>
    <rPh sb="8" eb="10">
      <t>ソコイタ</t>
    </rPh>
    <rPh sb="16" eb="18">
      <t>フッキュウ</t>
    </rPh>
    <rPh sb="21" eb="23">
      <t>センタク</t>
    </rPh>
    <rPh sb="25" eb="28">
      <t>センメンダイ</t>
    </rPh>
    <phoneticPr fontId="1"/>
  </si>
  <si>
    <t>長濱 幸子</t>
    <rPh sb="0" eb="2">
      <t>ナガハマ</t>
    </rPh>
    <rPh sb="3" eb="5">
      <t>サチコ</t>
    </rPh>
    <phoneticPr fontId="1"/>
  </si>
  <si>
    <t>048-677-0997
090-5531-1888</t>
    <phoneticPr fontId="1"/>
  </si>
  <si>
    <t>WFV1116JT・154RFB</t>
    <phoneticPr fontId="1"/>
  </si>
  <si>
    <t>洗濯モール立ち上げスペースない→洗面台ごと５㎝ずらすクロスは大丈夫そう　　オーナー様確認する</t>
    <rPh sb="0" eb="2">
      <t>センタク</t>
    </rPh>
    <rPh sb="5" eb="6">
      <t>タ</t>
    </rPh>
    <rPh sb="7" eb="8">
      <t>ア</t>
    </rPh>
    <rPh sb="16" eb="19">
      <t>センメンダイ</t>
    </rPh>
    <rPh sb="30" eb="33">
      <t>ダイジョウブ</t>
    </rPh>
    <rPh sb="41" eb="42">
      <t>サマ</t>
    </rPh>
    <rPh sb="42" eb="44">
      <t>カクニン</t>
    </rPh>
    <phoneticPr fontId="1"/>
  </si>
  <si>
    <t>須田 裕子</t>
    <rPh sb="0" eb="2">
      <t>スダ</t>
    </rPh>
    <rPh sb="3" eb="5">
      <t>ユウコ</t>
    </rPh>
    <phoneticPr fontId="1"/>
  </si>
  <si>
    <t>048-685-3445
090-7246-4784</t>
    <phoneticPr fontId="1"/>
  </si>
  <si>
    <t>浴室鏡裏開口orｴﾌﾟﾛﾝ内点検口設置　洗濯パン洗面台にずらす　背板底板SUS→ポリ復旧</t>
    <rPh sb="0" eb="2">
      <t>ヨクシツ</t>
    </rPh>
    <rPh sb="2" eb="6">
      <t>カガミウラカイコウ</t>
    </rPh>
    <rPh sb="13" eb="14">
      <t>ナイ</t>
    </rPh>
    <rPh sb="14" eb="19">
      <t>テンケンコウセッチ</t>
    </rPh>
    <rPh sb="20" eb="22">
      <t>センタク</t>
    </rPh>
    <rPh sb="24" eb="27">
      <t>センメンダイ</t>
    </rPh>
    <rPh sb="32" eb="36">
      <t>セイタソコイタ</t>
    </rPh>
    <rPh sb="39" eb="44">
      <t>ミギポリフッキュウ</t>
    </rPh>
    <phoneticPr fontId="1"/>
  </si>
  <si>
    <t>足立 三津江</t>
    <rPh sb="0" eb="2">
      <t>アダチ</t>
    </rPh>
    <rPh sb="3" eb="6">
      <t>ミツエ</t>
    </rPh>
    <phoneticPr fontId="1"/>
  </si>
  <si>
    <t>090-7240-3653</t>
    <phoneticPr fontId="1"/>
  </si>
  <si>
    <t>浴室ｴﾌﾟﾛﾝ内点検口設置　L字ｷｯﾁﾝシンク下から角まで片付け、背板裏開口　洗濯モール立ち上げは洗面台側から　洗面トイレ床見切り無しつなげて貼る</t>
    <rPh sb="0" eb="2">
      <t>ヨクシツ</t>
    </rPh>
    <rPh sb="7" eb="8">
      <t>ナイ</t>
    </rPh>
    <rPh sb="8" eb="13">
      <t>テンケンコウセッチ</t>
    </rPh>
    <rPh sb="15" eb="16">
      <t>ジ</t>
    </rPh>
    <rPh sb="23" eb="24">
      <t>シタ</t>
    </rPh>
    <rPh sb="26" eb="27">
      <t>カド</t>
    </rPh>
    <rPh sb="29" eb="31">
      <t>カタヅ</t>
    </rPh>
    <rPh sb="33" eb="38">
      <t>セイタウラカイコウ</t>
    </rPh>
    <rPh sb="39" eb="41">
      <t>センタク</t>
    </rPh>
    <rPh sb="44" eb="45">
      <t>タ</t>
    </rPh>
    <rPh sb="46" eb="47">
      <t>ア</t>
    </rPh>
    <rPh sb="49" eb="52">
      <t>センメンダイ</t>
    </rPh>
    <rPh sb="52" eb="53">
      <t>ガワ</t>
    </rPh>
    <rPh sb="56" eb="58">
      <t>センメン</t>
    </rPh>
    <rPh sb="61" eb="62">
      <t>ユカ</t>
    </rPh>
    <rPh sb="62" eb="64">
      <t>ミキ</t>
    </rPh>
    <rPh sb="65" eb="66">
      <t>ナ</t>
    </rPh>
    <rPh sb="71" eb="72">
      <t>ハ</t>
    </rPh>
    <phoneticPr fontId="1"/>
  </si>
  <si>
    <t>髙橋 勇吾</t>
    <rPh sb="0" eb="2">
      <t>タカハシ</t>
    </rPh>
    <rPh sb="3" eb="5">
      <t>ユウゴ</t>
    </rPh>
    <phoneticPr fontId="1"/>
  </si>
  <si>
    <t>090-9841-1660</t>
    <phoneticPr fontId="1"/>
  </si>
  <si>
    <t>浴室ｴﾌﾟﾛﾝ内点検口再使用　底板SUS→ポリ復旧　朝早くから仕事に行くため基本不在　トイレのパッキンがだめになっている→OPでﾄｲﾚ交換検討中</t>
    <rPh sb="0" eb="2">
      <t>ヨクシツ</t>
    </rPh>
    <rPh sb="7" eb="8">
      <t>ナイ</t>
    </rPh>
    <rPh sb="8" eb="11">
      <t>テンケンコウ</t>
    </rPh>
    <rPh sb="11" eb="14">
      <t>サイシヨウ</t>
    </rPh>
    <rPh sb="15" eb="25">
      <t>ソコイタSUSミギポリフッキュウ</t>
    </rPh>
    <rPh sb="26" eb="28">
      <t>アサハヤ</t>
    </rPh>
    <rPh sb="31" eb="33">
      <t>シゴト</t>
    </rPh>
    <rPh sb="34" eb="35">
      <t>イ</t>
    </rPh>
    <rPh sb="38" eb="42">
      <t>キホンフザイ</t>
    </rPh>
    <rPh sb="67" eb="71">
      <t>コウカンケントウ</t>
    </rPh>
    <rPh sb="71" eb="72">
      <t>チュウ</t>
    </rPh>
    <phoneticPr fontId="1"/>
  </si>
  <si>
    <t>小林 文夫</t>
    <rPh sb="0" eb="2">
      <t>コバヤシ</t>
    </rPh>
    <rPh sb="3" eb="5">
      <t>フミオ</t>
    </rPh>
    <phoneticPr fontId="1"/>
  </si>
  <si>
    <t>048-686-3520</t>
    <phoneticPr fontId="1"/>
  </si>
  <si>
    <t>浴室ｴﾌﾟﾛﾝ内点検口設置鏡ﾊﾟﾈﾙ脱着でもいけそう　洗濯パン洗面台にずらす　底板SUS→ポリ復旧　洗濯パン交換検討　</t>
    <rPh sb="0" eb="2">
      <t>ヨクシツ</t>
    </rPh>
    <rPh sb="7" eb="8">
      <t>ナイ</t>
    </rPh>
    <rPh sb="8" eb="13">
      <t>テンケンコウセッチ</t>
    </rPh>
    <rPh sb="13" eb="14">
      <t>カガミ</t>
    </rPh>
    <rPh sb="18" eb="20">
      <t>ダッチャク</t>
    </rPh>
    <rPh sb="27" eb="29">
      <t>センタク</t>
    </rPh>
    <rPh sb="32" eb="33">
      <t>ニ</t>
    </rPh>
    <rPh sb="33" eb="36">
      <t>ズラス</t>
    </rPh>
    <rPh sb="39" eb="41">
      <t>ＳＵ</t>
    </rPh>
    <rPh sb="47" eb="48">
      <t>　</t>
    </rPh>
    <rPh sb="48" eb="49">
      <t>センタク</t>
    </rPh>
    <rPh sb="50" eb="52">
      <t>パン</t>
    </rPh>
    <rPh sb="54" eb="56">
      <t>ケントウ</t>
    </rPh>
    <rPh sb="56" eb="57">
      <t>　</t>
    </rPh>
    <phoneticPr fontId="1"/>
  </si>
  <si>
    <t>長浦 尚美</t>
    <rPh sb="0" eb="2">
      <t>ナガウラ</t>
    </rPh>
    <rPh sb="3" eb="5">
      <t>ナオミ</t>
    </rPh>
    <phoneticPr fontId="1"/>
  </si>
  <si>
    <t>080-3024-5580</t>
    <phoneticPr fontId="1"/>
  </si>
  <si>
    <t>WHV1116UT・173TUH</t>
    <phoneticPr fontId="1"/>
  </si>
  <si>
    <t>浴室ｴﾌﾟﾛﾝ外すとスラブ直　ひな段既存壁だし　玄関物入塗装→ベニヤOK　床後日カタログ選定</t>
    <rPh sb="0" eb="2">
      <t>ヨクシツ</t>
    </rPh>
    <rPh sb="7" eb="8">
      <t>ハズ</t>
    </rPh>
    <rPh sb="13" eb="14">
      <t>チョク</t>
    </rPh>
    <rPh sb="17" eb="21">
      <t>ダンキゾンカベ</t>
    </rPh>
    <rPh sb="24" eb="28">
      <t>ゲンカンモノイレ</t>
    </rPh>
    <rPh sb="28" eb="30">
      <t>トソウ</t>
    </rPh>
    <rPh sb="37" eb="38">
      <t>ユカ</t>
    </rPh>
    <rPh sb="38" eb="40">
      <t>ゴジツ</t>
    </rPh>
    <rPh sb="44" eb="46">
      <t>センテイ</t>
    </rPh>
    <phoneticPr fontId="1"/>
  </si>
  <si>
    <t>村上 真一</t>
    <rPh sb="0" eb="2">
      <t>ムラカミ</t>
    </rPh>
    <rPh sb="3" eb="5">
      <t>シンイチ</t>
    </rPh>
    <phoneticPr fontId="1"/>
  </si>
  <si>
    <t>090-5531-6360</t>
    <phoneticPr fontId="1"/>
  </si>
  <si>
    <t>浴室ｴﾌﾟﾛﾝ内点検口設置　底板SUS→ポリ復旧　給湯器ふかし壁中に入っている</t>
    <rPh sb="0" eb="2">
      <t>ヨクシツ</t>
    </rPh>
    <rPh sb="7" eb="8">
      <t>ナイ</t>
    </rPh>
    <rPh sb="8" eb="13">
      <t>テンケンコウセッチ</t>
    </rPh>
    <rPh sb="14" eb="24">
      <t>ソコイタSUSミギポリフッキュウ</t>
    </rPh>
    <rPh sb="25" eb="28">
      <t>キュウトウキ</t>
    </rPh>
    <rPh sb="31" eb="32">
      <t>カベ</t>
    </rPh>
    <rPh sb="32" eb="33">
      <t>ナカ</t>
    </rPh>
    <rPh sb="34" eb="35">
      <t>ハイ</t>
    </rPh>
    <phoneticPr fontId="1"/>
  </si>
  <si>
    <t xml:space="preserve">丸島 </t>
    <rPh sb="0" eb="1">
      <t>マル</t>
    </rPh>
    <rPh sb="1" eb="2">
      <t>シマ</t>
    </rPh>
    <phoneticPr fontId="1"/>
  </si>
  <si>
    <t>048-688-3297</t>
    <phoneticPr fontId="1"/>
  </si>
  <si>
    <t>WZV1117・1462LP</t>
    <phoneticPr fontId="1"/>
  </si>
  <si>
    <t>ひな段既存壁だし　給水付き洗濯パン交換検討　浴室内部材接続</t>
    <rPh sb="2" eb="6">
      <t>ダンキゾンカベ</t>
    </rPh>
    <rPh sb="9" eb="11">
      <t>キュウスイ</t>
    </rPh>
    <rPh sb="11" eb="12">
      <t>ツ</t>
    </rPh>
    <rPh sb="13" eb="15">
      <t>センタク</t>
    </rPh>
    <rPh sb="17" eb="21">
      <t>コウカンケントウ</t>
    </rPh>
    <rPh sb="22" eb="24">
      <t>ヨクシツ</t>
    </rPh>
    <rPh sb="24" eb="26">
      <t>ナイブ</t>
    </rPh>
    <rPh sb="26" eb="29">
      <t>ザイセツゾク</t>
    </rPh>
    <phoneticPr fontId="1"/>
  </si>
  <si>
    <t>大塩 忠正</t>
    <rPh sb="0" eb="2">
      <t>オオシオ</t>
    </rPh>
    <rPh sb="3" eb="5">
      <t>タダマサ</t>
    </rPh>
    <phoneticPr fontId="1"/>
  </si>
  <si>
    <t>048-686-0316
080-3556-4177</t>
    <phoneticPr fontId="1"/>
  </si>
  <si>
    <t>WZV1117・147LK6</t>
    <phoneticPr fontId="1"/>
  </si>
  <si>
    <t>隠蔽配管、給水付き洗濯パン交換希望→費用かかること説明済み　トイレ洗面台も交換検討している　工事中不在　浴室内部材接続　和室ベニヤ片付け説明済み　ひな段</t>
    <rPh sb="0" eb="4">
      <t>インペイハイカン</t>
    </rPh>
    <rPh sb="5" eb="8">
      <t>キュウスイツ</t>
    </rPh>
    <rPh sb="9" eb="11">
      <t>センタク</t>
    </rPh>
    <rPh sb="13" eb="15">
      <t>コウカン</t>
    </rPh>
    <rPh sb="15" eb="17">
      <t>キボウ</t>
    </rPh>
    <rPh sb="18" eb="20">
      <t>ヒヨウ</t>
    </rPh>
    <rPh sb="25" eb="28">
      <t>セツメイズ</t>
    </rPh>
    <rPh sb="33" eb="36">
      <t>センメンダイ</t>
    </rPh>
    <rPh sb="37" eb="41">
      <t>コウカンケントウ</t>
    </rPh>
    <rPh sb="46" eb="49">
      <t>コウジチュウ</t>
    </rPh>
    <rPh sb="49" eb="51">
      <t>フザイ</t>
    </rPh>
    <rPh sb="52" eb="54">
      <t>ヨクシツ</t>
    </rPh>
    <rPh sb="54" eb="55">
      <t>ナイ</t>
    </rPh>
    <rPh sb="55" eb="57">
      <t>ブザイ</t>
    </rPh>
    <rPh sb="57" eb="59">
      <t>セツゾク</t>
    </rPh>
    <rPh sb="60" eb="62">
      <t>ワシツ</t>
    </rPh>
    <rPh sb="65" eb="67">
      <t>カタヅ</t>
    </rPh>
    <rPh sb="68" eb="71">
      <t>セツメイズ</t>
    </rPh>
    <rPh sb="75" eb="76">
      <t>ダン</t>
    </rPh>
    <phoneticPr fontId="1"/>
  </si>
  <si>
    <t>森 国明</t>
    <rPh sb="0" eb="1">
      <t>モリ</t>
    </rPh>
    <rPh sb="2" eb="4">
      <t>クニアキ</t>
    </rPh>
    <phoneticPr fontId="1"/>
  </si>
  <si>
    <t>048-685-6150</t>
    <phoneticPr fontId="1"/>
  </si>
  <si>
    <t>750+600ｷｬﾋﾞ</t>
    <phoneticPr fontId="1"/>
  </si>
  <si>
    <t>松下電工</t>
    <rPh sb="0" eb="4">
      <t>マツシタデンコウ</t>
    </rPh>
    <phoneticPr fontId="1"/>
  </si>
  <si>
    <t>浴室鏡ﾊﾟﾈﾙ脱着できそう　洗濯モール立ち上げスペースなし旧給湯器置き場の造作カバーに配管分の穴開ける→カバー小さくしたい、水廻りリフォーム考え中　底板SUS→ポリ復旧</t>
    <rPh sb="0" eb="2">
      <t>ヨクシツ</t>
    </rPh>
    <rPh sb="2" eb="3">
      <t>カガミ</t>
    </rPh>
    <rPh sb="7" eb="9">
      <t>ダッチャク</t>
    </rPh>
    <rPh sb="14" eb="16">
      <t>センタク</t>
    </rPh>
    <rPh sb="19" eb="20">
      <t>タ</t>
    </rPh>
    <rPh sb="21" eb="22">
      <t>ア</t>
    </rPh>
    <rPh sb="29" eb="30">
      <t>キュウ</t>
    </rPh>
    <rPh sb="30" eb="33">
      <t>キュウトウキ</t>
    </rPh>
    <rPh sb="33" eb="34">
      <t>オ</t>
    </rPh>
    <rPh sb="35" eb="36">
      <t>バ</t>
    </rPh>
    <rPh sb="37" eb="39">
      <t>ゾウサク</t>
    </rPh>
    <rPh sb="43" eb="46">
      <t>ハイカンブン</t>
    </rPh>
    <rPh sb="47" eb="49">
      <t>アナア</t>
    </rPh>
    <rPh sb="54" eb="60">
      <t>チイサクシタイ</t>
    </rPh>
    <rPh sb="62" eb="64">
      <t>マワリ</t>
    </rPh>
    <rPh sb="69" eb="72">
      <t>カンガエチュウ</t>
    </rPh>
    <rPh sb="72" eb="73">
      <t>　</t>
    </rPh>
    <rPh sb="74" eb="75">
      <t>ソコイタ</t>
    </rPh>
    <rPh sb="75" eb="76">
      <t>ＳＵ</t>
    </rPh>
    <rPh sb="81" eb="83">
      <t>フッキュウ</t>
    </rPh>
    <phoneticPr fontId="1"/>
  </si>
  <si>
    <t>浴室洗面所壁点検口設置　洗濯パン洗面谷にずらす　台所トラップ既存</t>
    <rPh sb="0" eb="2">
      <t>ヨクシツ</t>
    </rPh>
    <rPh sb="2" eb="6">
      <t>センメンジョカベ</t>
    </rPh>
    <rPh sb="6" eb="11">
      <t>テンケンコウセッチ</t>
    </rPh>
    <rPh sb="12" eb="14">
      <t>センタク</t>
    </rPh>
    <rPh sb="16" eb="19">
      <t>センメンダニ</t>
    </rPh>
    <rPh sb="24" eb="26">
      <t>ダイドコロ</t>
    </rPh>
    <rPh sb="30" eb="32">
      <t>キゾン</t>
    </rPh>
    <phoneticPr fontId="1"/>
  </si>
  <si>
    <t>橋本 好弘</t>
    <rPh sb="0" eb="2">
      <t>ハシモト</t>
    </rPh>
    <rPh sb="3" eb="5">
      <t>ヨシヒロ</t>
    </rPh>
    <phoneticPr fontId="1"/>
  </si>
  <si>
    <t>090-7943-6842</t>
    <phoneticPr fontId="1"/>
  </si>
  <si>
    <t>浴室ｴﾌﾟﾛﾝ内点検口設置　底板SUS→ポリ復旧　乾燥機有　洗濯パン洗面台にずらす</t>
    <rPh sb="0" eb="2">
      <t>ヨクシツ</t>
    </rPh>
    <rPh sb="7" eb="13">
      <t>ナイテンケンコウセッチ</t>
    </rPh>
    <rPh sb="14" eb="16">
      <t>ソコイタ</t>
    </rPh>
    <rPh sb="19" eb="24">
      <t>ミギポリフッキュウ</t>
    </rPh>
    <rPh sb="25" eb="29">
      <t>カンソウキアリ</t>
    </rPh>
    <rPh sb="30" eb="32">
      <t>センタク</t>
    </rPh>
    <rPh sb="34" eb="37">
      <t>センメンダイ</t>
    </rPh>
    <phoneticPr fontId="1"/>
  </si>
  <si>
    <t>志岐</t>
    <rPh sb="0" eb="2">
      <t>シキ</t>
    </rPh>
    <phoneticPr fontId="1"/>
  </si>
  <si>
    <t>048-685-9597
090-2168-7032</t>
    <phoneticPr fontId="1"/>
  </si>
  <si>
    <t>給湯管更新済み→更新希望　洗濯モール一部露出　玄関吊戸棚あり→隠蔽配管or基本ルートなら吊戸撤去か配管分の穴あけるか　玄関収納内化粧ベニヤ復旧　玄関エコカラット注意</t>
    <rPh sb="0" eb="8">
      <t>キュウトウカンコウシンズミミギ</t>
    </rPh>
    <rPh sb="8" eb="12">
      <t>コウシンキボウ</t>
    </rPh>
    <rPh sb="13" eb="15">
      <t>センタク</t>
    </rPh>
    <rPh sb="18" eb="20">
      <t>イチブ</t>
    </rPh>
    <rPh sb="20" eb="22">
      <t>ロシュツ</t>
    </rPh>
    <rPh sb="23" eb="28">
      <t>ゲンカンツリトダナ</t>
    </rPh>
    <rPh sb="31" eb="35">
      <t>インペイハイカン</t>
    </rPh>
    <rPh sb="37" eb="39">
      <t>キホン</t>
    </rPh>
    <rPh sb="44" eb="46">
      <t>ツリド</t>
    </rPh>
    <rPh sb="46" eb="48">
      <t>テッキョ</t>
    </rPh>
    <rPh sb="49" eb="52">
      <t>ハイカンブン</t>
    </rPh>
    <rPh sb="53" eb="54">
      <t>アナ</t>
    </rPh>
    <rPh sb="59" eb="64">
      <t>ゲンカンシュウノウナイ</t>
    </rPh>
    <rPh sb="64" eb="66">
      <t>ケショウ</t>
    </rPh>
    <rPh sb="69" eb="71">
      <t>フッキュウ</t>
    </rPh>
    <rPh sb="72" eb="74">
      <t>ゲンカン</t>
    </rPh>
    <rPh sb="80" eb="82">
      <t>チュウイ</t>
    </rPh>
    <phoneticPr fontId="1"/>
  </si>
  <si>
    <t>長澤 弘子</t>
    <rPh sb="0" eb="2">
      <t>ナガサワ</t>
    </rPh>
    <rPh sb="3" eb="5">
      <t>ヒロコ</t>
    </rPh>
    <phoneticPr fontId="1"/>
  </si>
  <si>
    <t>048-685-9166</t>
    <phoneticPr fontId="1"/>
  </si>
  <si>
    <t>トイレ吊戸棚外せなそう→玄関側から作業　洗濯パン洗面台にずらす　浴室デッキタイプ洗面所壁点検口設置</t>
    <rPh sb="3" eb="6">
      <t>ツリトダナ</t>
    </rPh>
    <rPh sb="6" eb="7">
      <t>ハズ</t>
    </rPh>
    <rPh sb="12" eb="15">
      <t>ゲンカンガワ</t>
    </rPh>
    <rPh sb="17" eb="19">
      <t>サギョウ</t>
    </rPh>
    <rPh sb="20" eb="22">
      <t>センタク</t>
    </rPh>
    <rPh sb="24" eb="27">
      <t>センメンダイ</t>
    </rPh>
    <rPh sb="32" eb="34">
      <t>ヨクシツ</t>
    </rPh>
    <rPh sb="40" eb="49">
      <t>センメンジョカベテンケンコウセッチ</t>
    </rPh>
    <phoneticPr fontId="1"/>
  </si>
  <si>
    <t>佐藤 紘毅</t>
    <rPh sb="0" eb="2">
      <t>サトウ</t>
    </rPh>
    <rPh sb="3" eb="4">
      <t>ヒロ</t>
    </rPh>
    <rPh sb="4" eb="5">
      <t>キ</t>
    </rPh>
    <phoneticPr fontId="1"/>
  </si>
  <si>
    <t>048-877-2453
080-3514-5694</t>
    <phoneticPr fontId="1"/>
  </si>
  <si>
    <t>JZV1117・140722</t>
    <phoneticPr fontId="1"/>
  </si>
  <si>
    <t>給湯管更新済み→更新希望　浴室デッキタイプ洗面所壁点検口設置　洗濯パン洗面台にずらす　余命１か月らしい</t>
    <rPh sb="0" eb="6">
      <t>キュウトウカンコウシンズ</t>
    </rPh>
    <rPh sb="7" eb="12">
      <t>ミギコウシンキボウ</t>
    </rPh>
    <rPh sb="13" eb="15">
      <t>ヨクシツ</t>
    </rPh>
    <rPh sb="21" eb="30">
      <t>センメンジョカベテンケンコウセッチ</t>
    </rPh>
    <rPh sb="31" eb="33">
      <t>センタク</t>
    </rPh>
    <rPh sb="35" eb="38">
      <t>センメンダイ</t>
    </rPh>
    <rPh sb="43" eb="45">
      <t>ヨメイ</t>
    </rPh>
    <rPh sb="47" eb="48">
      <t>ゲツ</t>
    </rPh>
    <phoneticPr fontId="1"/>
  </si>
  <si>
    <t>加藤 智美</t>
    <rPh sb="0" eb="2">
      <t>カトウ</t>
    </rPh>
    <rPh sb="3" eb="5">
      <t>トモミ</t>
    </rPh>
    <phoneticPr fontId="1"/>
  </si>
  <si>
    <t>4082-649-9250</t>
    <phoneticPr fontId="1"/>
  </si>
  <si>
    <t>浴室ｴﾌﾟﾛﾝ内点検口設置　玄関壁エコカラット　底板SUS→ポリ復旧　洗濯パン洗面台に寄せる(給水付き洗濯パン交換検討)　空家→売却予定</t>
    <rPh sb="0" eb="2">
      <t>ヨクシツ</t>
    </rPh>
    <rPh sb="7" eb="13">
      <t>ナイテンケンコウセッチ</t>
    </rPh>
    <rPh sb="14" eb="16">
      <t>ゲンカン</t>
    </rPh>
    <rPh sb="16" eb="17">
      <t>カベ</t>
    </rPh>
    <rPh sb="24" eb="34">
      <t>ソコイタSUSミギポリフッキュウ</t>
    </rPh>
    <rPh sb="35" eb="37">
      <t>センタク</t>
    </rPh>
    <rPh sb="39" eb="42">
      <t>センメンダイ</t>
    </rPh>
    <rPh sb="43" eb="44">
      <t>ヨ</t>
    </rPh>
    <rPh sb="47" eb="50">
      <t>キュウスイツ</t>
    </rPh>
    <rPh sb="51" eb="53">
      <t>センタク</t>
    </rPh>
    <rPh sb="55" eb="59">
      <t>コウカンケントウ</t>
    </rPh>
    <rPh sb="61" eb="63">
      <t>アキヤ</t>
    </rPh>
    <rPh sb="65" eb="67">
      <t>ヨテイ</t>
    </rPh>
    <phoneticPr fontId="1"/>
  </si>
  <si>
    <t>谷津 仁一</t>
    <rPh sb="0" eb="2">
      <t>タニヅ</t>
    </rPh>
    <rPh sb="3" eb="5">
      <t>ヒトイチ</t>
    </rPh>
    <phoneticPr fontId="1"/>
  </si>
  <si>
    <t>048-686-0317
090-2665-2666</t>
    <phoneticPr fontId="1"/>
  </si>
  <si>
    <t>WRV1117・167Q0Y</t>
    <phoneticPr fontId="1"/>
  </si>
  <si>
    <t>浴室鏡裏開口　底板SUS→ポリ復旧　洗濯パン交換検討</t>
    <rPh sb="0" eb="2">
      <t>ヨクシツ</t>
    </rPh>
    <rPh sb="2" eb="6">
      <t>カガミウラカイコウ</t>
    </rPh>
    <rPh sb="7" eb="17">
      <t>ソコイタSUSミギポリフッキュウ</t>
    </rPh>
    <rPh sb="18" eb="20">
      <t>センタク</t>
    </rPh>
    <rPh sb="22" eb="24">
      <t>コウカン</t>
    </rPh>
    <rPh sb="24" eb="26">
      <t>ケントウ</t>
    </rPh>
    <phoneticPr fontId="1"/>
  </si>
  <si>
    <t>清水 ツセ子</t>
    <rPh sb="0" eb="2">
      <t>シミズ</t>
    </rPh>
    <rPh sb="5" eb="6">
      <t>コ</t>
    </rPh>
    <phoneticPr fontId="1"/>
  </si>
  <si>
    <t>048-685-3543</t>
    <phoneticPr fontId="1"/>
  </si>
  <si>
    <t>浴室ｴﾌﾟﾛﾝ内点検口設置　エプロンのストッパー1つ壊れている　底板SUS→ポリ復旧　追い焚き機能ついていない</t>
    <rPh sb="0" eb="2">
      <t>ヨクシツ</t>
    </rPh>
    <rPh sb="7" eb="8">
      <t>ナイ</t>
    </rPh>
    <rPh sb="8" eb="13">
      <t>テンケンコウセッチ</t>
    </rPh>
    <rPh sb="26" eb="27">
      <t>コワ</t>
    </rPh>
    <rPh sb="32" eb="42">
      <t>ソコイタSUSミギポリフッキュウ</t>
    </rPh>
    <rPh sb="43" eb="44">
      <t>オ</t>
    </rPh>
    <rPh sb="45" eb="46">
      <t>ダ</t>
    </rPh>
    <rPh sb="47" eb="49">
      <t>キノウ</t>
    </rPh>
    <phoneticPr fontId="1"/>
  </si>
  <si>
    <t>髙橋 紀</t>
    <rPh sb="0" eb="2">
      <t>タカハシ</t>
    </rPh>
    <rPh sb="3" eb="4">
      <t>キ</t>
    </rPh>
    <phoneticPr fontId="1"/>
  </si>
  <si>
    <t>090-8120-5158</t>
    <phoneticPr fontId="1"/>
  </si>
  <si>
    <t>底板SUS→ポリ復旧　浴室デッキタイプ洗面所壁点検口設置　トイレ手すり最終日取付OK　洗濯パン洗面谷ずらす</t>
    <rPh sb="0" eb="10">
      <t>ソコイタSUSミギポリフッキュウ</t>
    </rPh>
    <rPh sb="11" eb="13">
      <t>ヨクシツ</t>
    </rPh>
    <rPh sb="19" eb="28">
      <t>センメンジョカベテンケンコウセッチ</t>
    </rPh>
    <rPh sb="32" eb="33">
      <t>テ</t>
    </rPh>
    <rPh sb="35" eb="40">
      <t>サイシュウビトリツケ</t>
    </rPh>
    <rPh sb="43" eb="45">
      <t>センタク</t>
    </rPh>
    <rPh sb="47" eb="50">
      <t>センメンダニ</t>
    </rPh>
    <phoneticPr fontId="1"/>
  </si>
  <si>
    <t>伊佐 公隆</t>
    <rPh sb="0" eb="2">
      <t>イサ</t>
    </rPh>
    <rPh sb="3" eb="4">
      <t>コウ</t>
    </rPh>
    <rPh sb="4" eb="5">
      <t>リュウ</t>
    </rPh>
    <phoneticPr fontId="1"/>
  </si>
  <si>
    <t>090-2569-9376</t>
    <phoneticPr fontId="1"/>
  </si>
  <si>
    <t>WRV1117UT・118U7J</t>
    <phoneticPr fontId="1"/>
  </si>
  <si>
    <t>浴室鏡裏開口　ドラム式の為配管モール立ち上げ難しい→洗濯パン交換検討中　キッチンホーロー板脱着　</t>
    <rPh sb="0" eb="2">
      <t>ヨクシツ</t>
    </rPh>
    <rPh sb="2" eb="6">
      <t>カガミウラカイコウ</t>
    </rPh>
    <rPh sb="10" eb="11">
      <t>シキ</t>
    </rPh>
    <rPh sb="12" eb="13">
      <t>タメ</t>
    </rPh>
    <rPh sb="13" eb="15">
      <t>ハイカン</t>
    </rPh>
    <rPh sb="18" eb="19">
      <t>タ</t>
    </rPh>
    <rPh sb="20" eb="21">
      <t>ア</t>
    </rPh>
    <rPh sb="22" eb="23">
      <t>ムズカ</t>
    </rPh>
    <rPh sb="26" eb="28">
      <t>センタク</t>
    </rPh>
    <rPh sb="30" eb="35">
      <t>コウカンケントウチュウ</t>
    </rPh>
    <rPh sb="44" eb="47">
      <t>イタダッチャク</t>
    </rPh>
    <phoneticPr fontId="1"/>
  </si>
  <si>
    <t>山本 郁子</t>
    <rPh sb="0" eb="2">
      <t>ヤマモト</t>
    </rPh>
    <rPh sb="3" eb="5">
      <t>イクコ</t>
    </rPh>
    <phoneticPr fontId="1"/>
  </si>
  <si>
    <t>048-685-4097</t>
    <phoneticPr fontId="1"/>
  </si>
  <si>
    <t>浴室ｴﾌﾟﾛﾝ内点検口設置　乾燥機有、ガス排気外す　トイレ手すり外さずに作業クロスつきつけ　ガスの配線邪魔→洗濯パンを給湯器によせて洗面台側からモール立ち上げる、水栓位置下に下がる　食洗器下背板開口、ｷｯﾁﾝ底板開口無し</t>
    <rPh sb="0" eb="2">
      <t>ヨクシツ</t>
    </rPh>
    <rPh sb="7" eb="13">
      <t>ナイテンケンコウセッチ</t>
    </rPh>
    <rPh sb="14" eb="18">
      <t>カンソウキアリ</t>
    </rPh>
    <rPh sb="21" eb="23">
      <t>ハイキ</t>
    </rPh>
    <rPh sb="23" eb="24">
      <t>ハズ</t>
    </rPh>
    <rPh sb="29" eb="30">
      <t>テ</t>
    </rPh>
    <rPh sb="32" eb="33">
      <t>ハズ</t>
    </rPh>
    <rPh sb="36" eb="38">
      <t>サギョウ</t>
    </rPh>
    <rPh sb="49" eb="51">
      <t>ハイセン</t>
    </rPh>
    <rPh sb="51" eb="53">
      <t>ジャマ</t>
    </rPh>
    <rPh sb="54" eb="56">
      <t>センタク</t>
    </rPh>
    <rPh sb="59" eb="62">
      <t>キュウトウキ</t>
    </rPh>
    <rPh sb="66" eb="70">
      <t>センメンダイガワ</t>
    </rPh>
    <rPh sb="75" eb="76">
      <t>タ</t>
    </rPh>
    <rPh sb="77" eb="78">
      <t>ア</t>
    </rPh>
    <rPh sb="81" eb="85">
      <t>スイセンイチ</t>
    </rPh>
    <rPh sb="85" eb="86">
      <t>シタ</t>
    </rPh>
    <rPh sb="87" eb="88">
      <t>サ</t>
    </rPh>
    <rPh sb="91" eb="95">
      <t>ショクセンキシタ</t>
    </rPh>
    <rPh sb="95" eb="99">
      <t>セイタカイコウ</t>
    </rPh>
    <rPh sb="104" eb="106">
      <t>ソコイタ</t>
    </rPh>
    <rPh sb="106" eb="109">
      <t>カイコウナ</t>
    </rPh>
    <phoneticPr fontId="1"/>
  </si>
  <si>
    <t>中井 あいこ</t>
    <rPh sb="0" eb="2">
      <t>ナカイ</t>
    </rPh>
    <phoneticPr fontId="1"/>
  </si>
  <si>
    <t>090-6527-3057</t>
    <phoneticPr fontId="1"/>
  </si>
  <si>
    <t>740+460ｷｬﾋﾞ</t>
    <phoneticPr fontId="1"/>
  </si>
  <si>
    <t>浴室エプロン内点検口設置　給湯器下造作カバー付き　ひな段　洗面所床鳴り</t>
    <rPh sb="0" eb="1">
      <t>ヨク</t>
    </rPh>
    <rPh sb="1" eb="2">
      <t>シツ</t>
    </rPh>
    <rPh sb="6" eb="12">
      <t>ナイテンケンコウセッチ</t>
    </rPh>
    <rPh sb="13" eb="16">
      <t>キュウトウキ</t>
    </rPh>
    <rPh sb="16" eb="17">
      <t>シタ</t>
    </rPh>
    <rPh sb="17" eb="19">
      <t>ゾウサク</t>
    </rPh>
    <rPh sb="22" eb="23">
      <t>ツ</t>
    </rPh>
    <rPh sb="27" eb="28">
      <t>ダン</t>
    </rPh>
    <rPh sb="29" eb="32">
      <t>センメンジョ</t>
    </rPh>
    <rPh sb="32" eb="33">
      <t>ユカ</t>
    </rPh>
    <rPh sb="33" eb="34">
      <t>ナ</t>
    </rPh>
    <phoneticPr fontId="1"/>
  </si>
  <si>
    <t>嶋田 ひとみ</t>
    <rPh sb="0" eb="2">
      <t>シマダ</t>
    </rPh>
    <phoneticPr fontId="1"/>
  </si>
  <si>
    <t>070-4564-2480</t>
    <phoneticPr fontId="1"/>
  </si>
  <si>
    <t>Panasonic</t>
    <phoneticPr fontId="1"/>
  </si>
  <si>
    <t>洗面所トイレ床フロアタイル→CF貼替、ｿﾌﾄ巾木　パナソニックのUB→ﾄｲﾚ側から施工、難しかったら床下接続　玄関収納内底板化粧ベニヤ復旧OK　洗濯配管まっすぐ立ち上げる</t>
    <rPh sb="0" eb="3">
      <t>センメンジョ</t>
    </rPh>
    <rPh sb="6" eb="7">
      <t>ユカ</t>
    </rPh>
    <rPh sb="16" eb="18">
      <t>ハリカエ</t>
    </rPh>
    <rPh sb="22" eb="24">
      <t>ハバキ</t>
    </rPh>
    <rPh sb="38" eb="39">
      <t>ガワ</t>
    </rPh>
    <rPh sb="41" eb="43">
      <t>セコウ</t>
    </rPh>
    <rPh sb="44" eb="45">
      <t>ムズカ</t>
    </rPh>
    <rPh sb="50" eb="54">
      <t>ユカシタセツゾク</t>
    </rPh>
    <rPh sb="55" eb="57">
      <t>ゲンカン</t>
    </rPh>
    <rPh sb="57" eb="60">
      <t>シュウノウナイ</t>
    </rPh>
    <rPh sb="60" eb="62">
      <t>ソコイタ</t>
    </rPh>
    <rPh sb="62" eb="64">
      <t>ケショウ</t>
    </rPh>
    <rPh sb="67" eb="69">
      <t>フッキュウ</t>
    </rPh>
    <rPh sb="72" eb="74">
      <t>センタク</t>
    </rPh>
    <rPh sb="74" eb="76">
      <t>ハイカン</t>
    </rPh>
    <rPh sb="80" eb="81">
      <t>タ</t>
    </rPh>
    <rPh sb="82" eb="83">
      <t>ア</t>
    </rPh>
    <phoneticPr fontId="1"/>
  </si>
  <si>
    <t>石山英雄</t>
    <rPh sb="0" eb="2">
      <t>イシヤマ</t>
    </rPh>
    <rPh sb="2" eb="4">
      <t>エイユウ</t>
    </rPh>
    <phoneticPr fontId="1"/>
  </si>
  <si>
    <t>様</t>
    <rPh sb="0" eb="1">
      <t>サマ</t>
    </rPh>
    <phoneticPr fontId="1"/>
  </si>
  <si>
    <t>048-683-3386</t>
    <phoneticPr fontId="1"/>
  </si>
  <si>
    <t>WRV1117US・1667LS</t>
    <phoneticPr fontId="1"/>
  </si>
  <si>
    <t>エプロン内点検口再使用　給湯管更新済み→更新希望　洗濯パン洗面谷ずらす　台所トラップ既存</t>
    <rPh sb="4" eb="5">
      <t>ナイ</t>
    </rPh>
    <rPh sb="5" eb="8">
      <t>テンケンコウ</t>
    </rPh>
    <rPh sb="8" eb="11">
      <t>サイシヨウ</t>
    </rPh>
    <rPh sb="12" eb="15">
      <t>キュウトウカン</t>
    </rPh>
    <rPh sb="15" eb="18">
      <t>コウシンズ</t>
    </rPh>
    <rPh sb="20" eb="24">
      <t>コウシンキボウ</t>
    </rPh>
    <rPh sb="25" eb="27">
      <t>センタク</t>
    </rPh>
    <rPh sb="29" eb="32">
      <t>センメンダニ</t>
    </rPh>
    <rPh sb="36" eb="37">
      <t>ダイ</t>
    </rPh>
    <rPh sb="37" eb="38">
      <t>トコロ</t>
    </rPh>
    <rPh sb="42" eb="44">
      <t>キゾン</t>
    </rPh>
    <phoneticPr fontId="1"/>
  </si>
  <si>
    <t>酒井 清</t>
    <rPh sb="0" eb="2">
      <t>サカイ</t>
    </rPh>
    <rPh sb="3" eb="4">
      <t>キヨシ</t>
    </rPh>
    <phoneticPr fontId="1"/>
  </si>
  <si>
    <t>080-4934-5224</t>
    <phoneticPr fontId="1"/>
  </si>
  <si>
    <t>740+460ｷｬﾋﾞ</t>
    <phoneticPr fontId="1"/>
  </si>
  <si>
    <t>エプロン内点検口設置　ひな段既存壁だし　11-202に息子住んでいる工事中はそっちに移動する　トイレ仮復旧なし　工事前に洗濯機無くしているかも</t>
    <rPh sb="4" eb="10">
      <t>ナイテンケンコウセッチ</t>
    </rPh>
    <rPh sb="13" eb="14">
      <t>ダン</t>
    </rPh>
    <rPh sb="14" eb="17">
      <t>キゾンカベ</t>
    </rPh>
    <rPh sb="27" eb="30">
      <t>ムスコス</t>
    </rPh>
    <rPh sb="34" eb="37">
      <t>コウジチュウ</t>
    </rPh>
    <rPh sb="42" eb="44">
      <t>イドウ</t>
    </rPh>
    <rPh sb="50" eb="53">
      <t>カリフッキュウ</t>
    </rPh>
    <rPh sb="56" eb="59">
      <t>コウジマエ</t>
    </rPh>
    <rPh sb="60" eb="63">
      <t>センタクキ</t>
    </rPh>
    <rPh sb="63" eb="64">
      <t>ナ</t>
    </rPh>
    <phoneticPr fontId="1"/>
  </si>
  <si>
    <t>蓮實 芳夫</t>
    <rPh sb="0" eb="1">
      <t>ハス</t>
    </rPh>
    <rPh sb="1" eb="2">
      <t>ジツ</t>
    </rPh>
    <rPh sb="3" eb="5">
      <t>ヨシオ</t>
    </rPh>
    <phoneticPr fontId="1"/>
  </si>
  <si>
    <t>090-4842-6327</t>
    <phoneticPr fontId="1"/>
  </si>
  <si>
    <t>WTV1116JN・163RAL</t>
    <phoneticPr fontId="1"/>
  </si>
  <si>
    <t>浴室内部材接続　Sソケで便器後ろに下げている　ひな段既存壁だし隣の引き出し背板開口必要かも　トイレ洗面床つなげて貼る</t>
    <rPh sb="0" eb="2">
      <t>ヨクシツ</t>
    </rPh>
    <rPh sb="2" eb="7">
      <t>ナイブザイセツゾク</t>
    </rPh>
    <rPh sb="12" eb="15">
      <t>ベンキウシ</t>
    </rPh>
    <rPh sb="17" eb="18">
      <t>サ</t>
    </rPh>
    <rPh sb="25" eb="29">
      <t>ダンキゾンカベ</t>
    </rPh>
    <rPh sb="31" eb="32">
      <t>トナリ</t>
    </rPh>
    <rPh sb="33" eb="34">
      <t>ヒ</t>
    </rPh>
    <rPh sb="35" eb="36">
      <t>ダ</t>
    </rPh>
    <rPh sb="37" eb="41">
      <t>セイタカイコウ</t>
    </rPh>
    <rPh sb="41" eb="43">
      <t>ヒツヨウ</t>
    </rPh>
    <rPh sb="49" eb="52">
      <t>センメンユカ</t>
    </rPh>
    <rPh sb="56" eb="57">
      <t>ハ</t>
    </rPh>
    <phoneticPr fontId="1"/>
  </si>
  <si>
    <t>上野 光太郎</t>
    <rPh sb="0" eb="1">
      <t>ウエ</t>
    </rPh>
    <rPh sb="1" eb="2">
      <t>ノ</t>
    </rPh>
    <rPh sb="3" eb="6">
      <t>コウタロウ</t>
    </rPh>
    <phoneticPr fontId="1"/>
  </si>
  <si>
    <t>080-4176-0714</t>
    <phoneticPr fontId="1"/>
  </si>
  <si>
    <t>浴室エプロン内点検口設置　底板SUS→ポリ復旧　洗面台おいていないOPで設置希望　天井全て既存の仕上げ材剥がしているOPでクロス貼替希望　洗濯モール直上げ</t>
    <rPh sb="0" eb="2">
      <t>ヨクシツ</t>
    </rPh>
    <rPh sb="6" eb="12">
      <t>ナイテンケンコウセッチ</t>
    </rPh>
    <rPh sb="13" eb="23">
      <t>ソコイタSUSミギポリフッキュウ</t>
    </rPh>
    <rPh sb="24" eb="27">
      <t>センメンダイ</t>
    </rPh>
    <rPh sb="36" eb="40">
      <t>セッチキボウ</t>
    </rPh>
    <rPh sb="41" eb="43">
      <t>テンジョウ</t>
    </rPh>
    <rPh sb="43" eb="44">
      <t>スベ</t>
    </rPh>
    <rPh sb="45" eb="47">
      <t>キゾン</t>
    </rPh>
    <rPh sb="48" eb="50">
      <t>シア</t>
    </rPh>
    <rPh sb="51" eb="52">
      <t>ザイ</t>
    </rPh>
    <rPh sb="52" eb="53">
      <t>ハ</t>
    </rPh>
    <rPh sb="64" eb="66">
      <t>ハリカエ</t>
    </rPh>
    <rPh sb="66" eb="68">
      <t>キボウ</t>
    </rPh>
    <rPh sb="69" eb="71">
      <t>センタク</t>
    </rPh>
    <rPh sb="74" eb="75">
      <t>チョク</t>
    </rPh>
    <rPh sb="75" eb="76">
      <t>ア</t>
    </rPh>
    <phoneticPr fontId="1"/>
  </si>
  <si>
    <t>佐藤 信子</t>
    <rPh sb="0" eb="2">
      <t>サトウ</t>
    </rPh>
    <rPh sb="3" eb="5">
      <t>ノブコ</t>
    </rPh>
    <phoneticPr fontId="1"/>
  </si>
  <si>
    <t>048-686-2346</t>
    <phoneticPr fontId="1"/>
  </si>
  <si>
    <t>WHV1116UT・1799L0</t>
    <phoneticPr fontId="1"/>
  </si>
  <si>
    <t>浴室ｴﾌﾟﾛﾝはずしたらスラブ直　給湯管更新済み→残す排水も更新しているらしい後日資料探してくれる　トイレソフト巾木60㎜　洗濯モール立ち上げスペース狭い一部露出する　息子目が悪い</t>
    <rPh sb="0" eb="2">
      <t>ヨクシツ</t>
    </rPh>
    <rPh sb="15" eb="16">
      <t>チョク</t>
    </rPh>
    <rPh sb="17" eb="20">
      <t>キュウトウカン</t>
    </rPh>
    <rPh sb="20" eb="23">
      <t>コウシンズ</t>
    </rPh>
    <rPh sb="25" eb="26">
      <t>ノコ</t>
    </rPh>
    <rPh sb="27" eb="29">
      <t>ハイスイ</t>
    </rPh>
    <rPh sb="30" eb="32">
      <t>コウシン</t>
    </rPh>
    <rPh sb="39" eb="41">
      <t>ゴジツ</t>
    </rPh>
    <rPh sb="41" eb="43">
      <t>シリョウ</t>
    </rPh>
    <rPh sb="43" eb="44">
      <t>サガ</t>
    </rPh>
    <rPh sb="56" eb="58">
      <t>ハバキ</t>
    </rPh>
    <rPh sb="62" eb="64">
      <t>センタク</t>
    </rPh>
    <rPh sb="67" eb="68">
      <t>タ</t>
    </rPh>
    <rPh sb="69" eb="70">
      <t>ア</t>
    </rPh>
    <rPh sb="75" eb="76">
      <t>セマ</t>
    </rPh>
    <rPh sb="77" eb="81">
      <t>イチブロシュツ</t>
    </rPh>
    <rPh sb="84" eb="86">
      <t>ムスコ</t>
    </rPh>
    <rPh sb="86" eb="87">
      <t>メ</t>
    </rPh>
    <rPh sb="88" eb="89">
      <t>ワル</t>
    </rPh>
    <phoneticPr fontId="1"/>
  </si>
  <si>
    <t>村林 澄美</t>
    <rPh sb="0" eb="2">
      <t>ムラバヤシ</t>
    </rPh>
    <rPh sb="3" eb="4">
      <t>スミ</t>
    </rPh>
    <rPh sb="4" eb="5">
      <t>ミ</t>
    </rPh>
    <phoneticPr fontId="1"/>
  </si>
  <si>
    <t>090-4912-2962</t>
    <phoneticPr fontId="1"/>
  </si>
  <si>
    <t>WBV1117JT・181U62</t>
    <phoneticPr fontId="1"/>
  </si>
  <si>
    <t>玄関棚あり→上段撤去して基本ルートか隠蔽配管　底板SUS復旧方法検討　鏡裏開口　父親入院している為現在空家みたいな感じ？娘が調査立ち合い</t>
    <rPh sb="0" eb="2">
      <t>ゲンカン</t>
    </rPh>
    <rPh sb="2" eb="3">
      <t>タナ</t>
    </rPh>
    <rPh sb="6" eb="8">
      <t>ジョウダン</t>
    </rPh>
    <rPh sb="8" eb="10">
      <t>テッキョ</t>
    </rPh>
    <rPh sb="12" eb="14">
      <t>キホン</t>
    </rPh>
    <rPh sb="18" eb="20">
      <t>インペイ</t>
    </rPh>
    <rPh sb="20" eb="22">
      <t>ハイカン</t>
    </rPh>
    <rPh sb="23" eb="25">
      <t>ソコイタ</t>
    </rPh>
    <rPh sb="28" eb="30">
      <t>フッキュウ</t>
    </rPh>
    <rPh sb="30" eb="32">
      <t>ホウホウ</t>
    </rPh>
    <rPh sb="32" eb="34">
      <t>ケントウ</t>
    </rPh>
    <rPh sb="35" eb="39">
      <t>カガミウラカイコウ</t>
    </rPh>
    <rPh sb="40" eb="42">
      <t>チチオヤ</t>
    </rPh>
    <rPh sb="42" eb="44">
      <t>ニュウイン</t>
    </rPh>
    <rPh sb="48" eb="49">
      <t>タメ</t>
    </rPh>
    <rPh sb="49" eb="51">
      <t>ゲンザイ</t>
    </rPh>
    <rPh sb="51" eb="53">
      <t>アキヤ</t>
    </rPh>
    <rPh sb="57" eb="58">
      <t>カン</t>
    </rPh>
    <rPh sb="60" eb="61">
      <t>ムスメ</t>
    </rPh>
    <rPh sb="62" eb="65">
      <t>チョウサタ</t>
    </rPh>
    <rPh sb="66" eb="67">
      <t>ア</t>
    </rPh>
    <phoneticPr fontId="1"/>
  </si>
  <si>
    <t>榊原 栄子</t>
    <rPh sb="0" eb="2">
      <t>サカキバラ</t>
    </rPh>
    <rPh sb="3" eb="5">
      <t>エイコ</t>
    </rPh>
    <phoneticPr fontId="1"/>
  </si>
  <si>
    <t>090-8814-9326</t>
    <phoneticPr fontId="1"/>
  </si>
  <si>
    <t>JZC1117・189769</t>
    <phoneticPr fontId="1"/>
  </si>
  <si>
    <t>ｴﾌﾟﾛﾝ内点検口設置　トイレ止水栓Ｄ式ｱﾝｸﾞﾙ　ひな段、水湯交差しているので直す</t>
    <rPh sb="5" eb="6">
      <t>ナイ</t>
    </rPh>
    <rPh sb="6" eb="11">
      <t>テンケンコウセッチ</t>
    </rPh>
    <rPh sb="15" eb="18">
      <t>シスイセン</t>
    </rPh>
    <rPh sb="19" eb="20">
      <t>シキ</t>
    </rPh>
    <rPh sb="28" eb="29">
      <t>ダン</t>
    </rPh>
    <rPh sb="30" eb="32">
      <t>ミズユ</t>
    </rPh>
    <rPh sb="32" eb="34">
      <t>コウサ</t>
    </rPh>
    <rPh sb="40" eb="41">
      <t>ナオ</t>
    </rPh>
    <phoneticPr fontId="1"/>
  </si>
  <si>
    <t>宮内 みはる</t>
    <rPh sb="0" eb="2">
      <t>ミヤウチ</t>
    </rPh>
    <phoneticPr fontId="1"/>
  </si>
  <si>
    <t>048-686-2624</t>
    <phoneticPr fontId="1"/>
  </si>
  <si>
    <t>タイル</t>
    <phoneticPr fontId="1"/>
  </si>
  <si>
    <t>野田 昌恵</t>
    <rPh sb="0" eb="2">
      <t>ノダ</t>
    </rPh>
    <rPh sb="3" eb="5">
      <t>マサエ</t>
    </rPh>
    <phoneticPr fontId="1"/>
  </si>
  <si>
    <t>048-685-4128</t>
    <phoneticPr fontId="1"/>
  </si>
  <si>
    <t>エプロン内点検口再使用ｺｰｷﾝｸﾞ　給湯管、追い焚き管更新済み→残す　トイレ壁タイル→玄関壁１面解体貼替、トイレ床作業有り、給水床にする　12-306娘住んでいる　ひな段既存壁だし　給湯器下造作カバー付き</t>
    <rPh sb="4" eb="5">
      <t>ナイ</t>
    </rPh>
    <rPh sb="5" eb="8">
      <t>テンケンコウ</t>
    </rPh>
    <rPh sb="8" eb="11">
      <t>サイシヨウ</t>
    </rPh>
    <rPh sb="18" eb="20">
      <t>キュウトウカン</t>
    </rPh>
    <rPh sb="20" eb="21">
      <t>、</t>
    </rPh>
    <rPh sb="21" eb="25">
      <t>オイダキ</t>
    </rPh>
    <rPh sb="26" eb="28">
      <t>コウシン</t>
    </rPh>
    <rPh sb="28" eb="30">
      <t>ズミ</t>
    </rPh>
    <rPh sb="31" eb="33">
      <t>ノコス</t>
    </rPh>
    <rPh sb="38" eb="41">
      <t>タイル</t>
    </rPh>
    <rPh sb="42" eb="44">
      <t>ゲンカン</t>
    </rPh>
    <rPh sb="45" eb="46">
      <t>カベ</t>
    </rPh>
    <rPh sb="47" eb="48">
      <t>メン</t>
    </rPh>
    <rPh sb="48" eb="50">
      <t>カイタイ</t>
    </rPh>
    <rPh sb="50" eb="52">
      <t>ハリカエ</t>
    </rPh>
    <rPh sb="56" eb="57">
      <t>ユカ</t>
    </rPh>
    <rPh sb="57" eb="60">
      <t>サギョウアリ</t>
    </rPh>
    <rPh sb="62" eb="65">
      <t>キュウスイユカ</t>
    </rPh>
    <rPh sb="75" eb="76">
      <t>ムスメ</t>
    </rPh>
    <rPh sb="76" eb="77">
      <t>ス</t>
    </rPh>
    <rPh sb="84" eb="88">
      <t>ダンキゾンカベ</t>
    </rPh>
    <rPh sb="91" eb="97">
      <t>キュウトウキシタゾウサク</t>
    </rPh>
    <rPh sb="100" eb="101">
      <t>ツ</t>
    </rPh>
    <phoneticPr fontId="1"/>
  </si>
  <si>
    <t>ｴﾌﾟﾛﾝ内点検口再使用ｺｰｷﾝｸﾞ　給湯管、追い焚き管更新済み→給湯管更新希望　トイレ壁タイル→玄関１面解体貼替、トイレ床は作業有り、給水床にする　洗濯パン交換しないようなら洗面台にずらす　目が悪い　OP検討中だが、工事前にﾄｲﾚ交換しているかも　玄関廊下床鳴り</t>
    <rPh sb="5" eb="6">
      <t>ナイ</t>
    </rPh>
    <rPh sb="6" eb="12">
      <t>テンケンコウサイシヨウ</t>
    </rPh>
    <rPh sb="36" eb="40">
      <t>コウシンキボウ</t>
    </rPh>
    <rPh sb="44" eb="45">
      <t>カベ</t>
    </rPh>
    <rPh sb="49" eb="51">
      <t>ゲンカン</t>
    </rPh>
    <rPh sb="52" eb="53">
      <t>メン</t>
    </rPh>
    <rPh sb="53" eb="55">
      <t>カイタイ</t>
    </rPh>
    <rPh sb="55" eb="57">
      <t>ハリカエ</t>
    </rPh>
    <rPh sb="61" eb="62">
      <t>ユカ</t>
    </rPh>
    <rPh sb="63" eb="66">
      <t>サギョウアリ</t>
    </rPh>
    <rPh sb="68" eb="70">
      <t>キュウスイ</t>
    </rPh>
    <rPh sb="70" eb="71">
      <t>ユカ</t>
    </rPh>
    <rPh sb="75" eb="77">
      <t>センタク</t>
    </rPh>
    <rPh sb="79" eb="81">
      <t>コウカン</t>
    </rPh>
    <rPh sb="88" eb="91">
      <t>センメンダイ</t>
    </rPh>
    <rPh sb="96" eb="97">
      <t>メ</t>
    </rPh>
    <rPh sb="98" eb="99">
      <t>ワル</t>
    </rPh>
    <rPh sb="103" eb="106">
      <t>ケントウチュウ</t>
    </rPh>
    <rPh sb="109" eb="112">
      <t>コウジマエ</t>
    </rPh>
    <rPh sb="116" eb="118">
      <t>コウカン</t>
    </rPh>
    <rPh sb="125" eb="129">
      <t>ゲンカンロウカ</t>
    </rPh>
    <rPh sb="129" eb="131">
      <t>ユカナ</t>
    </rPh>
    <phoneticPr fontId="1"/>
  </si>
  <si>
    <t>宮崎 那央子</t>
    <rPh sb="0" eb="2">
      <t>ミヤザキ</t>
    </rPh>
    <rPh sb="3" eb="4">
      <t>ナ</t>
    </rPh>
    <rPh sb="4" eb="6">
      <t>ヨウコ</t>
    </rPh>
    <phoneticPr fontId="1"/>
  </si>
  <si>
    <t>090-5562-7799</t>
    <phoneticPr fontId="1"/>
  </si>
  <si>
    <t>WZV1216・15059R</t>
    <phoneticPr fontId="1"/>
  </si>
  <si>
    <t>浴室内部材接続　洗濯パン洗面台にずらす　12-206親住んでいる工事中の鍵の開け閉めしてくれるかも？鍵取付は検討する</t>
    <rPh sb="0" eb="2">
      <t>ヨクシツ</t>
    </rPh>
    <rPh sb="2" eb="7">
      <t>ナイブザイセツゾク</t>
    </rPh>
    <rPh sb="8" eb="10">
      <t>センタク</t>
    </rPh>
    <rPh sb="12" eb="15">
      <t>センメンダイ</t>
    </rPh>
    <rPh sb="26" eb="27">
      <t>オヤ</t>
    </rPh>
    <rPh sb="27" eb="28">
      <t>ス</t>
    </rPh>
    <rPh sb="32" eb="35">
      <t>コウジチュウ</t>
    </rPh>
    <rPh sb="36" eb="37">
      <t>カギ</t>
    </rPh>
    <rPh sb="38" eb="39">
      <t>ア</t>
    </rPh>
    <rPh sb="40" eb="41">
      <t>シ</t>
    </rPh>
    <rPh sb="50" eb="51">
      <t>カギ</t>
    </rPh>
    <rPh sb="51" eb="53">
      <t>トリツケ</t>
    </rPh>
    <rPh sb="54" eb="56">
      <t>ケントウ</t>
    </rPh>
    <phoneticPr fontId="1"/>
  </si>
  <si>
    <t>野田 淑美</t>
    <rPh sb="0" eb="2">
      <t>ノダ</t>
    </rPh>
    <rPh sb="3" eb="4">
      <t>シュク</t>
    </rPh>
    <rPh sb="4" eb="5">
      <t>ミ</t>
    </rPh>
    <phoneticPr fontId="1"/>
  </si>
  <si>
    <t>090-4916-8754</t>
    <phoneticPr fontId="1"/>
  </si>
  <si>
    <t>戸叶(不動産の方)</t>
    <rPh sb="0" eb="2">
      <t>トカノ</t>
    </rPh>
    <rPh sb="3" eb="6">
      <t>フドウサン</t>
    </rPh>
    <rPh sb="7" eb="8">
      <t>カタ</t>
    </rPh>
    <phoneticPr fontId="1"/>
  </si>
  <si>
    <t>080-7996-6438</t>
    <phoneticPr fontId="1"/>
  </si>
  <si>
    <t>フルリフォーム予定　工事内容決まったら連絡くれる　新入居者が他の棟に住んでいる方</t>
    <rPh sb="7" eb="9">
      <t>ヨテイ</t>
    </rPh>
    <rPh sb="10" eb="12">
      <t>コウジ</t>
    </rPh>
    <rPh sb="12" eb="14">
      <t>ナイヨウ</t>
    </rPh>
    <rPh sb="14" eb="15">
      <t>キ</t>
    </rPh>
    <rPh sb="19" eb="21">
      <t>レンラク</t>
    </rPh>
    <rPh sb="25" eb="29">
      <t>シンニュウキョシャ</t>
    </rPh>
    <rPh sb="30" eb="31">
      <t>ホカ</t>
    </rPh>
    <rPh sb="32" eb="33">
      <t>トウ</t>
    </rPh>
    <rPh sb="34" eb="35">
      <t>ス</t>
    </rPh>
    <rPh sb="39" eb="40">
      <t>カタ</t>
    </rPh>
    <phoneticPr fontId="1"/>
  </si>
  <si>
    <t>松本 彰</t>
    <rPh sb="0" eb="2">
      <t>マツモト</t>
    </rPh>
    <rPh sb="3" eb="4">
      <t>アキラ</t>
    </rPh>
    <phoneticPr fontId="1"/>
  </si>
  <si>
    <t>048-685-9171
090-2624-4026</t>
    <phoneticPr fontId="1"/>
  </si>
  <si>
    <t>浴室エプロン内点検口設置　トイレ止水栓Ｄ式ｱﾝｸﾞㇽ　ひな段既存壁だし隣引き出し背板開口必要かも　</t>
    <rPh sb="0" eb="2">
      <t>ヨクシツ</t>
    </rPh>
    <rPh sb="6" eb="7">
      <t>ナイ</t>
    </rPh>
    <rPh sb="7" eb="12">
      <t>テンケンコウセッチ</t>
    </rPh>
    <rPh sb="16" eb="19">
      <t>シスイセン</t>
    </rPh>
    <rPh sb="20" eb="21">
      <t>シキ</t>
    </rPh>
    <rPh sb="29" eb="33">
      <t>ダンキソンカベ</t>
    </rPh>
    <rPh sb="35" eb="36">
      <t>トナリ</t>
    </rPh>
    <rPh sb="36" eb="37">
      <t>ヒ</t>
    </rPh>
    <rPh sb="38" eb="39">
      <t>ダ</t>
    </rPh>
    <rPh sb="40" eb="44">
      <t>セイタカイコウ</t>
    </rPh>
    <rPh sb="44" eb="46">
      <t>ヒツヨウ</t>
    </rPh>
    <phoneticPr fontId="1"/>
  </si>
  <si>
    <t>松山 昌紀</t>
    <rPh sb="0" eb="2">
      <t>マツヤマ</t>
    </rPh>
    <rPh sb="3" eb="5">
      <t>マサキ</t>
    </rPh>
    <phoneticPr fontId="1"/>
  </si>
  <si>
    <t>048-685-9198
090-1544-1803</t>
    <phoneticPr fontId="1"/>
  </si>
  <si>
    <t>JZC1117・157854</t>
    <phoneticPr fontId="1"/>
  </si>
  <si>
    <t>浴室エプロン内点検口設置　MB内活水器あり、大事にしているので再使用　洗面所棚移動なしクロスつきつけ　追い焚き管無し、将来ように追い焚き管配管しておいてほしい</t>
    <rPh sb="0" eb="2">
      <t>ヨクシツ</t>
    </rPh>
    <rPh sb="6" eb="7">
      <t>ナイ</t>
    </rPh>
    <rPh sb="7" eb="12">
      <t>テンケンコウセッチ</t>
    </rPh>
    <rPh sb="15" eb="16">
      <t>ナイ</t>
    </rPh>
    <rPh sb="16" eb="19">
      <t>カッスイキ</t>
    </rPh>
    <rPh sb="22" eb="24">
      <t>ダイジ</t>
    </rPh>
    <rPh sb="31" eb="34">
      <t>サイシヨウ</t>
    </rPh>
    <rPh sb="35" eb="39">
      <t>センメンジョタナ</t>
    </rPh>
    <rPh sb="39" eb="41">
      <t>イドウ</t>
    </rPh>
    <rPh sb="51" eb="52">
      <t>オ</t>
    </rPh>
    <rPh sb="53" eb="54">
      <t>ダ</t>
    </rPh>
    <rPh sb="55" eb="57">
      <t>カンナ</t>
    </rPh>
    <rPh sb="59" eb="61">
      <t>ショウライ</t>
    </rPh>
    <rPh sb="64" eb="65">
      <t>オ</t>
    </rPh>
    <rPh sb="66" eb="67">
      <t>ダ</t>
    </rPh>
    <rPh sb="68" eb="69">
      <t>カン</t>
    </rPh>
    <rPh sb="69" eb="71">
      <t>ハイカン</t>
    </rPh>
    <phoneticPr fontId="1"/>
  </si>
  <si>
    <t>杉浦</t>
    <rPh sb="0" eb="2">
      <t>スギウラ</t>
    </rPh>
    <phoneticPr fontId="1"/>
  </si>
  <si>
    <t>090-1889-1971</t>
    <phoneticPr fontId="1"/>
  </si>
  <si>
    <t>浴室デッキタイプ洗面所壁点検口設置　台所トラップ既存　トイレ床嵩上げ　工事前に給湯器交換しているかも</t>
    <rPh sb="0" eb="2">
      <t>ヨクシツ</t>
    </rPh>
    <rPh sb="8" eb="17">
      <t>センメンジョカベテンケンコウセッチ</t>
    </rPh>
    <rPh sb="18" eb="20">
      <t>ダイドコロ</t>
    </rPh>
    <rPh sb="24" eb="26">
      <t>キゾン</t>
    </rPh>
    <rPh sb="30" eb="31">
      <t>ユカ</t>
    </rPh>
    <rPh sb="31" eb="33">
      <t>カサア</t>
    </rPh>
    <rPh sb="35" eb="38">
      <t>コウジマエ</t>
    </rPh>
    <rPh sb="39" eb="42">
      <t>キュウトウキ</t>
    </rPh>
    <rPh sb="42" eb="44">
      <t>コウカン</t>
    </rPh>
    <phoneticPr fontId="1"/>
  </si>
  <si>
    <t>斉藤 善久</t>
    <rPh sb="0" eb="2">
      <t>サイトウ</t>
    </rPh>
    <rPh sb="3" eb="5">
      <t>ヨシヒサ</t>
    </rPh>
    <phoneticPr fontId="1"/>
  </si>
  <si>
    <t>048-686-4793</t>
    <phoneticPr fontId="1"/>
  </si>
  <si>
    <t>大山</t>
    <rPh sb="0" eb="2">
      <t>オオヤマ</t>
    </rPh>
    <phoneticPr fontId="1"/>
  </si>
  <si>
    <t>090-2635-0315</t>
    <phoneticPr fontId="1"/>
  </si>
  <si>
    <t>WZV1117・148090</t>
    <phoneticPr fontId="1"/>
  </si>
  <si>
    <t>浴室鏡裏開口　洗面所床FL→CF貼替OK　給湯器下カバーコーキングされているためな見れなかった　ひな段　廊下台所コルクタイル注意</t>
    <rPh sb="0" eb="2">
      <t>ヨクシツ</t>
    </rPh>
    <rPh sb="2" eb="6">
      <t>カガミウラカイコウ</t>
    </rPh>
    <rPh sb="7" eb="11">
      <t>センメンジョユカ</t>
    </rPh>
    <rPh sb="16" eb="18">
      <t>ハリカエ</t>
    </rPh>
    <rPh sb="21" eb="25">
      <t>キュウトウキシタ</t>
    </rPh>
    <rPh sb="41" eb="42">
      <t>ミ</t>
    </rPh>
    <rPh sb="50" eb="51">
      <t>ダン</t>
    </rPh>
    <rPh sb="52" eb="54">
      <t>ロウカ</t>
    </rPh>
    <rPh sb="54" eb="56">
      <t>ダイドコロ</t>
    </rPh>
    <rPh sb="62" eb="64">
      <t>チュウイ</t>
    </rPh>
    <phoneticPr fontId="1"/>
  </si>
  <si>
    <t>秡川 勝治</t>
    <rPh sb="0" eb="2">
      <t>ハツカワ</t>
    </rPh>
    <rPh sb="3" eb="5">
      <t>カツジ</t>
    </rPh>
    <phoneticPr fontId="1"/>
  </si>
  <si>
    <t>048-684-4344</t>
    <phoneticPr fontId="1"/>
  </si>
  <si>
    <t>WBV1117JT・174054</t>
    <phoneticPr fontId="1"/>
  </si>
  <si>
    <t>浴室部材外すのムズイ→エプロン内点検口設置　給水管一部更新→全更新　介護用の手すりあり</t>
    <rPh sb="0" eb="2">
      <t>ヨクシツ</t>
    </rPh>
    <rPh sb="2" eb="4">
      <t>ブザイ</t>
    </rPh>
    <rPh sb="4" eb="5">
      <t>ハズ</t>
    </rPh>
    <rPh sb="15" eb="16">
      <t>ナイ</t>
    </rPh>
    <rPh sb="16" eb="19">
      <t>テンケンコウ</t>
    </rPh>
    <rPh sb="19" eb="21">
      <t>セッチ</t>
    </rPh>
    <rPh sb="22" eb="25">
      <t>キュウスイカン</t>
    </rPh>
    <rPh sb="25" eb="29">
      <t>イチブコウシン</t>
    </rPh>
    <rPh sb="30" eb="31">
      <t>ゼン</t>
    </rPh>
    <rPh sb="31" eb="33">
      <t>コウシン</t>
    </rPh>
    <rPh sb="34" eb="37">
      <t>カイゴヨウ</t>
    </rPh>
    <rPh sb="38" eb="39">
      <t>テ</t>
    </rPh>
    <phoneticPr fontId="1"/>
  </si>
  <si>
    <t>富田 郁子</t>
    <rPh sb="0" eb="2">
      <t>トミタ</t>
    </rPh>
    <rPh sb="3" eb="5">
      <t>イクコ</t>
    </rPh>
    <phoneticPr fontId="1"/>
  </si>
  <si>
    <t>090-1606-8092</t>
    <phoneticPr fontId="1"/>
  </si>
  <si>
    <t>WZV1117・192501</t>
    <phoneticPr fontId="1"/>
  </si>
  <si>
    <t>ｴﾌﾟﾛﾝ内部材接続　給湯管更新済み→残す　所有者が亡くなり空家状態、工事期間中不在トイレ仮復旧なし　工事前に所有者が変わっているかも</t>
    <rPh sb="5" eb="10">
      <t>ナイブザイセツゾク</t>
    </rPh>
    <rPh sb="11" eb="14">
      <t>キュウトウカン</t>
    </rPh>
    <rPh sb="14" eb="17">
      <t>コウシンズ</t>
    </rPh>
    <rPh sb="19" eb="20">
      <t>ノコ</t>
    </rPh>
    <rPh sb="22" eb="25">
      <t>ショユウシャ</t>
    </rPh>
    <rPh sb="26" eb="27">
      <t>ナ</t>
    </rPh>
    <rPh sb="30" eb="34">
      <t>アキヤジョウタイ</t>
    </rPh>
    <rPh sb="35" eb="40">
      <t>コウジキカンチュウ</t>
    </rPh>
    <rPh sb="40" eb="42">
      <t>フザイ</t>
    </rPh>
    <rPh sb="45" eb="48">
      <t>カリフッキュウ</t>
    </rPh>
    <rPh sb="51" eb="54">
      <t>コウジマエ</t>
    </rPh>
    <rPh sb="55" eb="58">
      <t>ショユウシャ</t>
    </rPh>
    <rPh sb="59" eb="60">
      <t>カ</t>
    </rPh>
    <phoneticPr fontId="1"/>
  </si>
  <si>
    <t>池田 花梨</t>
    <rPh sb="0" eb="2">
      <t>イケダ</t>
    </rPh>
    <rPh sb="3" eb="4">
      <t>ハナ</t>
    </rPh>
    <rPh sb="4" eb="5">
      <t>リ</t>
    </rPh>
    <phoneticPr fontId="1"/>
  </si>
  <si>
    <t>080-4433-4989(妻)
090-6503-4989(夫)</t>
    <rPh sb="14" eb="15">
      <t>ツマ</t>
    </rPh>
    <rPh sb="31" eb="32">
      <t>オット</t>
    </rPh>
    <phoneticPr fontId="1"/>
  </si>
  <si>
    <t>W80960806・235011A
BP-1116S8ZE2</t>
    <phoneticPr fontId="1"/>
  </si>
  <si>
    <t>エプロン内点検口設置　玄関壁ふかし壁→解体コア抜き＋隠蔽配管できるならモールなし　トイレ壁腰壁パネル→玄関側解体、玄関壁２面貼替　乾燥機あり　洗面ソフト巾木</t>
    <rPh sb="4" eb="8">
      <t>ナイテンケンコウ</t>
    </rPh>
    <rPh sb="8" eb="10">
      <t>セッチ</t>
    </rPh>
    <rPh sb="11" eb="14">
      <t>ゲンカンカベ</t>
    </rPh>
    <rPh sb="17" eb="18">
      <t>カベ</t>
    </rPh>
    <rPh sb="19" eb="21">
      <t>カイタイ</t>
    </rPh>
    <rPh sb="23" eb="24">
      <t>ヌ</t>
    </rPh>
    <rPh sb="26" eb="30">
      <t>インペイハイカン</t>
    </rPh>
    <rPh sb="44" eb="45">
      <t>カベ</t>
    </rPh>
    <rPh sb="45" eb="47">
      <t>コシカベ</t>
    </rPh>
    <rPh sb="51" eb="56">
      <t>ゲンカンガワカイタイ</t>
    </rPh>
    <rPh sb="57" eb="60">
      <t>ゲンカンカベ</t>
    </rPh>
    <rPh sb="61" eb="64">
      <t>メンハリカエ</t>
    </rPh>
    <rPh sb="65" eb="68">
      <t>カンソウキ</t>
    </rPh>
    <rPh sb="71" eb="73">
      <t>センメン</t>
    </rPh>
    <rPh sb="76" eb="78">
      <t>ハバキ</t>
    </rPh>
    <phoneticPr fontId="1"/>
  </si>
  <si>
    <t>浴室エプロン内点検口再使用　洗面所壁点検口あり　給湯管、追い焚き管更新済み→残す　ひな段</t>
    <rPh sb="0" eb="2">
      <t>ヨクシツ</t>
    </rPh>
    <rPh sb="6" eb="7">
      <t>ナイ</t>
    </rPh>
    <rPh sb="7" eb="13">
      <t>テンケンコウサイシヨウ</t>
    </rPh>
    <rPh sb="14" eb="18">
      <t>センメンジョカベ</t>
    </rPh>
    <rPh sb="18" eb="21">
      <t>テンケンコウ</t>
    </rPh>
    <rPh sb="24" eb="27">
      <t>キュウトウカン</t>
    </rPh>
    <rPh sb="28" eb="29">
      <t>オ</t>
    </rPh>
    <rPh sb="30" eb="31">
      <t>ダ</t>
    </rPh>
    <rPh sb="32" eb="33">
      <t>カン</t>
    </rPh>
    <rPh sb="33" eb="36">
      <t>コウシンズ</t>
    </rPh>
    <rPh sb="38" eb="39">
      <t>ノコ</t>
    </rPh>
    <rPh sb="43" eb="44">
      <t>ダン</t>
    </rPh>
    <phoneticPr fontId="1"/>
  </si>
  <si>
    <t>増村 和彦</t>
    <rPh sb="0" eb="2">
      <t>マスムラ</t>
    </rPh>
    <rPh sb="3" eb="5">
      <t>カズヒコ</t>
    </rPh>
    <phoneticPr fontId="1"/>
  </si>
  <si>
    <t>048-686-0114</t>
    <phoneticPr fontId="1"/>
  </si>
  <si>
    <t>JZC1116・163138</t>
    <phoneticPr fontId="1"/>
  </si>
  <si>
    <t>ｴﾌﾟﾛﾝ内点検口設置　底板SUS→ポリ復旧　午後から仕事に出かける</t>
    <rPh sb="5" eb="11">
      <t>ナイテンケンコウセッチ</t>
    </rPh>
    <rPh sb="12" eb="22">
      <t>ソコイタSUSミギポリフッキュウ</t>
    </rPh>
    <rPh sb="23" eb="25">
      <t>ゴゴ</t>
    </rPh>
    <rPh sb="27" eb="29">
      <t>シゴト</t>
    </rPh>
    <rPh sb="30" eb="31">
      <t>デ</t>
    </rPh>
    <phoneticPr fontId="1"/>
  </si>
  <si>
    <t>落合 努</t>
    <rPh sb="0" eb="2">
      <t>オチアイ</t>
    </rPh>
    <rPh sb="3" eb="4">
      <t>ツトム</t>
    </rPh>
    <phoneticPr fontId="1"/>
  </si>
  <si>
    <t>A</t>
    <phoneticPr fontId="1"/>
  </si>
  <si>
    <t>048-683-5798</t>
    <phoneticPr fontId="1"/>
  </si>
  <si>
    <t>WBV1117JT・189A3F</t>
    <phoneticPr fontId="1"/>
  </si>
  <si>
    <t>ｴﾌﾟﾛﾝ内部材接続　　トイレソフト巾木60㎜　洗濯パン洗面台にずらす　洗濯機ドラム式　ひな段既存壁だし</t>
    <rPh sb="5" eb="6">
      <t>ナイ</t>
    </rPh>
    <rPh sb="6" eb="8">
      <t>ブザイ</t>
    </rPh>
    <rPh sb="8" eb="10">
      <t>セツゾク</t>
    </rPh>
    <rPh sb="18" eb="20">
      <t>ハバキ</t>
    </rPh>
    <rPh sb="24" eb="26">
      <t>センタク</t>
    </rPh>
    <rPh sb="28" eb="31">
      <t>センメンダイ</t>
    </rPh>
    <rPh sb="36" eb="39">
      <t>センタクキ</t>
    </rPh>
    <rPh sb="42" eb="43">
      <t>シキ</t>
    </rPh>
    <rPh sb="46" eb="50">
      <t>ダンキゾンカベ</t>
    </rPh>
    <phoneticPr fontId="1"/>
  </si>
  <si>
    <t>磯部 誠一</t>
    <rPh sb="0" eb="2">
      <t>イソベ</t>
    </rPh>
    <rPh sb="3" eb="5">
      <t>セイイチ</t>
    </rPh>
    <phoneticPr fontId="1"/>
  </si>
  <si>
    <t>048-686-4575</t>
    <phoneticPr fontId="1"/>
  </si>
  <si>
    <t>WZV1117・160031</t>
    <phoneticPr fontId="1"/>
  </si>
  <si>
    <t>髙田 芳信</t>
    <rPh sb="0" eb="2">
      <t>タカダ</t>
    </rPh>
    <rPh sb="3" eb="5">
      <t>ヨシノブ</t>
    </rPh>
    <phoneticPr fontId="1"/>
  </si>
  <si>
    <t>048-686-4571</t>
    <phoneticPr fontId="1"/>
  </si>
  <si>
    <t>JZV1116・198474</t>
    <phoneticPr fontId="1"/>
  </si>
  <si>
    <t>エプロン内点検口設置　既存洗面所の棚だけ外して壁に鏡つけている　洗濯モール洗面台側から立ち上げ、水栓位置少し下げる→給水付き洗濯パン交換検討　食器乾燥機あり　給湯器造作カバー付きすぐ外せる</t>
    <rPh sb="4" eb="10">
      <t>ナイテンケンコウセッチ</t>
    </rPh>
    <rPh sb="11" eb="13">
      <t>キゾン</t>
    </rPh>
    <rPh sb="13" eb="16">
      <t>センメンジョ</t>
    </rPh>
    <rPh sb="17" eb="18">
      <t>タナ</t>
    </rPh>
    <rPh sb="20" eb="21">
      <t>ハズ</t>
    </rPh>
    <rPh sb="23" eb="24">
      <t>カベ</t>
    </rPh>
    <rPh sb="25" eb="26">
      <t>カガミ</t>
    </rPh>
    <rPh sb="32" eb="34">
      <t>センタク</t>
    </rPh>
    <rPh sb="37" eb="41">
      <t>センメンダイガワ</t>
    </rPh>
    <rPh sb="43" eb="44">
      <t>タ</t>
    </rPh>
    <rPh sb="45" eb="46">
      <t>ア</t>
    </rPh>
    <rPh sb="48" eb="53">
      <t>スイセンイチスコ</t>
    </rPh>
    <rPh sb="54" eb="55">
      <t>サ</t>
    </rPh>
    <rPh sb="58" eb="61">
      <t>キュウスイツ</t>
    </rPh>
    <rPh sb="62" eb="64">
      <t>センタク</t>
    </rPh>
    <rPh sb="66" eb="70">
      <t>コウカンケントウ</t>
    </rPh>
    <rPh sb="71" eb="73">
      <t>ショッキ</t>
    </rPh>
    <rPh sb="73" eb="76">
      <t>カンソウキ</t>
    </rPh>
    <rPh sb="79" eb="82">
      <t>キュウトウキ</t>
    </rPh>
    <rPh sb="82" eb="84">
      <t>ゾウサク</t>
    </rPh>
    <rPh sb="87" eb="88">
      <t>ツ</t>
    </rPh>
    <rPh sb="91" eb="92">
      <t>ハズ</t>
    </rPh>
    <phoneticPr fontId="1"/>
  </si>
  <si>
    <t>佐瀬 和夫</t>
    <rPh sb="0" eb="2">
      <t>サセ</t>
    </rPh>
    <rPh sb="3" eb="5">
      <t>カズオ</t>
    </rPh>
    <phoneticPr fontId="1"/>
  </si>
  <si>
    <t>048-686-4583</t>
    <phoneticPr fontId="1"/>
  </si>
  <si>
    <t>ｴﾌﾟﾛﾝ外すとスラブ直　底板SUS→ポリ復旧　給湯管更新済み→残すか検討中　キッチンの扉壊れている</t>
    <rPh sb="5" eb="6">
      <t>ハズ</t>
    </rPh>
    <rPh sb="11" eb="12">
      <t>チョク</t>
    </rPh>
    <rPh sb="13" eb="23">
      <t>ソコイタSUSミギポリフッキュウ</t>
    </rPh>
    <rPh sb="24" eb="32">
      <t>キュウトウカンコウシンズミミギ</t>
    </rPh>
    <rPh sb="32" eb="33">
      <t>ノコ</t>
    </rPh>
    <rPh sb="35" eb="38">
      <t>ケントウチュウ</t>
    </rPh>
    <rPh sb="44" eb="46">
      <t>トビラコワ</t>
    </rPh>
    <phoneticPr fontId="1"/>
  </si>
  <si>
    <t>角 智子</t>
    <rPh sb="0" eb="1">
      <t>カク</t>
    </rPh>
    <rPh sb="2" eb="4">
      <t>トモコ</t>
    </rPh>
    <phoneticPr fontId="1"/>
  </si>
  <si>
    <t>048-688-3636
090-9678-2006</t>
    <phoneticPr fontId="1"/>
  </si>
  <si>
    <t>浴室デッキタイプ洗面所壁点検口設置　ﾄｲﾚ止水栓ｽﾄﾚｰﾅｰ付　台所トラップ既存　洗濯パン洗面台にずらす　オーナー様に確認する</t>
    <rPh sb="0" eb="2">
      <t>ヨクシツ</t>
    </rPh>
    <rPh sb="8" eb="17">
      <t>センメンジョカベテンケンコウセッチ</t>
    </rPh>
    <rPh sb="21" eb="24">
      <t>シスイセン</t>
    </rPh>
    <rPh sb="30" eb="31">
      <t>ツキ</t>
    </rPh>
    <rPh sb="32" eb="34">
      <t>ダイドコロ</t>
    </rPh>
    <rPh sb="38" eb="40">
      <t>キゾン</t>
    </rPh>
    <rPh sb="41" eb="43">
      <t>センタク</t>
    </rPh>
    <rPh sb="45" eb="48">
      <t>センメンダイ</t>
    </rPh>
    <rPh sb="57" eb="58">
      <t>サマ</t>
    </rPh>
    <rPh sb="59" eb="61">
      <t>カクニン</t>
    </rPh>
    <phoneticPr fontId="1"/>
  </si>
  <si>
    <t>横山 寛</t>
    <rPh sb="0" eb="2">
      <t>ヨコヤマ</t>
    </rPh>
    <rPh sb="3" eb="4">
      <t>ヒロシ</t>
    </rPh>
    <phoneticPr fontId="1"/>
  </si>
  <si>
    <t>048-686-4593</t>
    <phoneticPr fontId="1"/>
  </si>
  <si>
    <t>750+400ｷｬﾋﾞ</t>
    <phoneticPr fontId="1"/>
  </si>
  <si>
    <t>浴室デッキタイプ洗面所壁点検口設置　ひな段既存壁だし　食器乾燥機あり使っていない　トイレのタオル掛けグラグラする　給湯管更新済み→残す　洗面台交換希望</t>
    <rPh sb="0" eb="2">
      <t>ヨクシツ</t>
    </rPh>
    <rPh sb="8" eb="17">
      <t>センメンジョカベテンケンコウセッチ</t>
    </rPh>
    <rPh sb="20" eb="24">
      <t>ダンキゾンカベ</t>
    </rPh>
    <rPh sb="27" eb="29">
      <t>ショッキ</t>
    </rPh>
    <rPh sb="29" eb="32">
      <t>カンソウキ</t>
    </rPh>
    <rPh sb="34" eb="35">
      <t>ツカ</t>
    </rPh>
    <rPh sb="48" eb="49">
      <t>カ</t>
    </rPh>
    <rPh sb="57" eb="65">
      <t>キュウトウカンコウシンズミミギ</t>
    </rPh>
    <rPh sb="65" eb="66">
      <t>ノコ</t>
    </rPh>
    <rPh sb="68" eb="75">
      <t>センメンダイコウカンキボウ</t>
    </rPh>
    <phoneticPr fontId="1"/>
  </si>
  <si>
    <t>木村 泰夫</t>
    <rPh sb="0" eb="2">
      <t>キムラ</t>
    </rPh>
    <rPh sb="3" eb="5">
      <t>ヤスオ</t>
    </rPh>
    <phoneticPr fontId="1"/>
  </si>
  <si>
    <t>070-4539-1889</t>
    <phoneticPr fontId="1"/>
  </si>
  <si>
    <t>エプロン内点検口再使用ｺｰｷﾝｸﾞ　洗面所壁点検口あり　ひな段既存壁だし　給湯管更新済み→残す</t>
    <rPh sb="4" eb="8">
      <t>ナイテンケンコウ</t>
    </rPh>
    <rPh sb="8" eb="11">
      <t>サイシヨウ</t>
    </rPh>
    <rPh sb="18" eb="21">
      <t>センメンジョ</t>
    </rPh>
    <rPh sb="21" eb="25">
      <t>カベテンケンコウ</t>
    </rPh>
    <rPh sb="30" eb="34">
      <t>ダンキゾンカベ</t>
    </rPh>
    <rPh sb="37" eb="43">
      <t>キュウトウカンコウシンズ</t>
    </rPh>
    <rPh sb="44" eb="46">
      <t>ミギノコ</t>
    </rPh>
    <phoneticPr fontId="1"/>
  </si>
  <si>
    <t>遠藤 佐知子</t>
    <rPh sb="0" eb="2">
      <t>エンドウ</t>
    </rPh>
    <rPh sb="3" eb="6">
      <t>サチコ</t>
    </rPh>
    <phoneticPr fontId="1"/>
  </si>
  <si>
    <t>090-5817-5233</t>
    <phoneticPr fontId="1"/>
  </si>
  <si>
    <t>JZC1116・196474</t>
    <phoneticPr fontId="1"/>
  </si>
  <si>
    <t>ｴﾌﾟﾛﾝ内点検口再使用ｺｰｷﾝｸﾞ　ひな段　洗面所壁点検口あり　給湯管更新済み→残す　工事中ほかのところに住むかも</t>
    <rPh sb="5" eb="6">
      <t>ナイ</t>
    </rPh>
    <rPh sb="6" eb="9">
      <t>テンケンコウ</t>
    </rPh>
    <rPh sb="9" eb="12">
      <t>サイシヨウ</t>
    </rPh>
    <rPh sb="21" eb="22">
      <t>ダン</t>
    </rPh>
    <rPh sb="23" eb="30">
      <t>センメンジョカベテンケンコウ</t>
    </rPh>
    <rPh sb="33" eb="36">
      <t>キュウトウカン</t>
    </rPh>
    <rPh sb="36" eb="38">
      <t>コウシン</t>
    </rPh>
    <rPh sb="38" eb="39">
      <t>ズ</t>
    </rPh>
    <rPh sb="40" eb="42">
      <t>ミギノコ</t>
    </rPh>
    <rPh sb="44" eb="47">
      <t>コウジチュウ</t>
    </rPh>
    <rPh sb="54" eb="55">
      <t>ス</t>
    </rPh>
    <phoneticPr fontId="1"/>
  </si>
  <si>
    <t>水谷 弘子</t>
    <rPh sb="0" eb="2">
      <t>ミズタニ</t>
    </rPh>
    <rPh sb="3" eb="5">
      <t>ヒロコ</t>
    </rPh>
    <phoneticPr fontId="1"/>
  </si>
  <si>
    <t>048-686-4580</t>
    <phoneticPr fontId="1"/>
  </si>
  <si>
    <t>WBV1117JT・1325ND</t>
    <phoneticPr fontId="1"/>
  </si>
  <si>
    <t>浴室鏡裏開口　底板SUS→ポリ復旧　トイレ止水栓ストレーナー付</t>
    <rPh sb="0" eb="2">
      <t>ヨクシツ</t>
    </rPh>
    <rPh sb="2" eb="6">
      <t>カガミウラカイコウ</t>
    </rPh>
    <rPh sb="7" eb="17">
      <t>ソコイタSUSミギポリフッキュウ</t>
    </rPh>
    <rPh sb="21" eb="24">
      <t>シスイセン</t>
    </rPh>
    <rPh sb="30" eb="31">
      <t>ツ</t>
    </rPh>
    <phoneticPr fontId="1"/>
  </si>
  <si>
    <t>滝口 雄子</t>
    <rPh sb="0" eb="2">
      <t>タキグチ</t>
    </rPh>
    <rPh sb="3" eb="4">
      <t>ユウ</t>
    </rPh>
    <rPh sb="4" eb="5">
      <t>コ</t>
    </rPh>
    <phoneticPr fontId="1"/>
  </si>
  <si>
    <t>048-878-9925
090-5531-7871</t>
    <phoneticPr fontId="1"/>
  </si>
  <si>
    <t>松下電工</t>
    <rPh sb="0" eb="2">
      <t>マツシタ</t>
    </rPh>
    <rPh sb="2" eb="4">
      <t>デンコウ</t>
    </rPh>
    <phoneticPr fontId="1"/>
  </si>
  <si>
    <t>エプロン内点検口設置　ひな段既存壁だし　玄関棚置いたまま作業する　</t>
    <rPh sb="4" eb="8">
      <t>ナイテンケンコウ</t>
    </rPh>
    <rPh sb="8" eb="10">
      <t>セッチ</t>
    </rPh>
    <rPh sb="13" eb="17">
      <t>ダンキゾンカベ</t>
    </rPh>
    <rPh sb="20" eb="23">
      <t>ゲンカンタナ</t>
    </rPh>
    <rPh sb="23" eb="24">
      <t>オ</t>
    </rPh>
    <rPh sb="28" eb="30">
      <t>サギョウ</t>
    </rPh>
    <phoneticPr fontId="1"/>
  </si>
  <si>
    <t>江渕 正喜</t>
    <rPh sb="0" eb="2">
      <t>エブチ</t>
    </rPh>
    <rPh sb="3" eb="5">
      <t>マサキ</t>
    </rPh>
    <phoneticPr fontId="1"/>
  </si>
  <si>
    <t>048-685-6382
090-4522-7915</t>
    <phoneticPr fontId="1"/>
  </si>
  <si>
    <t>WRV1117UT・166VMP</t>
    <phoneticPr fontId="1"/>
  </si>
  <si>
    <t>ｴﾌﾟﾛﾝ内点検口再使用　洗面所壁に点検口あり　給湯管更新済み→更新するか検討中　ひな段となり引き出し開口必要かも　内装後日カタログから選定</t>
    <rPh sb="5" eb="6">
      <t>ナイ</t>
    </rPh>
    <rPh sb="6" eb="9">
      <t>テンケンコウ</t>
    </rPh>
    <rPh sb="9" eb="12">
      <t>サイシヨウ</t>
    </rPh>
    <rPh sb="13" eb="17">
      <t>センメンジョカベ</t>
    </rPh>
    <rPh sb="18" eb="21">
      <t>テンケンコウ</t>
    </rPh>
    <rPh sb="24" eb="30">
      <t>キュウトウカンコウシンズ</t>
    </rPh>
    <rPh sb="32" eb="34">
      <t>コウシン</t>
    </rPh>
    <rPh sb="37" eb="40">
      <t>ケントウチュウ</t>
    </rPh>
    <rPh sb="43" eb="44">
      <t>ダン</t>
    </rPh>
    <rPh sb="47" eb="48">
      <t>ヒ</t>
    </rPh>
    <rPh sb="49" eb="50">
      <t>ダ</t>
    </rPh>
    <rPh sb="51" eb="53">
      <t>カイコウ</t>
    </rPh>
    <rPh sb="53" eb="55">
      <t>ヒツヨウ</t>
    </rPh>
    <rPh sb="58" eb="62">
      <t>ナイソウゴジツ</t>
    </rPh>
    <rPh sb="68" eb="70">
      <t>センテイ</t>
    </rPh>
    <phoneticPr fontId="1"/>
  </si>
  <si>
    <t>様</t>
    <rPh sb="0" eb="1">
      <t>サマ</t>
    </rPh>
    <phoneticPr fontId="1"/>
  </si>
  <si>
    <t>岡田 和美</t>
    <rPh sb="0" eb="1">
      <t>オカ</t>
    </rPh>
    <rPh sb="1" eb="2">
      <t>ダ</t>
    </rPh>
    <rPh sb="3" eb="5">
      <t>カズミ</t>
    </rPh>
    <phoneticPr fontId="1"/>
  </si>
  <si>
    <t>048-686-1356
090-8439-1098</t>
    <phoneticPr fontId="1"/>
  </si>
  <si>
    <t>土屋 志乃</t>
    <rPh sb="0" eb="2">
      <t>ツチヤ</t>
    </rPh>
    <rPh sb="3" eb="5">
      <t>シノ</t>
    </rPh>
    <phoneticPr fontId="1"/>
  </si>
  <si>
    <t>048-685-4284
090-1701-5454</t>
    <phoneticPr fontId="1"/>
  </si>
  <si>
    <t>WBV1117JT・194B8T</t>
    <phoneticPr fontId="1"/>
  </si>
  <si>
    <t>鏡裏開口　底板SUS→ポリ復旧　底板SUS→ポリ復旧既存壁だし　鏡裏開口　所有者入院中10-303の人が対応してくれる</t>
    <rPh sb="0" eb="4">
      <t>カガミウラカイコウ</t>
    </rPh>
    <rPh sb="5" eb="15">
      <t>ソコイタSUSミギポリフッキュウ</t>
    </rPh>
    <rPh sb="16" eb="18">
      <t>ソコイタ</t>
    </rPh>
    <rPh sb="21" eb="26">
      <t>ミギポリフッキュウ</t>
    </rPh>
    <rPh sb="26" eb="29">
      <t>キゾンカベ</t>
    </rPh>
    <rPh sb="32" eb="36">
      <t>カガミウラカイコウ</t>
    </rPh>
    <rPh sb="37" eb="40">
      <t>ショユウシャ</t>
    </rPh>
    <rPh sb="40" eb="43">
      <t>ニュウインチュウ</t>
    </rPh>
    <rPh sb="50" eb="51">
      <t>ヒト</t>
    </rPh>
    <rPh sb="52" eb="54">
      <t>タイオウ</t>
    </rPh>
    <phoneticPr fontId="1"/>
  </si>
  <si>
    <t>藤井 一彦</t>
    <rPh sb="0" eb="2">
      <t>フジイ</t>
    </rPh>
    <rPh sb="3" eb="5">
      <t>カズヒコ</t>
    </rPh>
    <phoneticPr fontId="1"/>
  </si>
  <si>
    <t>048-686-4592
090-4363-9853</t>
    <phoneticPr fontId="1"/>
  </si>
  <si>
    <t>WZV1117・168659</t>
    <phoneticPr fontId="1"/>
  </si>
  <si>
    <t>ｴﾌﾟﾛﾝ内部材接続　ひな段　洗面所床鳴りする</t>
    <rPh sb="5" eb="10">
      <t>ナイブザイセツゾク</t>
    </rPh>
    <rPh sb="13" eb="14">
      <t>ダン</t>
    </rPh>
    <rPh sb="15" eb="18">
      <t>センメンジョ</t>
    </rPh>
    <rPh sb="18" eb="19">
      <t>ユカ</t>
    </rPh>
    <rPh sb="19" eb="20">
      <t>ナ</t>
    </rPh>
    <phoneticPr fontId="1"/>
  </si>
  <si>
    <t>姫野 紀子</t>
    <rPh sb="0" eb="2">
      <t>ヒメノ</t>
    </rPh>
    <rPh sb="3" eb="5">
      <t>ノリコ</t>
    </rPh>
    <phoneticPr fontId="1"/>
  </si>
  <si>
    <t>090-9102-2967</t>
    <phoneticPr fontId="1"/>
  </si>
  <si>
    <t>590+600ｷｬﾋﾞ</t>
    <phoneticPr fontId="1"/>
  </si>
  <si>
    <t>WBV1117JT・136GRB</t>
    <phoneticPr fontId="1"/>
  </si>
  <si>
    <t>浴室鏡裏開口　台所トラップ既存　荷物多い　洗面所壁全面貼替SP9790　高齢の方デイサービスに行く16:30には帰宅する　ペーパーホルダー壊れている</t>
    <rPh sb="0" eb="2">
      <t>ヨクシツ</t>
    </rPh>
    <rPh sb="2" eb="6">
      <t>カガミウラカイコウ</t>
    </rPh>
    <rPh sb="7" eb="9">
      <t>ダイドコロ</t>
    </rPh>
    <rPh sb="13" eb="15">
      <t>キゾン</t>
    </rPh>
    <rPh sb="16" eb="19">
      <t>ニモツオオ</t>
    </rPh>
    <rPh sb="21" eb="24">
      <t>センメンジョ</t>
    </rPh>
    <rPh sb="24" eb="25">
      <t>カベ</t>
    </rPh>
    <rPh sb="25" eb="29">
      <t>ゼンメンハリカエ</t>
    </rPh>
    <rPh sb="36" eb="38">
      <t>コウレイ</t>
    </rPh>
    <rPh sb="39" eb="40">
      <t>カタ</t>
    </rPh>
    <rPh sb="47" eb="48">
      <t>イ</t>
    </rPh>
    <rPh sb="56" eb="58">
      <t>キタク</t>
    </rPh>
    <rPh sb="69" eb="70">
      <t>コワ</t>
    </rPh>
    <phoneticPr fontId="1"/>
  </si>
  <si>
    <t>西見 久美子</t>
    <rPh sb="0" eb="2">
      <t>ニシミ</t>
    </rPh>
    <rPh sb="3" eb="6">
      <t>クミコ</t>
    </rPh>
    <phoneticPr fontId="1"/>
  </si>
  <si>
    <t>080-3351-5550</t>
    <phoneticPr fontId="1"/>
  </si>
  <si>
    <t>ｴﾌﾟﾛﾝ内点検口設置　台所既存壁だし　ゴミ部屋　物が多くて給湯器と台所見れなかった</t>
    <rPh sb="5" eb="6">
      <t>ナイ</t>
    </rPh>
    <rPh sb="6" eb="11">
      <t>テンケンコウセッチ</t>
    </rPh>
    <rPh sb="12" eb="14">
      <t>ダイドコロ</t>
    </rPh>
    <rPh sb="14" eb="17">
      <t>キゾンカベ</t>
    </rPh>
    <rPh sb="22" eb="24">
      <t>ベヤ</t>
    </rPh>
    <rPh sb="25" eb="26">
      <t>モノ</t>
    </rPh>
    <rPh sb="27" eb="28">
      <t>オオ</t>
    </rPh>
    <rPh sb="30" eb="33">
      <t>キュウトウキ</t>
    </rPh>
    <rPh sb="34" eb="36">
      <t>ダイドコロ</t>
    </rPh>
    <rPh sb="36" eb="37">
      <t>ミ</t>
    </rPh>
    <phoneticPr fontId="1"/>
  </si>
  <si>
    <t>様</t>
    <rPh sb="0" eb="1">
      <t>サマ</t>
    </rPh>
    <phoneticPr fontId="1"/>
  </si>
  <si>
    <t>赤塚 佳子</t>
    <rPh sb="0" eb="2">
      <t>アカツカ</t>
    </rPh>
    <rPh sb="3" eb="5">
      <t>ヨシコ</t>
    </rPh>
    <phoneticPr fontId="1"/>
  </si>
  <si>
    <t>048-686-4589
090-2408-8969</t>
    <phoneticPr fontId="1"/>
  </si>
  <si>
    <t>JZC1117・189612</t>
    <phoneticPr fontId="1"/>
  </si>
  <si>
    <t>浴槽内部材なし→浴槽ｺｰｷﾝｸﾞ打ちされていないので排水栓さえ取れれば外れそう、新規鏡取付は希望しない　洗濯パン洗面谷ずらす</t>
    <rPh sb="0" eb="2">
      <t>ヨクソウ</t>
    </rPh>
    <rPh sb="2" eb="3">
      <t>ナイ</t>
    </rPh>
    <rPh sb="3" eb="5">
      <t>ブザイ</t>
    </rPh>
    <rPh sb="8" eb="10">
      <t>ヨクソウ</t>
    </rPh>
    <rPh sb="16" eb="17">
      <t>ウ</t>
    </rPh>
    <rPh sb="27" eb="29">
      <t>セン</t>
    </rPh>
    <rPh sb="30" eb="34">
      <t>トレレバ</t>
    </rPh>
    <rPh sb="34" eb="38">
      <t>ハズレソウ</t>
    </rPh>
    <rPh sb="39" eb="41">
      <t>シンキ</t>
    </rPh>
    <rPh sb="41" eb="42">
      <t>カガミ</t>
    </rPh>
    <rPh sb="42" eb="45">
      <t>トリツケハ</t>
    </rPh>
    <rPh sb="45" eb="50">
      <t>キボウシナイ</t>
    </rPh>
    <rPh sb="52" eb="54">
      <t>センタク</t>
    </rPh>
    <rPh sb="56" eb="59">
      <t>センメンダニ</t>
    </rPh>
    <phoneticPr fontId="1"/>
  </si>
  <si>
    <t>内山 稔美</t>
    <rPh sb="0" eb="2">
      <t>ウチヤマ</t>
    </rPh>
    <rPh sb="3" eb="4">
      <t>ネン</t>
    </rPh>
    <rPh sb="4" eb="5">
      <t>ミ</t>
    </rPh>
    <phoneticPr fontId="1"/>
  </si>
  <si>
    <t>090-2234-0665</t>
    <phoneticPr fontId="1"/>
  </si>
  <si>
    <t>ｴﾌﾟﾛﾝ内点検口設置　洗濯パン洗面谷ずらす　荷物が多い　</t>
    <rPh sb="5" eb="11">
      <t>ナイテンケンコウセッチ</t>
    </rPh>
    <rPh sb="12" eb="14">
      <t>センタク</t>
    </rPh>
    <rPh sb="16" eb="19">
      <t>センメンダニ</t>
    </rPh>
    <rPh sb="23" eb="25">
      <t>ニモツ</t>
    </rPh>
    <rPh sb="26" eb="27">
      <t>オオ</t>
    </rPh>
    <phoneticPr fontId="1"/>
  </si>
  <si>
    <t>藤本 啓子</t>
    <rPh sb="0" eb="2">
      <t>フジモト</t>
    </rPh>
    <rPh sb="3" eb="5">
      <t>ケイコ</t>
    </rPh>
    <phoneticPr fontId="1"/>
  </si>
  <si>
    <t>048-882-1727
090-3313-1664</t>
    <phoneticPr fontId="1"/>
  </si>
  <si>
    <t>ｴﾌﾟﾛﾝ内点検口設置　ひな段　トイレ止水栓Ｄ式ｱﾝｸﾞㇽ</t>
    <rPh sb="5" eb="6">
      <t>ナイ</t>
    </rPh>
    <rPh sb="6" eb="11">
      <t>テンケンコウセッチ</t>
    </rPh>
    <rPh sb="14" eb="15">
      <t>ダン</t>
    </rPh>
    <rPh sb="19" eb="22">
      <t>シスイセン</t>
    </rPh>
    <rPh sb="23" eb="24">
      <t>シキ</t>
    </rPh>
    <phoneticPr fontId="1"/>
  </si>
  <si>
    <t>山﨑 留美子</t>
    <rPh sb="0" eb="2">
      <t>ヤマザキ</t>
    </rPh>
    <rPh sb="3" eb="6">
      <t>ルミコ</t>
    </rPh>
    <phoneticPr fontId="1"/>
  </si>
  <si>
    <t>090-8463-9108</t>
    <phoneticPr fontId="1"/>
  </si>
  <si>
    <t>トイレクロス剥がして塗装したらしい　台所トラップ既存　ｴﾌﾟﾛﾝ内部材接続　</t>
    <rPh sb="6" eb="7">
      <t>ハ</t>
    </rPh>
    <rPh sb="10" eb="12">
      <t>トソウ</t>
    </rPh>
    <rPh sb="18" eb="20">
      <t>ダイドコロ</t>
    </rPh>
    <rPh sb="24" eb="26">
      <t>キゾン</t>
    </rPh>
    <rPh sb="32" eb="37">
      <t>ナイブザイセツゾク</t>
    </rPh>
    <phoneticPr fontId="1"/>
  </si>
  <si>
    <t>石嶺 真博</t>
    <rPh sb="0" eb="2">
      <t>イシミネ</t>
    </rPh>
    <rPh sb="3" eb="4">
      <t>マ</t>
    </rPh>
    <rPh sb="4" eb="5">
      <t>ヒロ</t>
    </rPh>
    <phoneticPr fontId="1"/>
  </si>
  <si>
    <t>090-9204-9741</t>
    <phoneticPr fontId="1"/>
  </si>
  <si>
    <t>WRV1117US・162EUS</t>
    <phoneticPr fontId="1"/>
  </si>
  <si>
    <t>(株)末弘不動産
日向 弘薫</t>
    <rPh sb="1" eb="2">
      <t>カブ</t>
    </rPh>
    <rPh sb="3" eb="5">
      <t>スエヒロ</t>
    </rPh>
    <rPh sb="5" eb="8">
      <t>フドウサン</t>
    </rPh>
    <rPh sb="9" eb="11">
      <t>ヒュウガ</t>
    </rPh>
    <rPh sb="12" eb="13">
      <t>ヒロ</t>
    </rPh>
    <rPh sb="13" eb="14">
      <t>カオル</t>
    </rPh>
    <phoneticPr fontId="1"/>
  </si>
  <si>
    <t>090-4065-6297</t>
    <phoneticPr fontId="1"/>
  </si>
  <si>
    <t>JZV1117・187959</t>
    <phoneticPr fontId="1"/>
  </si>
  <si>
    <t>浴室デッキタイプ洗面所壁点検口設置　洗濯パン洗面台によせる　底板SUS→ポリ復旧　不動産立会、売却中、内装選んでもらったが入居決まったら再説明＆選定　MB内にキーBOXあり必要な際は番号教えてくれる　入居者には工事の説明してくれる　協力的</t>
    <rPh sb="0" eb="2">
      <t>ヨクシツ</t>
    </rPh>
    <rPh sb="8" eb="17">
      <t>センメンジョカベテンケンコウセッチ</t>
    </rPh>
    <rPh sb="18" eb="20">
      <t>センタク</t>
    </rPh>
    <phoneticPr fontId="1"/>
  </si>
  <si>
    <t>大野 章</t>
    <rPh sb="0" eb="2">
      <t>オオノ</t>
    </rPh>
    <rPh sb="3" eb="4">
      <t>アキラ</t>
    </rPh>
    <phoneticPr fontId="1"/>
  </si>
  <si>
    <t>048-686-4555
090-1987-5122</t>
    <phoneticPr fontId="1"/>
  </si>
  <si>
    <t>WZV1117・163495</t>
    <phoneticPr fontId="1"/>
  </si>
  <si>
    <t>洗面所壁に点検口設置する　トイレ止水栓Ｄ式ｱﾝｸﾞㇽ　玄関分電盤棚脱着　ひな段</t>
    <rPh sb="0" eb="4">
      <t>センメンジョカベ</t>
    </rPh>
    <rPh sb="5" eb="10">
      <t>テンケンコウセッチ</t>
    </rPh>
    <rPh sb="16" eb="19">
      <t>シスイセン</t>
    </rPh>
    <rPh sb="20" eb="21">
      <t>シキ</t>
    </rPh>
    <rPh sb="27" eb="29">
      <t>ゲンカン</t>
    </rPh>
    <rPh sb="29" eb="32">
      <t>ブンデンバン</t>
    </rPh>
    <rPh sb="32" eb="33">
      <t>タナ</t>
    </rPh>
    <rPh sb="33" eb="35">
      <t>ダッチャク</t>
    </rPh>
    <rPh sb="38" eb="39">
      <t>ダン</t>
    </rPh>
    <phoneticPr fontId="1"/>
  </si>
  <si>
    <t>根岸 永福</t>
    <rPh sb="0" eb="2">
      <t>ネギシ</t>
    </rPh>
    <rPh sb="3" eb="4">
      <t>エイ</t>
    </rPh>
    <rPh sb="4" eb="5">
      <t>フク</t>
    </rPh>
    <phoneticPr fontId="1"/>
  </si>
  <si>
    <t>048-686-4559</t>
    <phoneticPr fontId="1"/>
  </si>
  <si>
    <t>ｴﾌﾟﾛﾝ内点検口設置　トイレ止水栓ストレーナー付　給湯器下造作カバー付き　ひな段</t>
    <rPh sb="5" eb="6">
      <t>ナイ</t>
    </rPh>
    <rPh sb="6" eb="11">
      <t>テンケンコウセッチ</t>
    </rPh>
    <rPh sb="15" eb="18">
      <t>シスイセン</t>
    </rPh>
    <rPh sb="24" eb="25">
      <t>ツ</t>
    </rPh>
    <rPh sb="26" eb="32">
      <t>キュウトウキシタゾウサク</t>
    </rPh>
    <rPh sb="35" eb="36">
      <t>ツ</t>
    </rPh>
    <rPh sb="40" eb="41">
      <t>ダン</t>
    </rPh>
    <phoneticPr fontId="1"/>
  </si>
  <si>
    <t>750+300ｷｬﾋﾞ</t>
    <phoneticPr fontId="1"/>
  </si>
  <si>
    <t>渋江 誠</t>
    <rPh sb="0" eb="2">
      <t>シブエ</t>
    </rPh>
    <rPh sb="3" eb="4">
      <t>マコト</t>
    </rPh>
    <phoneticPr fontId="1"/>
  </si>
  <si>
    <t>090-7235-8991</t>
    <phoneticPr fontId="1"/>
  </si>
  <si>
    <t>浴槽に点検口ありスラブ直　洗面所壁に点検口設置する　洗面所一部ソフト巾木60㎜　台所トラップ既存</t>
    <rPh sb="0" eb="2">
      <t>ヨクソウ</t>
    </rPh>
    <rPh sb="3" eb="6">
      <t>テンケンコウ</t>
    </rPh>
    <rPh sb="11" eb="12">
      <t>チョク</t>
    </rPh>
    <rPh sb="13" eb="17">
      <t>センメンジョカベ</t>
    </rPh>
    <rPh sb="18" eb="23">
      <t>テンケンコウセッチ</t>
    </rPh>
    <rPh sb="26" eb="29">
      <t>センメンジョ</t>
    </rPh>
    <rPh sb="29" eb="31">
      <t>イチブ</t>
    </rPh>
    <rPh sb="34" eb="36">
      <t>ハバキ</t>
    </rPh>
    <rPh sb="40" eb="42">
      <t>ダイドコロ</t>
    </rPh>
    <rPh sb="46" eb="48">
      <t>キゾン</t>
    </rPh>
    <phoneticPr fontId="1"/>
  </si>
  <si>
    <t>小林 文子</t>
    <rPh sb="0" eb="2">
      <t>コバヤシ</t>
    </rPh>
    <rPh sb="3" eb="4">
      <t>モン</t>
    </rPh>
    <rPh sb="4" eb="5">
      <t>コ</t>
    </rPh>
    <phoneticPr fontId="1"/>
  </si>
  <si>
    <t>048-686-4561</t>
    <phoneticPr fontId="1"/>
  </si>
  <si>
    <t>16Z・166BJD</t>
    <phoneticPr fontId="1"/>
  </si>
  <si>
    <t>ｴﾌﾟﾛﾝ内部材接続　トイレ止水栓ストレーナー　洗濯パン交換しない場合は洗面台によせる　給湯器廻りの床への字</t>
    <rPh sb="5" eb="8">
      <t>ナイブザイ</t>
    </rPh>
    <rPh sb="8" eb="10">
      <t>セツゾク</t>
    </rPh>
    <rPh sb="14" eb="17">
      <t>シスイセン</t>
    </rPh>
    <rPh sb="24" eb="26">
      <t>センタク</t>
    </rPh>
    <rPh sb="28" eb="30">
      <t>コウカン</t>
    </rPh>
    <rPh sb="33" eb="35">
      <t>バアイ</t>
    </rPh>
    <rPh sb="36" eb="38">
      <t>センメン</t>
    </rPh>
    <rPh sb="38" eb="39">
      <t>ダイ</t>
    </rPh>
    <rPh sb="44" eb="48">
      <t>キュウトウキマワ</t>
    </rPh>
    <rPh sb="50" eb="51">
      <t>ユカ</t>
    </rPh>
    <rPh sb="53" eb="54">
      <t>ジ</t>
    </rPh>
    <phoneticPr fontId="1"/>
  </si>
  <si>
    <t>松本 正夫</t>
    <rPh sb="0" eb="2">
      <t>マツモト</t>
    </rPh>
    <rPh sb="3" eb="5">
      <t>マサオ</t>
    </rPh>
    <phoneticPr fontId="1"/>
  </si>
  <si>
    <t>048-686-4556</t>
    <phoneticPr fontId="1"/>
  </si>
  <si>
    <t>WBV1117JT・178HY8</t>
    <phoneticPr fontId="1"/>
  </si>
  <si>
    <t>ｴﾌﾟﾛﾝ内部材接続　トイレ止水栓ストレーナー　玄関エコカラットあり　廊下床鳴り　ひな段</t>
    <rPh sb="5" eb="6">
      <t>ナイ</t>
    </rPh>
    <rPh sb="6" eb="10">
      <t>ブザイセツゾク</t>
    </rPh>
    <rPh sb="14" eb="17">
      <t>シスイセン</t>
    </rPh>
    <rPh sb="24" eb="26">
      <t>ゲンカン</t>
    </rPh>
    <rPh sb="35" eb="37">
      <t>ロウカ</t>
    </rPh>
    <rPh sb="37" eb="39">
      <t>ユカナ</t>
    </rPh>
    <rPh sb="43" eb="44">
      <t>ダン</t>
    </rPh>
    <phoneticPr fontId="1"/>
  </si>
  <si>
    <t>近藤 明</t>
    <rPh sb="0" eb="2">
      <t>コンドウ</t>
    </rPh>
    <rPh sb="3" eb="4">
      <t>アキラ</t>
    </rPh>
    <phoneticPr fontId="1"/>
  </si>
  <si>
    <t>048-686-8530</t>
    <phoneticPr fontId="1"/>
  </si>
  <si>
    <t>浴室デッキタイプ洗面所壁点検口設置　台所トラップ既存　洗濯機二層式　ALL既存</t>
    <rPh sb="0" eb="2">
      <t>ヨクシツ</t>
    </rPh>
    <rPh sb="8" eb="17">
      <t>センメンジョカベテンケンコウセッチ</t>
    </rPh>
    <rPh sb="18" eb="20">
      <t>ダイドコロ</t>
    </rPh>
    <rPh sb="24" eb="26">
      <t>キゾン</t>
    </rPh>
    <rPh sb="27" eb="30">
      <t>センタクキ</t>
    </rPh>
    <rPh sb="30" eb="33">
      <t>ニソウシキ</t>
    </rPh>
    <rPh sb="37" eb="39">
      <t>キゾン</t>
    </rPh>
    <phoneticPr fontId="1"/>
  </si>
  <si>
    <t>戸谷 百合子</t>
    <rPh sb="0" eb="2">
      <t>トタニ</t>
    </rPh>
    <rPh sb="3" eb="6">
      <t>ユリコ</t>
    </rPh>
    <phoneticPr fontId="1"/>
  </si>
  <si>
    <t>090-8174-4214</t>
    <phoneticPr fontId="1"/>
  </si>
  <si>
    <t>WZV1117・150LX7</t>
    <phoneticPr fontId="1"/>
  </si>
  <si>
    <t>ｴﾌﾟﾛﾝ内部材接続　ひな段既存壁だし、真ん中引き出し背板開口必要かも　トイレ止水栓Ｄ式ｱﾝｸﾞㇽ　</t>
    <rPh sb="5" eb="10">
      <t>ナイブザイセツゾク</t>
    </rPh>
    <rPh sb="13" eb="17">
      <t>ダンキゾンカベ</t>
    </rPh>
    <rPh sb="20" eb="21">
      <t>マ</t>
    </rPh>
    <rPh sb="22" eb="23">
      <t>ナカ</t>
    </rPh>
    <rPh sb="23" eb="24">
      <t>ヒ</t>
    </rPh>
    <rPh sb="25" eb="26">
      <t>ダ</t>
    </rPh>
    <rPh sb="27" eb="31">
      <t>セイタカイコウ</t>
    </rPh>
    <rPh sb="31" eb="33">
      <t>ヒツヨウ</t>
    </rPh>
    <rPh sb="39" eb="42">
      <t>シスイセン</t>
    </rPh>
    <rPh sb="43" eb="44">
      <t>シキ</t>
    </rPh>
    <phoneticPr fontId="1"/>
  </si>
  <si>
    <t>未更新</t>
    <phoneticPr fontId="1"/>
  </si>
  <si>
    <t>高木 裕里</t>
    <rPh sb="0" eb="2">
      <t>タカキ</t>
    </rPh>
    <rPh sb="3" eb="4">
      <t>ユウ</t>
    </rPh>
    <rPh sb="4" eb="5">
      <t>リ</t>
    </rPh>
    <phoneticPr fontId="1"/>
  </si>
  <si>
    <t>090-8331-6572</t>
    <phoneticPr fontId="1"/>
  </si>
  <si>
    <t>WZV1216・149FVE</t>
    <phoneticPr fontId="1"/>
  </si>
  <si>
    <t>売却中　入居者決まったら再説明必要　</t>
    <rPh sb="0" eb="3">
      <t>バイキャクチュウ</t>
    </rPh>
    <rPh sb="4" eb="8">
      <t>ニュウキョシャキ</t>
    </rPh>
    <rPh sb="12" eb="17">
      <t>サイセツメイヒツヨウ</t>
    </rPh>
    <phoneticPr fontId="1"/>
  </si>
  <si>
    <t>近藤</t>
    <rPh sb="0" eb="2">
      <t>コンドウ</t>
    </rPh>
    <phoneticPr fontId="1"/>
  </si>
  <si>
    <t>048-683-8258
090-9159-7316</t>
    <phoneticPr fontId="1"/>
  </si>
  <si>
    <t>浴室デッキタイプ洗面所壁点検口設置　底板SUS→ポリ復旧　洗面所壁はがれすぎ　ALL既存</t>
    <rPh sb="0" eb="2">
      <t>ヨクシツ</t>
    </rPh>
    <rPh sb="8" eb="17">
      <t>センメンジョカベテンケンコウセッチ</t>
    </rPh>
    <rPh sb="18" eb="28">
      <t>ソコイタSUSミギポリフッキュウ</t>
    </rPh>
    <rPh sb="29" eb="33">
      <t>センメンジョカベ</t>
    </rPh>
    <rPh sb="42" eb="44">
      <t>キゾン</t>
    </rPh>
    <phoneticPr fontId="1"/>
  </si>
  <si>
    <t>大貫 房子</t>
    <rPh sb="0" eb="1">
      <t>ダイ</t>
    </rPh>
    <rPh sb="1" eb="2">
      <t>ヌキ</t>
    </rPh>
    <rPh sb="3" eb="5">
      <t>フサコ</t>
    </rPh>
    <phoneticPr fontId="1"/>
  </si>
  <si>
    <t>048-685-3467</t>
    <phoneticPr fontId="1"/>
  </si>
  <si>
    <t>浴室デッキタイプ洗面所壁点検口設置　台所トラップ既存　洗濯機二層式　腰が悪い　</t>
    <rPh sb="0" eb="2">
      <t>ヨクシツ</t>
    </rPh>
    <rPh sb="8" eb="17">
      <t>センメンジョカベテンケンコウセッチ</t>
    </rPh>
    <rPh sb="18" eb="20">
      <t>ダイドコロ</t>
    </rPh>
    <rPh sb="24" eb="26">
      <t>キゾン</t>
    </rPh>
    <rPh sb="27" eb="33">
      <t>センタクキニソウシキ</t>
    </rPh>
    <rPh sb="34" eb="35">
      <t>コシ</t>
    </rPh>
    <rPh sb="36" eb="37">
      <t>ワル</t>
    </rPh>
    <phoneticPr fontId="1"/>
  </si>
  <si>
    <t>吉田 祐子</t>
    <rPh sb="0" eb="2">
      <t>ヨシダ</t>
    </rPh>
    <rPh sb="3" eb="5">
      <t>ユウコ</t>
    </rPh>
    <phoneticPr fontId="1"/>
  </si>
  <si>
    <t>090-9316-5688</t>
    <phoneticPr fontId="1"/>
  </si>
  <si>
    <t>ｴﾌﾟﾛﾝ内開口有　洗面所壁点検口あり　給湯管更新済み→残す　洗濯水栓新しいが交換する→今のものはお客さんに渡す　底板SUS→ポリ復旧</t>
    <rPh sb="5" eb="6">
      <t>ナイ</t>
    </rPh>
    <rPh sb="6" eb="9">
      <t>カイコウアリ</t>
    </rPh>
    <rPh sb="10" eb="14">
      <t>センメンジョカベ</t>
    </rPh>
    <rPh sb="14" eb="17">
      <t>テンケンコウ</t>
    </rPh>
    <rPh sb="20" eb="26">
      <t>キュウトウカンコウシンズ</t>
    </rPh>
    <rPh sb="28" eb="29">
      <t>ノコ</t>
    </rPh>
    <rPh sb="31" eb="35">
      <t>センタクスイセン</t>
    </rPh>
    <rPh sb="35" eb="36">
      <t>アタラ</t>
    </rPh>
    <rPh sb="39" eb="41">
      <t>コウカン</t>
    </rPh>
    <rPh sb="44" eb="45">
      <t>イマ</t>
    </rPh>
    <rPh sb="50" eb="51">
      <t>キャク</t>
    </rPh>
    <rPh sb="54" eb="55">
      <t>ワタ</t>
    </rPh>
    <rPh sb="57" eb="67">
      <t>ソコイタSUSミギポリフッキュウ</t>
    </rPh>
    <phoneticPr fontId="1"/>
  </si>
  <si>
    <t>山田 宏子</t>
    <rPh sb="0" eb="2">
      <t>ヤマダ</t>
    </rPh>
    <rPh sb="3" eb="5">
      <t>ヒロコ</t>
    </rPh>
    <phoneticPr fontId="1"/>
  </si>
  <si>
    <t>090-4969-1241</t>
    <phoneticPr fontId="1"/>
  </si>
  <si>
    <t>WRV1117・15847A</t>
    <phoneticPr fontId="1"/>
  </si>
  <si>
    <t>赤羽 朋子</t>
    <rPh sb="0" eb="2">
      <t>アカバネ</t>
    </rPh>
    <rPh sb="3" eb="5">
      <t>トモコ</t>
    </rPh>
    <phoneticPr fontId="1"/>
  </si>
  <si>
    <t>080-1181-0554</t>
    <phoneticPr fontId="1"/>
  </si>
  <si>
    <t>WZV1117・193319</t>
    <phoneticPr fontId="1"/>
  </si>
  <si>
    <t>ｴﾌﾟﾛﾝ内部材接続　工事前に給湯器と食洗器交換予定、給湯器ベランダかも　給湯器造作カバー付き　洗濯パン洗面台に寄せる　隠蔽は期間検討する　食洗器下開口必要かも　壁給水壁排水背板開口、底板作業無しﾄｲﾚ止水栓Ｄ式ｱﾝｸﾞㇽ</t>
    <rPh sb="5" eb="6">
      <t>ナイ</t>
    </rPh>
    <rPh sb="6" eb="10">
      <t>ブザイセツゾク</t>
    </rPh>
    <rPh sb="11" eb="14">
      <t>コウジマエ</t>
    </rPh>
    <rPh sb="15" eb="18">
      <t>キュウトウキ</t>
    </rPh>
    <rPh sb="19" eb="26">
      <t>ショクセンキコウカンヨテイ</t>
    </rPh>
    <rPh sb="27" eb="30">
      <t>キュウトウキ</t>
    </rPh>
    <rPh sb="37" eb="40">
      <t>キュウトウキ</t>
    </rPh>
    <rPh sb="40" eb="42">
      <t>ゾウサク</t>
    </rPh>
    <rPh sb="45" eb="46">
      <t>ツ</t>
    </rPh>
    <rPh sb="48" eb="50">
      <t>センタク</t>
    </rPh>
    <rPh sb="52" eb="55">
      <t>センメンダイ</t>
    </rPh>
    <rPh sb="56" eb="57">
      <t>ヨ</t>
    </rPh>
    <rPh sb="60" eb="62">
      <t>インペイ</t>
    </rPh>
    <rPh sb="63" eb="67">
      <t>キカンケントウ</t>
    </rPh>
    <rPh sb="70" eb="76">
      <t>ショクセンキシタカイコウ</t>
    </rPh>
    <rPh sb="76" eb="78">
      <t>ヒツヨウ</t>
    </rPh>
    <rPh sb="81" eb="84">
      <t>カベキュウスイ</t>
    </rPh>
    <rPh sb="84" eb="87">
      <t>カベハイスイ</t>
    </rPh>
    <rPh sb="88" eb="90">
      <t>カイコウ</t>
    </rPh>
    <rPh sb="90" eb="91">
      <t>、</t>
    </rPh>
    <rPh sb="91" eb="93">
      <t>ソコイタ</t>
    </rPh>
    <rPh sb="93" eb="95">
      <t>サギョウ</t>
    </rPh>
    <rPh sb="95" eb="97">
      <t>ナシ</t>
    </rPh>
    <rPh sb="101" eb="104">
      <t>シスイセン</t>
    </rPh>
    <rPh sb="105" eb="106">
      <t>シキ</t>
    </rPh>
    <phoneticPr fontId="1"/>
  </si>
  <si>
    <t>ｴﾌﾟﾛﾝ内部材接続　トイレ止水栓Ｄ式ｱﾝｸﾞㇽ　台所トラップ既存　洗濯パン洗面台ずらす　洗濯機ドラム式　ｵｰﾅｰ様に確認する</t>
    <rPh sb="5" eb="8">
      <t>ナイブザイ</t>
    </rPh>
    <rPh sb="8" eb="10">
      <t>セツゾク</t>
    </rPh>
    <rPh sb="14" eb="17">
      <t>シスイセン</t>
    </rPh>
    <rPh sb="18" eb="19">
      <t>シキ</t>
    </rPh>
    <rPh sb="25" eb="27">
      <t>ダイドコロ</t>
    </rPh>
    <rPh sb="31" eb="33">
      <t>キゾン</t>
    </rPh>
    <rPh sb="34" eb="36">
      <t>センタク</t>
    </rPh>
    <rPh sb="39" eb="41">
      <t>ズラ</t>
    </rPh>
    <rPh sb="45" eb="48">
      <t>センタクキ</t>
    </rPh>
    <rPh sb="51" eb="52">
      <t>シキ</t>
    </rPh>
    <phoneticPr fontId="1"/>
  </si>
  <si>
    <t>木村</t>
    <rPh sb="0" eb="2">
      <t>キムラ</t>
    </rPh>
    <phoneticPr fontId="1"/>
  </si>
  <si>
    <t>090-2402-9195</t>
    <phoneticPr fontId="1"/>
  </si>
  <si>
    <t>ハウステック</t>
    <phoneticPr fontId="1"/>
  </si>
  <si>
    <t>LAS-1116</t>
    <phoneticPr fontId="1"/>
  </si>
  <si>
    <t>浴室ｴﾌﾟﾛﾝ内点検口設置　洗面所一部ソフト巾木60㎜　底板SUS→ポリ復旧　玄関収納の取っ手壊れている</t>
    <rPh sb="0" eb="2">
      <t>ヨクシツ</t>
    </rPh>
    <rPh sb="7" eb="8">
      <t>ナイ</t>
    </rPh>
    <rPh sb="10" eb="12">
      <t>セッチ</t>
    </rPh>
    <rPh sb="12" eb="13">
      <t>　</t>
    </rPh>
    <rPh sb="14" eb="15">
      <t>センメン</t>
    </rPh>
    <rPh sb="15" eb="16">
      <t>ジョ</t>
    </rPh>
    <rPh sb="16" eb="18">
      <t>イチブ</t>
    </rPh>
    <rPh sb="18" eb="21">
      <t>ソフト</t>
    </rPh>
    <rPh sb="21" eb="23">
      <t>ハバキ</t>
    </rPh>
    <rPh sb="23" eb="25">
      <t>６０</t>
    </rPh>
    <rPh sb="28" eb="29">
      <t>ソコイタ</t>
    </rPh>
    <rPh sb="29" eb="30">
      <t>ＳＵ</t>
    </rPh>
    <rPh sb="35" eb="37">
      <t>フッキュウ</t>
    </rPh>
    <rPh sb="37" eb="38">
      <t>　</t>
    </rPh>
    <rPh sb="39" eb="40">
      <t>ゲンカン</t>
    </rPh>
    <rPh sb="40" eb="43">
      <t>シュウノウノ</t>
    </rPh>
    <rPh sb="43" eb="46">
      <t>トッテ</t>
    </rPh>
    <rPh sb="46" eb="48">
      <t>コワ</t>
    </rPh>
    <phoneticPr fontId="1"/>
  </si>
  <si>
    <t>鯉沼</t>
    <rPh sb="0" eb="2">
      <t>コイヌマ</t>
    </rPh>
    <phoneticPr fontId="1"/>
  </si>
  <si>
    <t>080-3698-6008</t>
    <phoneticPr fontId="1"/>
  </si>
  <si>
    <t>JZC1116・150347</t>
    <phoneticPr fontId="1"/>
  </si>
  <si>
    <t>エプロン内点検口設置　ひな段</t>
    <rPh sb="4" eb="8">
      <t>ナイテンケンコウ</t>
    </rPh>
    <rPh sb="8" eb="10">
      <t>セッチ</t>
    </rPh>
    <rPh sb="13" eb="14">
      <t>ダン</t>
    </rPh>
    <phoneticPr fontId="1"/>
  </si>
  <si>
    <t>佐久間 慎一</t>
    <rPh sb="0" eb="3">
      <t>サクマ</t>
    </rPh>
    <rPh sb="4" eb="6">
      <t>シンイチ</t>
    </rPh>
    <phoneticPr fontId="1"/>
  </si>
  <si>
    <t>048-686-6966</t>
    <phoneticPr fontId="1"/>
  </si>
  <si>
    <t>WZV1216・149C4W</t>
    <phoneticPr fontId="1"/>
  </si>
  <si>
    <t>ｴﾌﾟﾛﾝ内部材接続浴室水栓2つ　ひな段</t>
    <rPh sb="5" eb="6">
      <t>ナイ</t>
    </rPh>
    <rPh sb="6" eb="8">
      <t>ブザイ</t>
    </rPh>
    <rPh sb="8" eb="10">
      <t>セツゾク</t>
    </rPh>
    <rPh sb="10" eb="12">
      <t>ヨクシツ</t>
    </rPh>
    <rPh sb="12" eb="14">
      <t>スイセン</t>
    </rPh>
    <rPh sb="19" eb="20">
      <t>ダン</t>
    </rPh>
    <phoneticPr fontId="1"/>
  </si>
  <si>
    <t>大原 由美</t>
    <rPh sb="0" eb="2">
      <t>オオハラ</t>
    </rPh>
    <rPh sb="3" eb="5">
      <t>ユミ</t>
    </rPh>
    <phoneticPr fontId="1"/>
  </si>
  <si>
    <t>048-686-6450</t>
    <phoneticPr fontId="1"/>
  </si>
  <si>
    <t>WZV1117・1463AM</t>
    <phoneticPr fontId="1"/>
  </si>
  <si>
    <t>エプロン内部材接続　水栓柱石畳撤去しないで作業する　</t>
    <rPh sb="4" eb="5">
      <t>ナイ</t>
    </rPh>
    <rPh sb="5" eb="7">
      <t>ブザイ</t>
    </rPh>
    <rPh sb="7" eb="9">
      <t>セツゾク</t>
    </rPh>
    <rPh sb="10" eb="12">
      <t>スイセン</t>
    </rPh>
    <rPh sb="12" eb="13">
      <t>チュウ</t>
    </rPh>
    <rPh sb="13" eb="15">
      <t>イシダタミ</t>
    </rPh>
    <rPh sb="15" eb="17">
      <t>テッキョ</t>
    </rPh>
    <rPh sb="21" eb="23">
      <t>サギョウ</t>
    </rPh>
    <phoneticPr fontId="1"/>
  </si>
  <si>
    <t>柏谷 拓弥</t>
    <rPh sb="0" eb="1">
      <t>カシワ</t>
    </rPh>
    <rPh sb="1" eb="2">
      <t>タニ</t>
    </rPh>
    <rPh sb="3" eb="5">
      <t>タクヤ</t>
    </rPh>
    <phoneticPr fontId="1"/>
  </si>
  <si>
    <t>090-1666-1140</t>
    <phoneticPr fontId="1"/>
  </si>
  <si>
    <t>浴室デッキタイプ浴槽点検口にて作業する　キッチンホーロー板→底板開口塩ビ仕上げ　洗濯パン洗面台に寄せる</t>
    <rPh sb="0" eb="2">
      <t>ヨクシツ</t>
    </rPh>
    <rPh sb="8" eb="10">
      <t>ヨクソウ</t>
    </rPh>
    <rPh sb="10" eb="13">
      <t>テンケンコウ</t>
    </rPh>
    <rPh sb="15" eb="17">
      <t>サギョウ</t>
    </rPh>
    <rPh sb="28" eb="29">
      <t>イタ</t>
    </rPh>
    <rPh sb="30" eb="32">
      <t>ソコイタ</t>
    </rPh>
    <rPh sb="32" eb="34">
      <t>カイコウ</t>
    </rPh>
    <rPh sb="34" eb="35">
      <t>エン</t>
    </rPh>
    <rPh sb="36" eb="38">
      <t>シア</t>
    </rPh>
    <rPh sb="40" eb="42">
      <t>センタク</t>
    </rPh>
    <rPh sb="44" eb="47">
      <t>センメンダイ</t>
    </rPh>
    <rPh sb="48" eb="49">
      <t>ヨ</t>
    </rPh>
    <phoneticPr fontId="1"/>
  </si>
  <si>
    <t>小原 道二</t>
    <rPh sb="0" eb="2">
      <t>オハラ</t>
    </rPh>
    <rPh sb="3" eb="4">
      <t>ミチ</t>
    </rPh>
    <rPh sb="4" eb="5">
      <t>ニ</t>
    </rPh>
    <phoneticPr fontId="1"/>
  </si>
  <si>
    <t>048-686-4778</t>
    <phoneticPr fontId="1"/>
  </si>
  <si>
    <t>WBV1117JT・180REB</t>
    <phoneticPr fontId="1"/>
  </si>
  <si>
    <t>浴室鏡裏開口　ひな段既存壁だし</t>
    <rPh sb="0" eb="2">
      <t>ヨクシツ</t>
    </rPh>
    <rPh sb="2" eb="6">
      <t>カガミウラカイコウ</t>
    </rPh>
    <rPh sb="9" eb="10">
      <t>ダン</t>
    </rPh>
    <rPh sb="10" eb="13">
      <t>キゾンカベ</t>
    </rPh>
    <phoneticPr fontId="1"/>
  </si>
  <si>
    <t>真部 美智子</t>
    <rPh sb="0" eb="2">
      <t>マベ</t>
    </rPh>
    <rPh sb="3" eb="6">
      <t>ミチコ</t>
    </rPh>
    <phoneticPr fontId="1"/>
  </si>
  <si>
    <t>090-2675-3164</t>
    <phoneticPr fontId="1"/>
  </si>
  <si>
    <t>WZV1117・148X9Y</t>
    <phoneticPr fontId="1"/>
  </si>
  <si>
    <t>エプロン内部材接続　TES一部だけ残っているが未使用　ひな段既存壁だし</t>
    <rPh sb="4" eb="5">
      <t>ナイ</t>
    </rPh>
    <rPh sb="5" eb="9">
      <t>ブザイセツゾク</t>
    </rPh>
    <rPh sb="13" eb="15">
      <t>イチブ</t>
    </rPh>
    <rPh sb="17" eb="18">
      <t>ノコ</t>
    </rPh>
    <rPh sb="23" eb="26">
      <t>ミシヨウ</t>
    </rPh>
    <rPh sb="29" eb="33">
      <t>ダンキゾンカベ</t>
    </rPh>
    <phoneticPr fontId="1"/>
  </si>
  <si>
    <t>萩原 ソウ</t>
    <rPh sb="0" eb="2">
      <t>ハギワラ</t>
    </rPh>
    <phoneticPr fontId="1"/>
  </si>
  <si>
    <t>048-683-4048</t>
    <phoneticPr fontId="1"/>
  </si>
  <si>
    <t>パネル</t>
    <phoneticPr fontId="1"/>
  </si>
  <si>
    <t>浴室デッキタイプ浴槽点検口あり　トイレ壁全面パネル貼り→玄関側解体　洗濯水栓2つ→再使用　ひな段　トイレ止水栓ｽﾄﾚｰﾅｰ付</t>
    <rPh sb="0" eb="2">
      <t>ヨクシツ</t>
    </rPh>
    <rPh sb="8" eb="10">
      <t>ヨクソウ</t>
    </rPh>
    <rPh sb="10" eb="13">
      <t>テンケンコウ</t>
    </rPh>
    <rPh sb="19" eb="20">
      <t>カベ</t>
    </rPh>
    <rPh sb="20" eb="22">
      <t>ゼンメン</t>
    </rPh>
    <rPh sb="25" eb="26">
      <t>バ</t>
    </rPh>
    <rPh sb="28" eb="30">
      <t>ゲンカン</t>
    </rPh>
    <rPh sb="30" eb="31">
      <t>ガワ</t>
    </rPh>
    <rPh sb="31" eb="33">
      <t>カイタイ</t>
    </rPh>
    <rPh sb="34" eb="36">
      <t>センタク</t>
    </rPh>
    <rPh sb="36" eb="38">
      <t>スイセン</t>
    </rPh>
    <rPh sb="41" eb="44">
      <t>サイシヨウ</t>
    </rPh>
    <rPh sb="47" eb="48">
      <t>ダン</t>
    </rPh>
    <rPh sb="52" eb="55">
      <t>シスイセン</t>
    </rPh>
    <rPh sb="61" eb="62">
      <t>ツキ</t>
    </rPh>
    <phoneticPr fontId="1"/>
  </si>
  <si>
    <t>石下 修巳</t>
    <rPh sb="0" eb="2">
      <t>イシシタ</t>
    </rPh>
    <rPh sb="3" eb="4">
      <t>シュウ</t>
    </rPh>
    <rPh sb="4" eb="5">
      <t>ミ</t>
    </rPh>
    <phoneticPr fontId="1"/>
  </si>
  <si>
    <t>048-687-7639</t>
    <phoneticPr fontId="1"/>
  </si>
  <si>
    <t>給水給湯管、排水枝管更新済み→資料確認済み　工事はトイレのみ　洗面所入口扉開閉注意</t>
    <rPh sb="0" eb="5">
      <t>キュウスイキュウトウカン</t>
    </rPh>
    <rPh sb="6" eb="8">
      <t>ハイスイ</t>
    </rPh>
    <rPh sb="8" eb="10">
      <t>エダカン</t>
    </rPh>
    <rPh sb="10" eb="13">
      <t>コウシンズ</t>
    </rPh>
    <rPh sb="15" eb="20">
      <t>シリョウカクニンズ</t>
    </rPh>
    <rPh sb="22" eb="24">
      <t>コウジ</t>
    </rPh>
    <rPh sb="31" eb="36">
      <t>センメンジョイリグチ</t>
    </rPh>
    <rPh sb="36" eb="37">
      <t>トビラ</t>
    </rPh>
    <rPh sb="37" eb="39">
      <t>カイヘイ</t>
    </rPh>
    <rPh sb="39" eb="41">
      <t>チュウイ</t>
    </rPh>
    <phoneticPr fontId="1"/>
  </si>
  <si>
    <t>青戸 夏美</t>
    <rPh sb="0" eb="2">
      <t>アオト</t>
    </rPh>
    <rPh sb="3" eb="5">
      <t>ナツミ</t>
    </rPh>
    <phoneticPr fontId="1"/>
  </si>
  <si>
    <t>048-663-8996
090-2456-1666</t>
    <phoneticPr fontId="1"/>
  </si>
  <si>
    <t>WZV1117・1485F5</t>
    <phoneticPr fontId="1"/>
  </si>
  <si>
    <t>エプロン内部材接続　ﾄｲﾚ止水栓止水栓ストレーナー付　底板SUS→ポリ復旧　工事期間中不在にするトイレ仮復旧なし　昨年亡くなった父親の家、売却予定はない娘さん所有になっている　日程のお知らせは郵送する　たまに部屋に来るがほぼ不在</t>
    <rPh sb="4" eb="5">
      <t>ナイ</t>
    </rPh>
    <rPh sb="5" eb="9">
      <t>ブザイセツゾク</t>
    </rPh>
    <rPh sb="13" eb="16">
      <t>シスイセン</t>
    </rPh>
    <rPh sb="16" eb="19">
      <t>シスイセン</t>
    </rPh>
    <rPh sb="25" eb="26">
      <t>ツ</t>
    </rPh>
    <rPh sb="27" eb="33">
      <t>ソコイタSUSミギ</t>
    </rPh>
    <rPh sb="35" eb="37">
      <t>フッキュウ</t>
    </rPh>
    <rPh sb="38" eb="43">
      <t>コウジキカンチュウ</t>
    </rPh>
    <rPh sb="43" eb="45">
      <t>フザイ</t>
    </rPh>
    <rPh sb="51" eb="54">
      <t>カリフッキュウ</t>
    </rPh>
    <rPh sb="57" eb="60">
      <t>サクネンナ</t>
    </rPh>
    <rPh sb="64" eb="66">
      <t>チチオヤ</t>
    </rPh>
    <rPh sb="67" eb="68">
      <t>イエ</t>
    </rPh>
    <rPh sb="69" eb="71">
      <t>バイキャク</t>
    </rPh>
    <rPh sb="71" eb="73">
      <t>ヨテイ</t>
    </rPh>
    <rPh sb="76" eb="77">
      <t>ムスメ</t>
    </rPh>
    <rPh sb="79" eb="81">
      <t>ショユウ</t>
    </rPh>
    <rPh sb="88" eb="90">
      <t>ニッテイ</t>
    </rPh>
    <rPh sb="92" eb="93">
      <t>シ</t>
    </rPh>
    <rPh sb="96" eb="98">
      <t>ユウソウ</t>
    </rPh>
    <rPh sb="104" eb="106">
      <t>ヘヤ</t>
    </rPh>
    <rPh sb="107" eb="108">
      <t>ク</t>
    </rPh>
    <rPh sb="112" eb="114">
      <t>フザイ</t>
    </rPh>
    <phoneticPr fontId="1"/>
  </si>
  <si>
    <t>柳原 豊</t>
    <rPh sb="0" eb="2">
      <t>ヤナギハラ</t>
    </rPh>
    <rPh sb="3" eb="4">
      <t>ユタカ</t>
    </rPh>
    <phoneticPr fontId="1"/>
  </si>
  <si>
    <t>048-687-6468</t>
    <phoneticPr fontId="1"/>
  </si>
  <si>
    <t>LAS-1116YARDD4</t>
    <phoneticPr fontId="1"/>
  </si>
  <si>
    <t>ｴﾌﾟﾛﾝ内点検口設置　台所トラップ既存　廊下床はがれている</t>
    <rPh sb="5" eb="6">
      <t>ナイ</t>
    </rPh>
    <rPh sb="6" eb="9">
      <t>テンケンコウ</t>
    </rPh>
    <rPh sb="9" eb="11">
      <t>セッチ</t>
    </rPh>
    <rPh sb="12" eb="14">
      <t>ダイドコロ</t>
    </rPh>
    <rPh sb="18" eb="20">
      <t>キゾン</t>
    </rPh>
    <rPh sb="21" eb="23">
      <t>ロウカ</t>
    </rPh>
    <rPh sb="23" eb="24">
      <t>ユカ</t>
    </rPh>
    <phoneticPr fontId="1"/>
  </si>
  <si>
    <t>080-6620-6053</t>
    <phoneticPr fontId="1"/>
  </si>
  <si>
    <t>WZV1117・147F5F</t>
    <phoneticPr fontId="1"/>
  </si>
  <si>
    <t>ｴﾌﾟﾛﾝ内部材接続　底板SUS→ポリ復旧　</t>
    <rPh sb="5" eb="6">
      <t>ナイ</t>
    </rPh>
    <rPh sb="6" eb="10">
      <t>ブザイセツゾク</t>
    </rPh>
    <rPh sb="11" eb="21">
      <t>ソコイタSUSミギポリフッキュウ</t>
    </rPh>
    <phoneticPr fontId="1"/>
  </si>
  <si>
    <t>小澤 弘子</t>
    <rPh sb="0" eb="2">
      <t>オザワ</t>
    </rPh>
    <rPh sb="3" eb="5">
      <t>ヒロコ</t>
    </rPh>
    <phoneticPr fontId="1"/>
  </si>
  <si>
    <t>048-686-8765</t>
    <phoneticPr fontId="1"/>
  </si>
  <si>
    <t>竹田 建夫</t>
    <rPh sb="0" eb="2">
      <t>タケダ</t>
    </rPh>
    <rPh sb="3" eb="4">
      <t>ケン</t>
    </rPh>
    <rPh sb="4" eb="5">
      <t>オ</t>
    </rPh>
    <phoneticPr fontId="1"/>
  </si>
  <si>
    <t>048-686-4537
090-5419-6732</t>
    <phoneticPr fontId="1"/>
  </si>
  <si>
    <t>WZV1216・14598Y</t>
    <phoneticPr fontId="1"/>
  </si>
  <si>
    <t>ｴﾌﾟﾛﾝ内部材ｺｰｷﾝｸﾞべったりな為洗面所壁に点検口設置する　トイレ止水栓Ｄ式ｱﾝｸﾞㇽ　給湯器下カバー付き　ひな段→背板開口必要　　</t>
    <rPh sb="5" eb="7">
      <t>ブザイ</t>
    </rPh>
    <rPh sb="7" eb="12">
      <t>コーキング</t>
    </rPh>
    <rPh sb="18" eb="20">
      <t>センメン</t>
    </rPh>
    <rPh sb="20" eb="21">
      <t>ジョ</t>
    </rPh>
    <rPh sb="21" eb="23">
      <t>カベニ</t>
    </rPh>
    <rPh sb="23" eb="26">
      <t>テンケンコウ</t>
    </rPh>
    <rPh sb="26" eb="30">
      <t>セッチスル</t>
    </rPh>
    <rPh sb="35" eb="37">
      <t>セン</t>
    </rPh>
    <rPh sb="37" eb="38">
      <t>Ｄ</t>
    </rPh>
    <rPh sb="38" eb="39">
      <t>シキ</t>
    </rPh>
    <rPh sb="39" eb="42">
      <t>アング</t>
    </rPh>
    <rPh sb="47" eb="48">
      <t>シタ</t>
    </rPh>
    <rPh sb="48" eb="51">
      <t>カバー</t>
    </rPh>
    <rPh sb="54" eb="56">
      <t>ヒナ</t>
    </rPh>
    <rPh sb="58" eb="60">
      <t>セイタ</t>
    </rPh>
    <rPh sb="60" eb="62">
      <t>カイコウ</t>
    </rPh>
    <rPh sb="62" eb="64">
      <t>ヒツヨウ</t>
    </rPh>
    <rPh sb="64" eb="66">
      <t>　　</t>
    </rPh>
    <phoneticPr fontId="1"/>
  </si>
  <si>
    <t>兼元 桂子</t>
    <rPh sb="0" eb="2">
      <t>ケンモト</t>
    </rPh>
    <rPh sb="3" eb="5">
      <t>カツラコ</t>
    </rPh>
    <phoneticPr fontId="1"/>
  </si>
  <si>
    <t>080-3400-7668</t>
    <phoneticPr fontId="1"/>
  </si>
  <si>
    <t>浴室デッキタイプ洗面所壁点検口設置　台所トラップ既存　フルリフォーム予定　隠蔽配管検討　工事期間中は不在にするかも</t>
    <rPh sb="0" eb="2">
      <t>ヨクシツ</t>
    </rPh>
    <rPh sb="8" eb="12">
      <t>センメンジョカベ</t>
    </rPh>
    <rPh sb="12" eb="17">
      <t>テンケンコウセッチ</t>
    </rPh>
    <rPh sb="18" eb="20">
      <t>ダイドコロ</t>
    </rPh>
    <rPh sb="24" eb="26">
      <t>キゾン</t>
    </rPh>
    <rPh sb="34" eb="36">
      <t>ヨテイ</t>
    </rPh>
    <rPh sb="37" eb="43">
      <t>インペイハイカンケントウ</t>
    </rPh>
    <rPh sb="44" eb="49">
      <t>コウジキカンチュウ</t>
    </rPh>
    <rPh sb="50" eb="52">
      <t>フザイ</t>
    </rPh>
    <phoneticPr fontId="1"/>
  </si>
  <si>
    <t>髙木 清</t>
    <rPh sb="0" eb="2">
      <t>タカギ</t>
    </rPh>
    <rPh sb="3" eb="4">
      <t>キヨシ</t>
    </rPh>
    <phoneticPr fontId="1"/>
  </si>
  <si>
    <t>090-7182-4449</t>
    <phoneticPr fontId="1"/>
  </si>
  <si>
    <t>浴室デッキタイプ洗面所壁点検口設置　台所トラップ既存　給湯管子追い焚き管更新済み→給湯管更新希望　洗濯パン洗面台に寄せる　４月末に入居予定　入居前に洗面台と浴槽交換する</t>
    <rPh sb="0" eb="2">
      <t>ヨクシツ</t>
    </rPh>
    <rPh sb="8" eb="17">
      <t>センメンジョカベテンケンコウセッチ</t>
    </rPh>
    <rPh sb="18" eb="20">
      <t>ダイドコロ</t>
    </rPh>
    <rPh sb="24" eb="26">
      <t>キゾン</t>
    </rPh>
    <rPh sb="27" eb="31">
      <t>キュウトウカンコ</t>
    </rPh>
    <rPh sb="31" eb="32">
      <t>オ</t>
    </rPh>
    <rPh sb="33" eb="34">
      <t>ダ</t>
    </rPh>
    <rPh sb="35" eb="39">
      <t>カンコウシンズ</t>
    </rPh>
    <rPh sb="41" eb="44">
      <t>キュウトウカン</t>
    </rPh>
    <rPh sb="44" eb="48">
      <t>コウシンキボウ</t>
    </rPh>
    <rPh sb="49" eb="51">
      <t>センタク</t>
    </rPh>
    <rPh sb="53" eb="56">
      <t>センメンダイ</t>
    </rPh>
    <rPh sb="57" eb="58">
      <t>ヨ</t>
    </rPh>
    <rPh sb="62" eb="64">
      <t>ガツマツ</t>
    </rPh>
    <rPh sb="65" eb="69">
      <t>ニュウキョヨテイ</t>
    </rPh>
    <rPh sb="70" eb="73">
      <t>ニュウキョマエ</t>
    </rPh>
    <rPh sb="74" eb="77">
      <t>センメンダイ</t>
    </rPh>
    <rPh sb="78" eb="82">
      <t>ヨクソウコウカン</t>
    </rPh>
    <phoneticPr fontId="1"/>
  </si>
  <si>
    <t>家田 光雄</t>
    <rPh sb="0" eb="2">
      <t>イエダ</t>
    </rPh>
    <rPh sb="3" eb="5">
      <t>ミツオ</t>
    </rPh>
    <phoneticPr fontId="1"/>
  </si>
  <si>
    <t>048-685-3059
070-5086-0687</t>
    <phoneticPr fontId="1"/>
  </si>
  <si>
    <t>WHV1116UT・188HHL</t>
    <phoneticPr fontId="1"/>
  </si>
  <si>
    <t>ｴﾌﾟﾛﾝ外すとスラブ直　洗面所トイレ床フロアタイル→CF貼替　洗濯パン洗面台に寄せる　給湯管更新済み→更新希望　ﾄｲﾚ止水栓ｽﾄﾚｰﾅｰ付　ひな段、隣引き出し背板開口必要かも</t>
    <rPh sb="5" eb="6">
      <t>ハズ</t>
    </rPh>
    <rPh sb="11" eb="12">
      <t>チョク</t>
    </rPh>
    <rPh sb="13" eb="16">
      <t>センメンジョ</t>
    </rPh>
    <rPh sb="19" eb="20">
      <t>ユカ</t>
    </rPh>
    <rPh sb="29" eb="31">
      <t>ハリカエ</t>
    </rPh>
    <rPh sb="32" eb="34">
      <t>センタク</t>
    </rPh>
    <rPh sb="36" eb="39">
      <t>センメンダイ</t>
    </rPh>
    <rPh sb="40" eb="41">
      <t>ヨ</t>
    </rPh>
    <rPh sb="44" eb="56">
      <t>キュウトウカンコウシンズミミギコウシンキボウ</t>
    </rPh>
    <rPh sb="60" eb="63">
      <t>シスイセン</t>
    </rPh>
    <rPh sb="69" eb="70">
      <t>ツキ</t>
    </rPh>
    <rPh sb="73" eb="74">
      <t>ダン</t>
    </rPh>
    <rPh sb="75" eb="79">
      <t>ヒキダシ</t>
    </rPh>
    <rPh sb="79" eb="81">
      <t>セイタ</t>
    </rPh>
    <rPh sb="81" eb="83">
      <t>カイコウ</t>
    </rPh>
    <rPh sb="83" eb="86">
      <t>ヒツヨウ</t>
    </rPh>
    <phoneticPr fontId="1"/>
  </si>
  <si>
    <t>池田 紀子</t>
    <rPh sb="0" eb="2">
      <t>イケダ</t>
    </rPh>
    <rPh sb="3" eb="5">
      <t>ノリコ</t>
    </rPh>
    <phoneticPr fontId="1"/>
  </si>
  <si>
    <t>090-7170-9602</t>
    <phoneticPr fontId="1"/>
  </si>
  <si>
    <t>WZV1117・167907</t>
    <phoneticPr fontId="1"/>
  </si>
  <si>
    <t>ｴﾌﾟﾛﾝ内部材接続　ﾄｲﾚ止水栓ｽﾄﾚｰﾅｰ付　台所トラップ既存　給湯管追い焚き管更新済み→給湯管更新希望　洗面所壁点検口あり</t>
    <rPh sb="5" eb="10">
      <t>ナイブザイセツゾク</t>
    </rPh>
    <rPh sb="14" eb="17">
      <t>シスイセン</t>
    </rPh>
    <rPh sb="23" eb="24">
      <t>ツキ</t>
    </rPh>
    <rPh sb="25" eb="27">
      <t>ダイドコロ</t>
    </rPh>
    <rPh sb="31" eb="33">
      <t>キゾン</t>
    </rPh>
    <rPh sb="34" eb="37">
      <t>キュウトウカン</t>
    </rPh>
    <rPh sb="37" eb="38">
      <t>オ</t>
    </rPh>
    <rPh sb="39" eb="40">
      <t>ダ</t>
    </rPh>
    <rPh sb="41" eb="42">
      <t>カン</t>
    </rPh>
    <rPh sb="42" eb="54">
      <t>コウシンズミミギキュウトウカンコウシンキボウ</t>
    </rPh>
    <rPh sb="55" eb="59">
      <t>センメンジョカベ</t>
    </rPh>
    <rPh sb="59" eb="62">
      <t>テンケンコウ</t>
    </rPh>
    <phoneticPr fontId="1"/>
  </si>
  <si>
    <t>幸田 英治</t>
    <rPh sb="0" eb="2">
      <t>サチダ</t>
    </rPh>
    <rPh sb="3" eb="5">
      <t>エイジ</t>
    </rPh>
    <phoneticPr fontId="1"/>
  </si>
  <si>
    <t>048-688-2017</t>
    <phoneticPr fontId="1"/>
  </si>
  <si>
    <t>浴室デッキタイプ洗面所壁点検口設置　洗濯パンに給湯器カバーかぶっている隙間なし→給水付き洗濯パンor800サイズにしてよせる&amp;無線機移動検討してもらう　底板SUS→ポリ復旧　</t>
    <rPh sb="0" eb="2">
      <t>ヨクシツ</t>
    </rPh>
    <rPh sb="8" eb="16">
      <t>センメンジョカベテンケンコウセツ</t>
    </rPh>
    <rPh sb="16" eb="17">
      <t>チ</t>
    </rPh>
    <rPh sb="18" eb="20">
      <t>センタク</t>
    </rPh>
    <rPh sb="23" eb="26">
      <t>キュウトウキ</t>
    </rPh>
    <rPh sb="35" eb="37">
      <t>スキマ</t>
    </rPh>
    <rPh sb="40" eb="43">
      <t>キュウスイツ</t>
    </rPh>
    <rPh sb="44" eb="46">
      <t>センタク</t>
    </rPh>
    <rPh sb="63" eb="68">
      <t>ムセンキイドウ</t>
    </rPh>
    <rPh sb="68" eb="70">
      <t>ケントウ</t>
    </rPh>
    <rPh sb="76" eb="86">
      <t>ソコイタSUSミギポリフッキュウ</t>
    </rPh>
    <phoneticPr fontId="1"/>
  </si>
  <si>
    <t>048-688-6117</t>
    <phoneticPr fontId="1"/>
  </si>
  <si>
    <t>高尾 和彦</t>
    <rPh sb="0" eb="2">
      <t>タカオ</t>
    </rPh>
    <rPh sb="3" eb="5">
      <t>カズヒコ</t>
    </rPh>
    <phoneticPr fontId="1"/>
  </si>
  <si>
    <t>WZV1117・168907</t>
    <phoneticPr fontId="1"/>
  </si>
  <si>
    <t>ｴﾌﾟﾛﾝ内部材接続　トイレ壁下場にエコカラット→撤去　</t>
    <rPh sb="5" eb="10">
      <t>ナイブザイセツゾク</t>
    </rPh>
    <rPh sb="14" eb="15">
      <t>カベ</t>
    </rPh>
    <rPh sb="15" eb="17">
      <t>シタバ</t>
    </rPh>
    <rPh sb="25" eb="27">
      <t>テッキョ</t>
    </rPh>
    <phoneticPr fontId="1"/>
  </si>
  <si>
    <t>金井 百合子</t>
    <rPh sb="0" eb="2">
      <t>カナイ</t>
    </rPh>
    <rPh sb="3" eb="6">
      <t>ユリコ</t>
    </rPh>
    <phoneticPr fontId="1"/>
  </si>
  <si>
    <t>080-5384-5963</t>
    <phoneticPr fontId="1"/>
  </si>
  <si>
    <t>WZV1117・185062</t>
    <phoneticPr fontId="1"/>
  </si>
  <si>
    <t>ｴﾌﾟﾛﾝ内点検口設置　底板SUS→ポリ復旧　OPで洗濯パン交換しないのであれば洗面台によせる　説明会の内容を動画で見返せるようにしてほしい</t>
    <rPh sb="5" eb="6">
      <t>ナイ</t>
    </rPh>
    <rPh sb="6" eb="11">
      <t>テンケンコウセッチ</t>
    </rPh>
    <rPh sb="12" eb="22">
      <t>ソコイタSUSミギポリフッキュウ</t>
    </rPh>
    <rPh sb="26" eb="28">
      <t>センタク</t>
    </rPh>
    <rPh sb="30" eb="32">
      <t>コウカン</t>
    </rPh>
    <rPh sb="40" eb="43">
      <t>センメンダイ</t>
    </rPh>
    <rPh sb="48" eb="51">
      <t>セツメイカイ</t>
    </rPh>
    <rPh sb="52" eb="54">
      <t>ナイヨウ</t>
    </rPh>
    <rPh sb="55" eb="57">
      <t>ドウガ</t>
    </rPh>
    <rPh sb="58" eb="60">
      <t>ミカエ</t>
    </rPh>
    <phoneticPr fontId="1"/>
  </si>
  <si>
    <t>海蓋 翠</t>
    <rPh sb="0" eb="1">
      <t>カイ</t>
    </rPh>
    <rPh sb="1" eb="2">
      <t>フタ</t>
    </rPh>
    <rPh sb="3" eb="4">
      <t>ミドリ</t>
    </rPh>
    <phoneticPr fontId="1"/>
  </si>
  <si>
    <t>090-5798-9402</t>
    <phoneticPr fontId="1"/>
  </si>
  <si>
    <t>WFV1116JT・1523NH</t>
    <phoneticPr fontId="1"/>
  </si>
  <si>
    <t>エプロン内部材接続　台所真ん中引き出し背板開口必要かも</t>
    <rPh sb="4" eb="9">
      <t>ナイブザイセツゾク</t>
    </rPh>
    <rPh sb="10" eb="12">
      <t>ダイドコロ</t>
    </rPh>
    <rPh sb="12" eb="13">
      <t>マ</t>
    </rPh>
    <rPh sb="14" eb="15">
      <t>ナカ</t>
    </rPh>
    <rPh sb="15" eb="16">
      <t>ヒ</t>
    </rPh>
    <rPh sb="17" eb="18">
      <t>ダ</t>
    </rPh>
    <rPh sb="19" eb="23">
      <t>セイタカイコウ</t>
    </rPh>
    <rPh sb="23" eb="25">
      <t>ヒツヨウ</t>
    </rPh>
    <phoneticPr fontId="1"/>
  </si>
  <si>
    <t>刀禰 能里男</t>
    <rPh sb="0" eb="2">
      <t>トネ</t>
    </rPh>
    <rPh sb="3" eb="4">
      <t>ノウ</t>
    </rPh>
    <rPh sb="4" eb="5">
      <t>リ</t>
    </rPh>
    <rPh sb="5" eb="6">
      <t>オトコ</t>
    </rPh>
    <phoneticPr fontId="1"/>
  </si>
  <si>
    <t>048-686-8134</t>
    <phoneticPr fontId="1"/>
  </si>
  <si>
    <t>WZV1117・145VB2</t>
    <phoneticPr fontId="1"/>
  </si>
  <si>
    <t>エプロン内部材接続　ひな段既存壁だし、背板開口するかも　ﾄｲﾚ止水栓ｽﾄﾚｰﾅｰ付　給湯器裏隙間あり洗面台に寄せるスペースもある</t>
    <rPh sb="4" eb="9">
      <t>ナイブザイセツゾク</t>
    </rPh>
    <rPh sb="12" eb="16">
      <t>ダンキゾンカベ</t>
    </rPh>
    <rPh sb="19" eb="23">
      <t>セイタカイコウ</t>
    </rPh>
    <rPh sb="31" eb="34">
      <t>シスイセン</t>
    </rPh>
    <rPh sb="40" eb="41">
      <t>ツキ</t>
    </rPh>
    <rPh sb="42" eb="48">
      <t>キュウトウキウラスキマ</t>
    </rPh>
    <rPh sb="50" eb="53">
      <t>センメンダイ</t>
    </rPh>
    <rPh sb="54" eb="55">
      <t>ヨ</t>
    </rPh>
    <phoneticPr fontId="1"/>
  </si>
  <si>
    <t>小宇田 勇</t>
    <rPh sb="0" eb="1">
      <t>オ</t>
    </rPh>
    <rPh sb="1" eb="3">
      <t>ウダ</t>
    </rPh>
    <rPh sb="4" eb="5">
      <t>イサム</t>
    </rPh>
    <phoneticPr fontId="1"/>
  </si>
  <si>
    <t>048-683-1135</t>
    <phoneticPr fontId="1"/>
  </si>
  <si>
    <t>パネル</t>
    <phoneticPr fontId="1"/>
  </si>
  <si>
    <t>WZV1117・171406</t>
    <phoneticPr fontId="1"/>
  </si>
  <si>
    <t>ｴﾌﾟﾛﾝ内点検口設置　トイレ壁パネル→玄関側開口１面貼替　トイレ洗面所巾木なしCFつきつけ　洗濯ﾓｰﾙ立ち上げスペース狭い→交換検討　過去に水漏れ有→洗面所床点検口ありつぶしてOK 　浴槽下で給湯管一部更新→全更新　台所トラップ既存</t>
    <rPh sb="5" eb="11">
      <t>ナイテンケンコウセッチ</t>
    </rPh>
    <rPh sb="15" eb="16">
      <t>カベ</t>
    </rPh>
    <rPh sb="19" eb="23">
      <t>ミギゲンカンガワ</t>
    </rPh>
    <rPh sb="23" eb="25">
      <t>カイコウ</t>
    </rPh>
    <rPh sb="26" eb="27">
      <t>メン</t>
    </rPh>
    <rPh sb="27" eb="29">
      <t>ハリカエ</t>
    </rPh>
    <rPh sb="33" eb="36">
      <t>センメンジョ</t>
    </rPh>
    <rPh sb="36" eb="38">
      <t>ハバキ</t>
    </rPh>
    <rPh sb="47" eb="49">
      <t>センタク</t>
    </rPh>
    <rPh sb="52" eb="53">
      <t>タ</t>
    </rPh>
    <rPh sb="54" eb="55">
      <t>ア</t>
    </rPh>
    <rPh sb="60" eb="61">
      <t>セマ</t>
    </rPh>
    <rPh sb="63" eb="67">
      <t>コウカンケントウ</t>
    </rPh>
    <rPh sb="68" eb="70">
      <t>カコ</t>
    </rPh>
    <rPh sb="71" eb="73">
      <t>ミズモ</t>
    </rPh>
    <rPh sb="74" eb="75">
      <t>アリ</t>
    </rPh>
    <rPh sb="76" eb="80">
      <t>センメンジョユカ</t>
    </rPh>
    <rPh sb="80" eb="83">
      <t>テンケンコウ</t>
    </rPh>
    <rPh sb="93" eb="96">
      <t>ヨクソウシタ</t>
    </rPh>
    <rPh sb="97" eb="100">
      <t>キュウトウカン</t>
    </rPh>
    <rPh sb="100" eb="104">
      <t>イチブコウシン</t>
    </rPh>
    <rPh sb="105" eb="108">
      <t>ゼンコウシン</t>
    </rPh>
    <rPh sb="109" eb="111">
      <t>ダイドコロ</t>
    </rPh>
    <rPh sb="115" eb="117">
      <t>キゾン</t>
    </rPh>
    <phoneticPr fontId="1"/>
  </si>
  <si>
    <t>齋藤</t>
    <rPh sb="0" eb="2">
      <t>サイトウ</t>
    </rPh>
    <phoneticPr fontId="1"/>
  </si>
  <si>
    <t>048-686-4531
090-9324-0181</t>
    <phoneticPr fontId="1"/>
  </si>
  <si>
    <t>WZV1117・169065</t>
    <phoneticPr fontId="1"/>
  </si>
  <si>
    <t>エプロン内部材接続 ひな段既存壁だし、真ん中引き出し背板開口必要かも　</t>
    <rPh sb="4" eb="9">
      <t>ナイブザイセツゾク</t>
    </rPh>
    <rPh sb="12" eb="16">
      <t>ダンキゾンカベ</t>
    </rPh>
    <rPh sb="19" eb="20">
      <t>マ</t>
    </rPh>
    <rPh sb="21" eb="22">
      <t>ナカ</t>
    </rPh>
    <rPh sb="22" eb="23">
      <t>ヒ</t>
    </rPh>
    <rPh sb="24" eb="25">
      <t>ダ</t>
    </rPh>
    <rPh sb="26" eb="32">
      <t>セイタカイコウヒツヨウ</t>
    </rPh>
    <phoneticPr fontId="1"/>
  </si>
  <si>
    <t>高石 昌幸</t>
    <rPh sb="0" eb="2">
      <t>タカイシ</t>
    </rPh>
    <rPh sb="3" eb="4">
      <t>マサ</t>
    </rPh>
    <rPh sb="4" eb="5">
      <t>シアワ</t>
    </rPh>
    <phoneticPr fontId="1"/>
  </si>
  <si>
    <t>090-4596-0649</t>
    <phoneticPr fontId="1"/>
  </si>
  <si>
    <t>ｴﾌﾟﾛﾝ内点検口設置　乾燥機有→ラックでカバーつけるスペースない、水栓位置変えて真っ直ぐ立ち上げる　台所トラップ既存　洗面所の吊戸棚位置変わっている頭上注意　給湯器不良　浴室壁ヒビあり</t>
    <rPh sb="5" eb="11">
      <t>ナイテンケンコウセッチ</t>
    </rPh>
    <rPh sb="12" eb="16">
      <t>カンソウキアリ</t>
    </rPh>
    <rPh sb="34" eb="36">
      <t>スイセン</t>
    </rPh>
    <rPh sb="36" eb="38">
      <t>イチ</t>
    </rPh>
    <rPh sb="38" eb="39">
      <t>カ</t>
    </rPh>
    <rPh sb="41" eb="42">
      <t>マ</t>
    </rPh>
    <rPh sb="43" eb="44">
      <t>ス</t>
    </rPh>
    <rPh sb="45" eb="46">
      <t>タ</t>
    </rPh>
    <rPh sb="47" eb="48">
      <t>ア</t>
    </rPh>
    <rPh sb="51" eb="53">
      <t>ダイドコロ</t>
    </rPh>
    <rPh sb="57" eb="59">
      <t>キゾン</t>
    </rPh>
    <rPh sb="60" eb="63">
      <t>センメンジョ</t>
    </rPh>
    <rPh sb="64" eb="67">
      <t>ツリトダナ</t>
    </rPh>
    <rPh sb="68" eb="72">
      <t>カワッテ</t>
    </rPh>
    <rPh sb="74" eb="76">
      <t>ズジョウ</t>
    </rPh>
    <rPh sb="76" eb="78">
      <t>チュウイ</t>
    </rPh>
    <rPh sb="78" eb="79">
      <t>　</t>
    </rPh>
    <rPh sb="80" eb="82">
      <t>キュウトウキ</t>
    </rPh>
    <rPh sb="82" eb="84">
      <t>フリョウ</t>
    </rPh>
    <rPh sb="84" eb="85">
      <t>　</t>
    </rPh>
    <rPh sb="86" eb="87">
      <t>ヨクシツ</t>
    </rPh>
    <rPh sb="87" eb="88">
      <t>カベ</t>
    </rPh>
    <rPh sb="88" eb="90">
      <t>ヒビ</t>
    </rPh>
    <phoneticPr fontId="1"/>
  </si>
  <si>
    <t>飯塚 心男</t>
    <rPh sb="0" eb="2">
      <t>イイヅカ</t>
    </rPh>
    <rPh sb="3" eb="4">
      <t>ココロ</t>
    </rPh>
    <rPh sb="4" eb="5">
      <t>オトコ</t>
    </rPh>
    <phoneticPr fontId="1"/>
  </si>
  <si>
    <t>090-3348-6202</t>
    <phoneticPr fontId="1"/>
  </si>
  <si>
    <t>WFV1216JT・138X0W</t>
    <phoneticPr fontId="1"/>
  </si>
  <si>
    <t>エプロン内部材接続　給湯器造作カバー付き外せない点検口あり　ひな段真ん中引き出し開口かも</t>
    <rPh sb="4" eb="7">
      <t>ナイブザイ</t>
    </rPh>
    <rPh sb="7" eb="9">
      <t>セツゾク</t>
    </rPh>
    <rPh sb="10" eb="13">
      <t>キュウトウキ</t>
    </rPh>
    <rPh sb="13" eb="15">
      <t>ゾウサク</t>
    </rPh>
    <rPh sb="18" eb="19">
      <t>ツ</t>
    </rPh>
    <rPh sb="20" eb="21">
      <t>ハズ</t>
    </rPh>
    <rPh sb="24" eb="27">
      <t>テンケンコウ</t>
    </rPh>
    <rPh sb="32" eb="33">
      <t>ダン</t>
    </rPh>
    <rPh sb="33" eb="34">
      <t>マ</t>
    </rPh>
    <rPh sb="35" eb="36">
      <t>ナカ</t>
    </rPh>
    <rPh sb="36" eb="37">
      <t>ヒ</t>
    </rPh>
    <rPh sb="38" eb="39">
      <t>ダ</t>
    </rPh>
    <rPh sb="40" eb="42">
      <t>カイコウ</t>
    </rPh>
    <phoneticPr fontId="1"/>
  </si>
  <si>
    <t>小林 敬子</t>
    <rPh sb="0" eb="2">
      <t>コバヤシ</t>
    </rPh>
    <rPh sb="3" eb="5">
      <t>ケイコ</t>
    </rPh>
    <phoneticPr fontId="1"/>
  </si>
  <si>
    <t>048-686-4528</t>
    <phoneticPr fontId="1"/>
  </si>
  <si>
    <t>ｴﾌﾟﾛﾝ内点検口設置　ﾄｲﾚ止水栓ｽﾄﾚｰﾅｰ付　ひな段既存壁だし真ん中引き出し開口　給湯器造作カバー付き　洗濯パン洗面台によせる</t>
    <rPh sb="5" eb="11">
      <t>ナイテンケンコウセッチ</t>
    </rPh>
    <rPh sb="15" eb="18">
      <t>シスイセン</t>
    </rPh>
    <rPh sb="24" eb="25">
      <t>ツキ</t>
    </rPh>
    <rPh sb="28" eb="32">
      <t>ダンキゾンカベ</t>
    </rPh>
    <rPh sb="34" eb="35">
      <t>マ</t>
    </rPh>
    <rPh sb="36" eb="38">
      <t>ナカヒ</t>
    </rPh>
    <rPh sb="39" eb="40">
      <t>ダ</t>
    </rPh>
    <rPh sb="41" eb="43">
      <t>カイコウ</t>
    </rPh>
    <rPh sb="44" eb="47">
      <t>キュウトウキ</t>
    </rPh>
    <rPh sb="47" eb="49">
      <t>ゾウサク</t>
    </rPh>
    <rPh sb="52" eb="53">
      <t>ツ</t>
    </rPh>
    <rPh sb="55" eb="57">
      <t>センタク</t>
    </rPh>
    <rPh sb="59" eb="62">
      <t>センメンダイ</t>
    </rPh>
    <phoneticPr fontId="1"/>
  </si>
  <si>
    <t>多ケ谷 修</t>
    <rPh sb="0" eb="3">
      <t>タガヤ</t>
    </rPh>
    <rPh sb="4" eb="5">
      <t>オサム</t>
    </rPh>
    <phoneticPr fontId="1"/>
  </si>
  <si>
    <t>080-4408-9355</t>
    <phoneticPr fontId="1"/>
  </si>
  <si>
    <t>WYV1116JN・163X24</t>
    <phoneticPr fontId="1"/>
  </si>
  <si>
    <t>UB系統給水給湯更新済み床下接続　給湯管追い焚き管更新済み→給湯管残す　ひな段　ﾄｲﾚ止水栓ｽﾄﾚｰﾅｰ付</t>
    <rPh sb="2" eb="4">
      <t>ケイトウ</t>
    </rPh>
    <rPh sb="4" eb="8">
      <t>キュウスイキュウトウ</t>
    </rPh>
    <rPh sb="8" eb="10">
      <t>コウシン</t>
    </rPh>
    <rPh sb="10" eb="11">
      <t>ズ</t>
    </rPh>
    <rPh sb="12" eb="16">
      <t>ユカシタセツゾク</t>
    </rPh>
    <rPh sb="17" eb="20">
      <t>キュウトウカン</t>
    </rPh>
    <rPh sb="20" eb="21">
      <t>オ</t>
    </rPh>
    <rPh sb="22" eb="23">
      <t>ダ</t>
    </rPh>
    <rPh sb="24" eb="25">
      <t>カン</t>
    </rPh>
    <rPh sb="25" eb="28">
      <t>コウシンズ</t>
    </rPh>
    <rPh sb="30" eb="34">
      <t>キュウトウカンノコ</t>
    </rPh>
    <rPh sb="38" eb="39">
      <t>ダン</t>
    </rPh>
    <rPh sb="43" eb="46">
      <t>シスイセン</t>
    </rPh>
    <rPh sb="52" eb="53">
      <t>ツキ</t>
    </rPh>
    <phoneticPr fontId="1"/>
  </si>
  <si>
    <t>？</t>
    <phoneticPr fontId="1"/>
  </si>
  <si>
    <t>ｴﾌﾟﾛﾝ内点検口設置　トイレ壁既存壁紙に塗装してある　台所L型排水Sトラ根元まで配管更新するなら底板×2開口背板開口も　アメリカ住み16-103の人が鍵持っている連絡先は組合で　</t>
    <rPh sb="5" eb="11">
      <t>ナイテンケンコウセッチ</t>
    </rPh>
    <rPh sb="15" eb="16">
      <t>カベ</t>
    </rPh>
    <rPh sb="16" eb="20">
      <t>キゾンカベガミ</t>
    </rPh>
    <rPh sb="21" eb="23">
      <t>トソウ</t>
    </rPh>
    <rPh sb="28" eb="30">
      <t>ダイドコロ</t>
    </rPh>
    <rPh sb="31" eb="32">
      <t>ガタ</t>
    </rPh>
    <rPh sb="32" eb="34">
      <t>ハイスイ</t>
    </rPh>
    <rPh sb="37" eb="39">
      <t>ネモト</t>
    </rPh>
    <rPh sb="41" eb="45">
      <t>ハイカンコウシン</t>
    </rPh>
    <rPh sb="49" eb="51">
      <t>ソコイタ</t>
    </rPh>
    <rPh sb="53" eb="55">
      <t>カイコウ</t>
    </rPh>
    <rPh sb="55" eb="59">
      <t>セイタカイコウ</t>
    </rPh>
    <rPh sb="65" eb="66">
      <t>ス</t>
    </rPh>
    <rPh sb="74" eb="75">
      <t>ヒト</t>
    </rPh>
    <rPh sb="76" eb="78">
      <t>カギモ</t>
    </rPh>
    <rPh sb="82" eb="85">
      <t>レンラクサキ</t>
    </rPh>
    <rPh sb="86" eb="88">
      <t>クミアイ</t>
    </rPh>
    <phoneticPr fontId="1"/>
  </si>
  <si>
    <t>田村 禮子</t>
    <rPh sb="0" eb="2">
      <t>タムラ</t>
    </rPh>
    <rPh sb="3" eb="5">
      <t>レイコ</t>
    </rPh>
    <phoneticPr fontId="1"/>
  </si>
  <si>
    <t>048-686-4546
090-6038-2442</t>
    <phoneticPr fontId="1"/>
  </si>
  <si>
    <t>ｴﾌﾟﾛﾝ内点検口設置　台所トラップ既存　16-302の鍵持っている　台所に大きい棚ある移動</t>
    <rPh sb="5" eb="9">
      <t>ナイテンケンコウ</t>
    </rPh>
    <rPh sb="9" eb="11">
      <t>セッチ</t>
    </rPh>
    <rPh sb="12" eb="14">
      <t>ダイドコロ</t>
    </rPh>
    <rPh sb="18" eb="20">
      <t>キゾン</t>
    </rPh>
    <rPh sb="28" eb="29">
      <t>カギ</t>
    </rPh>
    <rPh sb="29" eb="30">
      <t>モ</t>
    </rPh>
    <rPh sb="35" eb="37">
      <t>ダイドコロ</t>
    </rPh>
    <rPh sb="38" eb="39">
      <t>オオ</t>
    </rPh>
    <rPh sb="41" eb="42">
      <t>タナ</t>
    </rPh>
    <rPh sb="44" eb="46">
      <t>イドウ</t>
    </rPh>
    <phoneticPr fontId="1"/>
  </si>
  <si>
    <t>渡辺 淳子</t>
    <rPh sb="0" eb="2">
      <t>ワタナベ</t>
    </rPh>
    <rPh sb="3" eb="5">
      <t>ジュンコ</t>
    </rPh>
    <phoneticPr fontId="1"/>
  </si>
  <si>
    <t>048-686-4566</t>
    <phoneticPr fontId="1"/>
  </si>
  <si>
    <t>WBV1117JT・193D08</t>
    <phoneticPr fontId="1"/>
  </si>
  <si>
    <t>エプロン内部材接続　ひな段　洗濯立ち上げスペース狭い→給水パン交換検討</t>
    <rPh sb="4" eb="7">
      <t>ナイブザイ</t>
    </rPh>
    <rPh sb="7" eb="9">
      <t>セツゾク</t>
    </rPh>
    <rPh sb="12" eb="13">
      <t>ダン</t>
    </rPh>
    <rPh sb="14" eb="16">
      <t>センタク</t>
    </rPh>
    <rPh sb="16" eb="17">
      <t>タ</t>
    </rPh>
    <rPh sb="18" eb="19">
      <t>ア</t>
    </rPh>
    <rPh sb="24" eb="25">
      <t>セマ</t>
    </rPh>
    <rPh sb="27" eb="29">
      <t>キュウスイ</t>
    </rPh>
    <rPh sb="31" eb="35">
      <t>コウカンケントウ</t>
    </rPh>
    <phoneticPr fontId="1"/>
  </si>
  <si>
    <t>宮﨑 勝昭</t>
    <rPh sb="0" eb="1">
      <t>ミヤ</t>
    </rPh>
    <rPh sb="1" eb="2">
      <t>サキ</t>
    </rPh>
    <rPh sb="3" eb="5">
      <t>カツアキ</t>
    </rPh>
    <phoneticPr fontId="1"/>
  </si>
  <si>
    <t>048-685-9596</t>
    <phoneticPr fontId="1"/>
  </si>
  <si>
    <t>W80959094・770471A
BKW-S1216LBP</t>
    <phoneticPr fontId="1"/>
  </si>
  <si>
    <t>エプロン内部材接続　底板SUS→ポリ復旧　OP洗面所器具内装リフォームしたい　トイレタオル掛けテープで固定されている</t>
    <rPh sb="4" eb="7">
      <t>ナイブザイ</t>
    </rPh>
    <rPh sb="7" eb="9">
      <t>セツゾク</t>
    </rPh>
    <rPh sb="10" eb="20">
      <t>ソコイタSUSミギポリフッキュウ</t>
    </rPh>
    <rPh sb="23" eb="25">
      <t>センメン</t>
    </rPh>
    <rPh sb="25" eb="26">
      <t>ジョ</t>
    </rPh>
    <rPh sb="26" eb="28">
      <t>キグ</t>
    </rPh>
    <rPh sb="28" eb="30">
      <t>ナイソウ</t>
    </rPh>
    <rPh sb="45" eb="46">
      <t>カ</t>
    </rPh>
    <rPh sb="51" eb="53">
      <t>コテイ</t>
    </rPh>
    <phoneticPr fontId="1"/>
  </si>
  <si>
    <t>市川 伸一</t>
    <rPh sb="0" eb="2">
      <t>イチカワ</t>
    </rPh>
    <rPh sb="3" eb="5">
      <t>シンイチ</t>
    </rPh>
    <phoneticPr fontId="1"/>
  </si>
  <si>
    <t>048-686-4525</t>
    <phoneticPr fontId="1"/>
  </si>
  <si>
    <t>WRV1117・1562BF</t>
    <phoneticPr fontId="1"/>
  </si>
  <si>
    <t>ｴﾌﾟﾛﾝ内部材接続　洗濯パン洗面台にずらす　底板SUS→ポリ復旧</t>
    <rPh sb="5" eb="10">
      <t>ナイブザイセツゾク</t>
    </rPh>
    <rPh sb="11" eb="13">
      <t>センタク</t>
    </rPh>
    <rPh sb="15" eb="18">
      <t>センメンダイ</t>
    </rPh>
    <rPh sb="23" eb="33">
      <t>ソコイタSUSミギポリフッキュウ</t>
    </rPh>
    <phoneticPr fontId="1"/>
  </si>
  <si>
    <t>中村 進</t>
    <rPh sb="0" eb="2">
      <t>ナカムラ</t>
    </rPh>
    <rPh sb="3" eb="4">
      <t>ススム</t>
    </rPh>
    <phoneticPr fontId="1"/>
  </si>
  <si>
    <t>048-686-4529</t>
    <phoneticPr fontId="1"/>
  </si>
  <si>
    <t>750+150ｷｬﾋﾞ</t>
    <phoneticPr fontId="1"/>
  </si>
  <si>
    <t>WZV1117・175768</t>
    <phoneticPr fontId="1"/>
  </si>
  <si>
    <t>ｴﾌﾟﾛﾝ内部材接続　ひな段既存壁だし　トイレ止水栓Ｄ式ｱﾝｸﾞㇽ</t>
    <rPh sb="5" eb="10">
      <t>ナイブザイセツゾク</t>
    </rPh>
    <rPh sb="13" eb="17">
      <t>ダンキゾンカベ</t>
    </rPh>
    <rPh sb="23" eb="26">
      <t>シスイセン</t>
    </rPh>
    <rPh sb="27" eb="28">
      <t>シキ</t>
    </rPh>
    <phoneticPr fontId="1"/>
  </si>
  <si>
    <t>矢島 俊一</t>
    <rPh sb="0" eb="2">
      <t>ヤジマ</t>
    </rPh>
    <rPh sb="3" eb="5">
      <t>シュンイチ</t>
    </rPh>
    <phoneticPr fontId="1"/>
  </si>
  <si>
    <t>090-1044-5743</t>
    <phoneticPr fontId="1"/>
  </si>
  <si>
    <t>WRV1117・15317W</t>
    <phoneticPr fontId="1"/>
  </si>
  <si>
    <t>エプロン内部材接続　ひな段既存壁だし　トイレ止水栓ｽﾄﾚｰﾅｰ付　給湯管追い焚き管更新済み→給湯管更新希望　トイレ棚上段ない</t>
    <rPh sb="4" eb="9">
      <t>ナイブザイセツゾク</t>
    </rPh>
    <rPh sb="12" eb="16">
      <t>ダンキゾンカベ</t>
    </rPh>
    <rPh sb="22" eb="25">
      <t>シスイセン</t>
    </rPh>
    <rPh sb="31" eb="32">
      <t>ツキ</t>
    </rPh>
    <rPh sb="33" eb="36">
      <t>キュウトウカン</t>
    </rPh>
    <rPh sb="36" eb="37">
      <t>オ</t>
    </rPh>
    <rPh sb="38" eb="39">
      <t>ダ</t>
    </rPh>
    <rPh sb="40" eb="44">
      <t>カンコウシンズ</t>
    </rPh>
    <rPh sb="46" eb="53">
      <t>キュウトウカンコウシンキボウ</t>
    </rPh>
    <rPh sb="57" eb="58">
      <t>タナ</t>
    </rPh>
    <rPh sb="58" eb="60">
      <t>ジョウダン</t>
    </rPh>
    <phoneticPr fontId="1"/>
  </si>
  <si>
    <t>石黒 典子</t>
    <rPh sb="0" eb="2">
      <t>イシグロ</t>
    </rPh>
    <rPh sb="3" eb="5">
      <t>ノリコ</t>
    </rPh>
    <phoneticPr fontId="1"/>
  </si>
  <si>
    <t>048-686-4519</t>
    <phoneticPr fontId="1"/>
  </si>
  <si>
    <t>浴室デッキタイプ洗面所壁点検口設置　底板SUS→ポリ復旧</t>
    <rPh sb="0" eb="2">
      <t>ヨクシツ</t>
    </rPh>
    <rPh sb="8" eb="15">
      <t>センメンジョカベテンケンコウ</t>
    </rPh>
    <rPh sb="15" eb="17">
      <t>セッチ</t>
    </rPh>
    <rPh sb="18" eb="28">
      <t>ソコイタSUSミギポリフッキュウ</t>
    </rPh>
    <phoneticPr fontId="1"/>
  </si>
  <si>
    <t>漢人 冨久代</t>
    <rPh sb="0" eb="2">
      <t>カンド</t>
    </rPh>
    <rPh sb="3" eb="4">
      <t>トミ</t>
    </rPh>
    <rPh sb="4" eb="5">
      <t>ヒサ</t>
    </rPh>
    <rPh sb="5" eb="6">
      <t>ヨ</t>
    </rPh>
    <phoneticPr fontId="1"/>
  </si>
  <si>
    <t>048-686-4506</t>
    <phoneticPr fontId="1"/>
  </si>
  <si>
    <t>WBV1117JT・132Y1S</t>
    <phoneticPr fontId="1"/>
  </si>
  <si>
    <t>底板SUS→ポリ復旧　トイレに床に設置するタイプの介護用手すり→毎日取付ける　95歳のおばあちゃん病院行く以外は在宅してくれる　台所排水ホーステープで巻かれている</t>
    <rPh sb="0" eb="10">
      <t>ソコイタSUSミギポリフッキュウ</t>
    </rPh>
    <rPh sb="15" eb="16">
      <t>ユカ</t>
    </rPh>
    <rPh sb="17" eb="19">
      <t>セッチ</t>
    </rPh>
    <rPh sb="25" eb="28">
      <t>カイゴヨウ</t>
    </rPh>
    <rPh sb="28" eb="29">
      <t>テ</t>
    </rPh>
    <rPh sb="32" eb="34">
      <t>マイニチ</t>
    </rPh>
    <rPh sb="34" eb="36">
      <t>トリツ</t>
    </rPh>
    <rPh sb="41" eb="42">
      <t>サイ</t>
    </rPh>
    <rPh sb="49" eb="52">
      <t>ビョウインイ</t>
    </rPh>
    <rPh sb="53" eb="55">
      <t>イガイ</t>
    </rPh>
    <rPh sb="56" eb="58">
      <t>ザイタク</t>
    </rPh>
    <rPh sb="64" eb="66">
      <t>ダイドコロ</t>
    </rPh>
    <rPh sb="66" eb="68">
      <t>ハイスイ</t>
    </rPh>
    <rPh sb="75" eb="76">
      <t>マ</t>
    </rPh>
    <phoneticPr fontId="1"/>
  </si>
  <si>
    <t>平野 泰之</t>
    <rPh sb="0" eb="2">
      <t>ヒラノ</t>
    </rPh>
    <rPh sb="3" eb="5">
      <t>ヤスユキ</t>
    </rPh>
    <phoneticPr fontId="1"/>
  </si>
  <si>
    <t>048-686-4790
080-5414-2580</t>
    <phoneticPr fontId="1"/>
  </si>
  <si>
    <t>部屋汚い特にトイレ　底板SUS→検討中(連絡なかったらポリ復旧OK)　浴室デッキタイプ洗面所壁点検口設置</t>
    <rPh sb="0" eb="2">
      <t>ヘヤ</t>
    </rPh>
    <rPh sb="2" eb="3">
      <t>キタナ</t>
    </rPh>
    <rPh sb="4" eb="5">
      <t>トク</t>
    </rPh>
    <rPh sb="10" eb="12">
      <t>ソコイタ</t>
    </rPh>
    <rPh sb="16" eb="19">
      <t>ケントウチュウ</t>
    </rPh>
    <rPh sb="20" eb="22">
      <t>レンラク</t>
    </rPh>
    <rPh sb="29" eb="31">
      <t>フッキュウ</t>
    </rPh>
    <rPh sb="35" eb="37">
      <t>ヨクシツ</t>
    </rPh>
    <rPh sb="43" eb="52">
      <t>センメンジョカベテンケンコウセッチ</t>
    </rPh>
    <phoneticPr fontId="1"/>
  </si>
  <si>
    <t>大西 豊彦</t>
    <rPh sb="0" eb="2">
      <t>オオニシ</t>
    </rPh>
    <rPh sb="3" eb="5">
      <t>トヨヒコ</t>
    </rPh>
    <phoneticPr fontId="1"/>
  </si>
  <si>
    <t>048-812-8598
090-6701-3733</t>
    <phoneticPr fontId="1"/>
  </si>
  <si>
    <t>WBV1117JT・1512E8</t>
    <phoneticPr fontId="1"/>
  </si>
  <si>
    <t>エプロン内部材接続　台所トラップ既存　OP台所水栓交換、WLなくして暖房便座にしたい</t>
    <rPh sb="4" eb="9">
      <t>ナイブザイセツゾク</t>
    </rPh>
    <rPh sb="10" eb="12">
      <t>ダイドコロ</t>
    </rPh>
    <rPh sb="16" eb="18">
      <t>キゾン</t>
    </rPh>
    <rPh sb="21" eb="23">
      <t>ダイドコロ</t>
    </rPh>
    <rPh sb="23" eb="25">
      <t>スイセン</t>
    </rPh>
    <rPh sb="25" eb="27">
      <t>コウカン</t>
    </rPh>
    <rPh sb="34" eb="38">
      <t>ダンボウベンザ</t>
    </rPh>
    <phoneticPr fontId="1"/>
  </si>
  <si>
    <t>森 喜美子</t>
    <rPh sb="0" eb="1">
      <t>モリ</t>
    </rPh>
    <rPh sb="2" eb="5">
      <t>キミコ</t>
    </rPh>
    <phoneticPr fontId="1"/>
  </si>
  <si>
    <t>080-9366-6145</t>
    <phoneticPr fontId="1"/>
  </si>
  <si>
    <t>630×630</t>
    <phoneticPr fontId="1"/>
  </si>
  <si>
    <t>タカラスタンダード</t>
    <phoneticPr fontId="1"/>
  </si>
  <si>
    <t>システムバスミーナ</t>
    <phoneticPr fontId="1"/>
  </si>
  <si>
    <t>リフォームされている　配管どこまで変わっているか確認する　洗濯と台所は既存管と接続　OPレストパル、壁エコカラットにしたい</t>
    <rPh sb="11" eb="13">
      <t>ハイカン</t>
    </rPh>
    <rPh sb="17" eb="18">
      <t>カ</t>
    </rPh>
    <rPh sb="24" eb="26">
      <t>カクニン</t>
    </rPh>
    <rPh sb="29" eb="31">
      <t>センタク</t>
    </rPh>
    <rPh sb="32" eb="34">
      <t>ダイドコロ</t>
    </rPh>
    <rPh sb="35" eb="38">
      <t>キゾンカン</t>
    </rPh>
    <rPh sb="39" eb="41">
      <t>セツゾク</t>
    </rPh>
    <rPh sb="50" eb="51">
      <t>カベ</t>
    </rPh>
    <phoneticPr fontId="1"/>
  </si>
  <si>
    <t>上田 泰正</t>
    <rPh sb="0" eb="2">
      <t>ウエダ</t>
    </rPh>
    <rPh sb="3" eb="5">
      <t>タイセイ</t>
    </rPh>
    <phoneticPr fontId="1"/>
  </si>
  <si>
    <t>048-687-8523
090-5776-523</t>
    <phoneticPr fontId="1"/>
  </si>
  <si>
    <t>JZV1117・143568</t>
    <phoneticPr fontId="1"/>
  </si>
  <si>
    <t>浴室デッキタイプ洗面所壁点検口設置　台所トラップ既存　トイレ止水栓Ｄ式ｱﾝｸﾞㇽ　ＯＰ洗面台交換、洗面所クロス貼替希望</t>
    <rPh sb="0" eb="2">
      <t>ヨクシツ</t>
    </rPh>
    <rPh sb="8" eb="15">
      <t>センメンジョカベテンケンコウ</t>
    </rPh>
    <rPh sb="15" eb="17">
      <t>セッチ</t>
    </rPh>
    <rPh sb="18" eb="20">
      <t>ダイドコロ</t>
    </rPh>
    <rPh sb="24" eb="26">
      <t>キゾン</t>
    </rPh>
    <rPh sb="30" eb="33">
      <t>シスイセン</t>
    </rPh>
    <rPh sb="34" eb="35">
      <t>シキ</t>
    </rPh>
    <rPh sb="43" eb="48">
      <t>センメンダイコウカン</t>
    </rPh>
    <rPh sb="49" eb="52">
      <t>センメ</t>
    </rPh>
    <rPh sb="55" eb="57">
      <t>ハリカエ</t>
    </rPh>
    <rPh sb="57" eb="59">
      <t>キボウ</t>
    </rPh>
    <phoneticPr fontId="1"/>
  </si>
  <si>
    <t>田中 宏幸</t>
    <rPh sb="0" eb="2">
      <t>タナカ</t>
    </rPh>
    <rPh sb="3" eb="4">
      <t>ヒロ</t>
    </rPh>
    <rPh sb="4" eb="5">
      <t>サチ</t>
    </rPh>
    <phoneticPr fontId="1"/>
  </si>
  <si>
    <t>048-686-4666
090-9826-4011</t>
    <phoneticPr fontId="1"/>
  </si>
  <si>
    <t>WHV1116UT・177HWK</t>
    <phoneticPr fontId="1"/>
  </si>
  <si>
    <t>エプロン外すとスラブ直　ﾄｲﾚ止水栓ｽﾄﾚｰﾅｰ付　底板SUS→ポリ復旧　追い焚き管見える範囲は更新済み</t>
    <rPh sb="4" eb="5">
      <t>ハズ</t>
    </rPh>
    <rPh sb="10" eb="11">
      <t>チョク</t>
    </rPh>
    <rPh sb="15" eb="18">
      <t>シスイセン</t>
    </rPh>
    <rPh sb="24" eb="25">
      <t>ツキ</t>
    </rPh>
    <rPh sb="26" eb="36">
      <t>ソコイタSUSミギポリフッキュウ</t>
    </rPh>
    <rPh sb="37" eb="38">
      <t>オ</t>
    </rPh>
    <rPh sb="39" eb="40">
      <t>ダ</t>
    </rPh>
    <rPh sb="41" eb="42">
      <t>カン</t>
    </rPh>
    <rPh sb="42" eb="43">
      <t>ミ</t>
    </rPh>
    <rPh sb="45" eb="47">
      <t>ハンイ</t>
    </rPh>
    <rPh sb="48" eb="51">
      <t>コウシンズ</t>
    </rPh>
    <phoneticPr fontId="1"/>
  </si>
  <si>
    <t>小畠 将洋</t>
    <rPh sb="0" eb="2">
      <t>コバタケ</t>
    </rPh>
    <rPh sb="3" eb="5">
      <t>マサヒロ</t>
    </rPh>
    <phoneticPr fontId="1"/>
  </si>
  <si>
    <t>090-1612-2819</t>
    <phoneticPr fontId="1"/>
  </si>
  <si>
    <t>W80880287・137115A
BW-1116LBE</t>
    <phoneticPr fontId="1"/>
  </si>
  <si>
    <t>浴槽点検口から作業可能　ひな段、真ん中引き出し開口必要かも　トイレ壁3面残し解体面のみ貼替　洗面所旧給湯器置き場ライニングあり</t>
    <rPh sb="0" eb="2">
      <t>ヨクソウ</t>
    </rPh>
    <rPh sb="2" eb="5">
      <t>テンケンコウ</t>
    </rPh>
    <rPh sb="7" eb="9">
      <t>サギョウ</t>
    </rPh>
    <rPh sb="9" eb="11">
      <t>カノウ</t>
    </rPh>
    <rPh sb="14" eb="15">
      <t>ダン</t>
    </rPh>
    <rPh sb="16" eb="17">
      <t>マ</t>
    </rPh>
    <rPh sb="18" eb="20">
      <t>ナカヒ</t>
    </rPh>
    <rPh sb="21" eb="22">
      <t>ダ</t>
    </rPh>
    <rPh sb="23" eb="25">
      <t>カイコウ</t>
    </rPh>
    <rPh sb="25" eb="27">
      <t>ヒツヨウ</t>
    </rPh>
    <rPh sb="33" eb="34">
      <t>カベ</t>
    </rPh>
    <rPh sb="35" eb="37">
      <t>メンノコ</t>
    </rPh>
    <rPh sb="38" eb="41">
      <t>カイタイメン</t>
    </rPh>
    <rPh sb="43" eb="45">
      <t>ハリカエ</t>
    </rPh>
    <rPh sb="46" eb="49">
      <t>センメンジョ</t>
    </rPh>
    <rPh sb="49" eb="50">
      <t>キュウ</t>
    </rPh>
    <rPh sb="50" eb="53">
      <t>キュウトウキ</t>
    </rPh>
    <rPh sb="53" eb="54">
      <t>オ</t>
    </rPh>
    <rPh sb="55" eb="56">
      <t>バ</t>
    </rPh>
    <phoneticPr fontId="1"/>
  </si>
  <si>
    <t>小川 彪</t>
    <rPh sb="0" eb="2">
      <t>オガワ</t>
    </rPh>
    <rPh sb="3" eb="4">
      <t>トラ</t>
    </rPh>
    <phoneticPr fontId="1"/>
  </si>
  <si>
    <t>048-686-4500</t>
    <phoneticPr fontId="1"/>
  </si>
  <si>
    <t>WBV1117JT・13154Y</t>
    <phoneticPr fontId="1"/>
  </si>
  <si>
    <t>浴室鏡裏開口　ﾄｲﾚ止水栓ｽﾄﾚｰﾅｰ付　台所トラップ既存　給水付き洗濯パンに交換しないのなら洗面台に寄せる　隠蔽配管希望　内装カタログから選定要見積</t>
    <rPh sb="0" eb="2">
      <t>ヨクシツ</t>
    </rPh>
    <rPh sb="2" eb="6">
      <t>カガミウラカイコウ</t>
    </rPh>
    <rPh sb="10" eb="13">
      <t>シスイセン</t>
    </rPh>
    <rPh sb="19" eb="20">
      <t>ツキ</t>
    </rPh>
    <rPh sb="21" eb="23">
      <t>ダイドコロ</t>
    </rPh>
    <rPh sb="27" eb="29">
      <t>キゾン</t>
    </rPh>
    <rPh sb="30" eb="33">
      <t>キュウスイツ</t>
    </rPh>
    <rPh sb="34" eb="36">
      <t>センタク</t>
    </rPh>
    <rPh sb="39" eb="41">
      <t>コウカン</t>
    </rPh>
    <rPh sb="47" eb="50">
      <t>センメンダイ</t>
    </rPh>
    <rPh sb="51" eb="52">
      <t>ヨ</t>
    </rPh>
    <rPh sb="55" eb="59">
      <t>インペ</t>
    </rPh>
    <rPh sb="59" eb="61">
      <t>キボウ</t>
    </rPh>
    <rPh sb="62" eb="64">
      <t>ナイソウ</t>
    </rPh>
    <rPh sb="70" eb="72">
      <t>センテイ</t>
    </rPh>
    <rPh sb="72" eb="73">
      <t>ヨウ</t>
    </rPh>
    <rPh sb="73" eb="75">
      <t>ミツモリ</t>
    </rPh>
    <phoneticPr fontId="1"/>
  </si>
  <si>
    <t>宮川 守</t>
    <rPh sb="0" eb="2">
      <t>ミヤカワ</t>
    </rPh>
    <rPh sb="3" eb="4">
      <t>マモ</t>
    </rPh>
    <phoneticPr fontId="1"/>
  </si>
  <si>
    <t>048-686-4501
090-5192-1801</t>
    <phoneticPr fontId="1"/>
  </si>
  <si>
    <t>WYV1116JN・182SF1</t>
    <phoneticPr fontId="1"/>
  </si>
  <si>
    <t>エプロン内部材接続　ひな段既存壁だし　隠蔽配管希望給水付き洗濯パン交換検討要見積　廊下床カーペット再使用　給湯器造作カバー付き外せる　ﾄｲﾚ止水栓ｽﾄﾚｰﾅｰ付</t>
    <rPh sb="4" eb="9">
      <t>ナイブザイセツゾク</t>
    </rPh>
    <rPh sb="12" eb="16">
      <t>ダンキゾンカベ</t>
    </rPh>
    <rPh sb="19" eb="25">
      <t>インペイハイカンキボウ</t>
    </rPh>
    <rPh sb="25" eb="28">
      <t>キュウスイツ</t>
    </rPh>
    <rPh sb="29" eb="31">
      <t>センタク</t>
    </rPh>
    <rPh sb="33" eb="37">
      <t>コウカンケントウ</t>
    </rPh>
    <rPh sb="37" eb="38">
      <t>ヨウ</t>
    </rPh>
    <rPh sb="38" eb="40">
      <t>ミツモリ</t>
    </rPh>
    <rPh sb="41" eb="43">
      <t>ロウカ</t>
    </rPh>
    <rPh sb="43" eb="44">
      <t>ユカ</t>
    </rPh>
    <rPh sb="49" eb="52">
      <t>サイシヨウ</t>
    </rPh>
    <rPh sb="53" eb="56">
      <t>キュウトウキ</t>
    </rPh>
    <rPh sb="56" eb="58">
      <t>ゾウサク</t>
    </rPh>
    <rPh sb="61" eb="62">
      <t>ツ</t>
    </rPh>
    <rPh sb="63" eb="64">
      <t>ハズ</t>
    </rPh>
    <rPh sb="70" eb="73">
      <t>シスイセン</t>
    </rPh>
    <rPh sb="79" eb="80">
      <t>ツキ</t>
    </rPh>
    <phoneticPr fontId="1"/>
  </si>
  <si>
    <t>下山 洋子</t>
    <rPh sb="0" eb="2">
      <t>シモヤマ</t>
    </rPh>
    <rPh sb="3" eb="5">
      <t>ヨウコ</t>
    </rPh>
    <phoneticPr fontId="1"/>
  </si>
  <si>
    <t>090-4595-3922</t>
    <phoneticPr fontId="1"/>
  </si>
  <si>
    <t>JZV1117・141050</t>
    <phoneticPr fontId="1"/>
  </si>
  <si>
    <t>ｴﾌﾟﾛﾝ内点検口設置　ﾄｲﾚ止水栓Ｄ式ｱﾝｸﾞㇽ　底板SUS→ポリ復旧　洗濯モール立ち上げスペースない→洗面台と洗濯パンずらす、洗面台横の棚おけなくなるOK　空家状態売却はせず貸出予定　入居者決まったら連絡もらうきまらなかったら仮復旧無し鍵取付　近くに住んでいるためお知らせはポスト投函</t>
    <rPh sb="5" eb="11">
      <t>ナイテンケンコウセッチ</t>
    </rPh>
    <rPh sb="15" eb="18">
      <t>シスイセン</t>
    </rPh>
    <rPh sb="19" eb="20">
      <t>シキ</t>
    </rPh>
    <rPh sb="26" eb="36">
      <t>ソコイタSUSミギポリフッキュウ</t>
    </rPh>
    <rPh sb="37" eb="39">
      <t>センタク</t>
    </rPh>
    <rPh sb="42" eb="43">
      <t>タ</t>
    </rPh>
    <rPh sb="44" eb="45">
      <t>ア</t>
    </rPh>
    <rPh sb="53" eb="56">
      <t>センメンダイ</t>
    </rPh>
    <rPh sb="57" eb="59">
      <t>センタク</t>
    </rPh>
    <rPh sb="65" eb="68">
      <t>センメンダイ</t>
    </rPh>
    <rPh sb="68" eb="69">
      <t>ヨコ</t>
    </rPh>
    <rPh sb="70" eb="71">
      <t>タナ</t>
    </rPh>
    <rPh sb="80" eb="82">
      <t>アキヤ</t>
    </rPh>
    <rPh sb="82" eb="84">
      <t>ジョウタイ</t>
    </rPh>
    <rPh sb="84" eb="86">
      <t>バイキャク</t>
    </rPh>
    <rPh sb="89" eb="93">
      <t>カシダシヨテイ</t>
    </rPh>
    <rPh sb="94" eb="98">
      <t>ニュウキョシャキ</t>
    </rPh>
    <rPh sb="102" eb="104">
      <t>レンラク</t>
    </rPh>
    <rPh sb="115" eb="119">
      <t>カリフッキュウナ</t>
    </rPh>
    <rPh sb="120" eb="123">
      <t>カギトリツケ</t>
    </rPh>
    <rPh sb="124" eb="125">
      <t>チカ</t>
    </rPh>
    <rPh sb="127" eb="128">
      <t>ス</t>
    </rPh>
    <rPh sb="135" eb="136">
      <t>シ</t>
    </rPh>
    <rPh sb="142" eb="144">
      <t>トウカン</t>
    </rPh>
    <phoneticPr fontId="1"/>
  </si>
  <si>
    <t>寺崎 美恵子</t>
    <rPh sb="0" eb="2">
      <t>テラサキ</t>
    </rPh>
    <rPh sb="3" eb="6">
      <t>ミエコ</t>
    </rPh>
    <phoneticPr fontId="1"/>
  </si>
  <si>
    <t>090-1462-4391</t>
    <phoneticPr fontId="1"/>
  </si>
  <si>
    <t>W6V1216AT・1850F6</t>
    <phoneticPr fontId="1"/>
  </si>
  <si>
    <t>ｴﾌﾟﾛﾝ内部材接続　洗濯パン洗面台によせる　台所トラップ既存　</t>
    <rPh sb="5" eb="6">
      <t>ナイ</t>
    </rPh>
    <rPh sb="6" eb="9">
      <t>ブザイセツ</t>
    </rPh>
    <rPh sb="9" eb="10">
      <t>ゾク</t>
    </rPh>
    <rPh sb="11" eb="13">
      <t>センタク</t>
    </rPh>
    <rPh sb="15" eb="18">
      <t>センメンダイ</t>
    </rPh>
    <rPh sb="23" eb="25">
      <t>ダイドコロ</t>
    </rPh>
    <rPh sb="29" eb="31">
      <t>キゾン</t>
    </rPh>
    <phoneticPr fontId="1"/>
  </si>
  <si>
    <t>相葉 忠彦</t>
    <rPh sb="0" eb="2">
      <t>アイバ</t>
    </rPh>
    <rPh sb="3" eb="5">
      <t>タダヒコ</t>
    </rPh>
    <phoneticPr fontId="1"/>
  </si>
  <si>
    <t>048-684-1540</t>
    <phoneticPr fontId="1"/>
  </si>
  <si>
    <t>WYV1116JT・14386G</t>
    <phoneticPr fontId="1"/>
  </si>
  <si>
    <t>ｴﾌﾟﾛﾝ内部材接続　露出するの嫌→給水付き洗濯パン検討、隠蔽配管希望　トイレ止水栓ストレーナー付き　トイレタンクレス後ろ少し浮いているらしい　トイレ壁品番待ち　CFは厚めのもの希望　台所トラップ既存</t>
    <rPh sb="5" eb="8">
      <t>ナイブザイ</t>
    </rPh>
    <rPh sb="8" eb="10">
      <t>セツゾク</t>
    </rPh>
    <rPh sb="11" eb="13">
      <t>ロシュツ</t>
    </rPh>
    <rPh sb="16" eb="17">
      <t>イヤ</t>
    </rPh>
    <rPh sb="18" eb="21">
      <t>キュウスイツ</t>
    </rPh>
    <rPh sb="22" eb="24">
      <t>センタク</t>
    </rPh>
    <rPh sb="26" eb="28">
      <t>ケントウ</t>
    </rPh>
    <rPh sb="29" eb="33">
      <t>インペイハイカン</t>
    </rPh>
    <rPh sb="33" eb="35">
      <t>キボウ</t>
    </rPh>
    <rPh sb="39" eb="42">
      <t>シスイセン</t>
    </rPh>
    <rPh sb="48" eb="49">
      <t>ツ</t>
    </rPh>
    <rPh sb="59" eb="60">
      <t>ウシ</t>
    </rPh>
    <rPh sb="61" eb="62">
      <t>スコ</t>
    </rPh>
    <rPh sb="63" eb="64">
      <t>ウ</t>
    </rPh>
    <rPh sb="75" eb="76">
      <t>カベ</t>
    </rPh>
    <rPh sb="76" eb="77">
      <t>ヒン</t>
    </rPh>
    <rPh sb="77" eb="78">
      <t>バン</t>
    </rPh>
    <rPh sb="78" eb="79">
      <t>マ</t>
    </rPh>
    <rPh sb="84" eb="85">
      <t>アツ</t>
    </rPh>
    <rPh sb="89" eb="91">
      <t>キボウ</t>
    </rPh>
    <rPh sb="92" eb="94">
      <t>ダイドコロ</t>
    </rPh>
    <rPh sb="98" eb="100">
      <t>キゾン</t>
    </rPh>
    <phoneticPr fontId="1"/>
  </si>
  <si>
    <t>白幡 研二</t>
    <rPh sb="0" eb="1">
      <t>シロ</t>
    </rPh>
    <rPh sb="3" eb="5">
      <t>ケンジ</t>
    </rPh>
    <phoneticPr fontId="1"/>
  </si>
  <si>
    <t>048-686-4786
080-2394-4073</t>
    <phoneticPr fontId="1"/>
  </si>
  <si>
    <t>浴室デッキタイプ洗面所壁点検口設置　台所トラップ既存　</t>
    <rPh sb="0" eb="2">
      <t>ヨクシツ</t>
    </rPh>
    <rPh sb="8" eb="17">
      <t>センメンジョカベテンケンコウセッチ</t>
    </rPh>
    <rPh sb="18" eb="20">
      <t>ダイドコロ</t>
    </rPh>
    <rPh sb="24" eb="26">
      <t>キゾン</t>
    </rPh>
    <phoneticPr fontId="1"/>
  </si>
  <si>
    <t>柴田 史真子</t>
    <rPh sb="0" eb="2">
      <t>シバタ</t>
    </rPh>
    <rPh sb="3" eb="4">
      <t>シ</t>
    </rPh>
    <rPh sb="4" eb="5">
      <t>マ</t>
    </rPh>
    <rPh sb="5" eb="6">
      <t>コ</t>
    </rPh>
    <phoneticPr fontId="1"/>
  </si>
  <si>
    <t>090-4452-4649</t>
    <phoneticPr fontId="1"/>
  </si>
  <si>
    <t>WYV1116JT・131J0Y</t>
    <phoneticPr fontId="1"/>
  </si>
  <si>
    <t>エプロン内部材接続　洗面所床コルクタイル→CF選定　洗濯パン無し→新規取付検討　</t>
    <rPh sb="4" eb="8">
      <t>ナイブザイセツ</t>
    </rPh>
    <rPh sb="8" eb="9">
      <t>ゾク</t>
    </rPh>
    <rPh sb="10" eb="13">
      <t>センメンジョ</t>
    </rPh>
    <rPh sb="13" eb="14">
      <t>ユカ</t>
    </rPh>
    <rPh sb="23" eb="25">
      <t>センテイ</t>
    </rPh>
    <rPh sb="26" eb="28">
      <t>センタク</t>
    </rPh>
    <rPh sb="30" eb="31">
      <t>ナ</t>
    </rPh>
    <rPh sb="33" eb="37">
      <t>シンキトリツケ</t>
    </rPh>
    <rPh sb="37" eb="39">
      <t>ケントウ</t>
    </rPh>
    <phoneticPr fontId="1"/>
  </si>
  <si>
    <t>鈴木 博</t>
    <rPh sb="0" eb="2">
      <t>スズキ</t>
    </rPh>
    <rPh sb="3" eb="4">
      <t>ヒロシ</t>
    </rPh>
    <phoneticPr fontId="1"/>
  </si>
  <si>
    <t>048-686-4503</t>
    <phoneticPr fontId="1"/>
  </si>
  <si>
    <t>WBV1117JT・185024</t>
    <phoneticPr fontId="1"/>
  </si>
  <si>
    <t>黒石 佳伸</t>
    <rPh sb="0" eb="2">
      <t>クロイシ</t>
    </rPh>
    <rPh sb="3" eb="5">
      <t>ヨシノブ</t>
    </rPh>
    <phoneticPr fontId="1"/>
  </si>
  <si>
    <t>048-686-4507</t>
    <phoneticPr fontId="1"/>
  </si>
  <si>
    <t>WBV1117JT・188LX7</t>
    <phoneticPr fontId="1"/>
  </si>
  <si>
    <t>洗面所壁点検口設置　ひな段　追い焚き管無し湿気ヤバイ</t>
    <rPh sb="0" eb="4">
      <t>センメンジョカベ</t>
    </rPh>
    <rPh sb="4" eb="9">
      <t>テンケンコウセッチ</t>
    </rPh>
    <rPh sb="12" eb="13">
      <t>ダン</t>
    </rPh>
    <rPh sb="14" eb="15">
      <t>オ</t>
    </rPh>
    <rPh sb="16" eb="17">
      <t>ダ</t>
    </rPh>
    <rPh sb="18" eb="20">
      <t>カンナ</t>
    </rPh>
    <rPh sb="21" eb="23">
      <t>シッケ</t>
    </rPh>
    <phoneticPr fontId="1"/>
  </si>
  <si>
    <t>鄭</t>
    <rPh sb="0" eb="1">
      <t>テイ</t>
    </rPh>
    <phoneticPr fontId="1"/>
  </si>
  <si>
    <t>048-686-8065
090-8849-6568</t>
    <phoneticPr fontId="1"/>
  </si>
  <si>
    <t>ｴﾌﾟﾛﾝ内点検口設置　トイレ床二重床　ひな段正面開口</t>
    <rPh sb="5" eb="6">
      <t>ナイ</t>
    </rPh>
    <rPh sb="6" eb="11">
      <t>テンケンコウセッチ</t>
    </rPh>
    <rPh sb="15" eb="16">
      <t>ユカ</t>
    </rPh>
    <rPh sb="16" eb="19">
      <t>ニジュウユカ</t>
    </rPh>
    <rPh sb="22" eb="24">
      <t>ショウメン</t>
    </rPh>
    <rPh sb="24" eb="26">
      <t>カイコウ</t>
    </rPh>
    <phoneticPr fontId="1"/>
  </si>
  <si>
    <t>松原 弘</t>
    <rPh sb="0" eb="2">
      <t>マツバラ</t>
    </rPh>
    <rPh sb="3" eb="4">
      <t>ヒロシ</t>
    </rPh>
    <phoneticPr fontId="1"/>
  </si>
  <si>
    <t>048-686-4508</t>
    <phoneticPr fontId="1"/>
  </si>
  <si>
    <t>WTV1116JN・152G00</t>
    <phoneticPr fontId="1"/>
  </si>
  <si>
    <t>隠蔽配管希望　エプロン内部材接続　トイレ止水栓ｽﾄﾚｰﾅｰ付　洗濯パン洗面台に寄せる(モール露出OK)　台所トラップ既存</t>
    <rPh sb="0" eb="2">
      <t>インペイ</t>
    </rPh>
    <rPh sb="2" eb="4">
      <t>ハイカン</t>
    </rPh>
    <rPh sb="4" eb="6">
      <t>キボウ</t>
    </rPh>
    <rPh sb="11" eb="15">
      <t>ナイブザイセツ</t>
    </rPh>
    <rPh sb="15" eb="16">
      <t>ゾク</t>
    </rPh>
    <rPh sb="20" eb="23">
      <t>シスイセン</t>
    </rPh>
    <rPh sb="29" eb="30">
      <t>ツキ</t>
    </rPh>
    <rPh sb="31" eb="33">
      <t>センタク</t>
    </rPh>
    <rPh sb="35" eb="38">
      <t>センメンダイ</t>
    </rPh>
    <rPh sb="39" eb="40">
      <t>ヨ</t>
    </rPh>
    <rPh sb="46" eb="48">
      <t>ロシュツ</t>
    </rPh>
    <rPh sb="52" eb="54">
      <t>ダイドコロ</t>
    </rPh>
    <rPh sb="58" eb="60">
      <t>キゾン</t>
    </rPh>
    <phoneticPr fontId="1"/>
  </si>
  <si>
    <t>新発田 里子</t>
    <rPh sb="0" eb="1">
      <t>シン</t>
    </rPh>
    <rPh sb="1" eb="3">
      <t>ハツダ</t>
    </rPh>
    <rPh sb="4" eb="6">
      <t>サトコ</t>
    </rPh>
    <phoneticPr fontId="1"/>
  </si>
  <si>
    <t>048-686-4516</t>
    <phoneticPr fontId="1"/>
  </si>
  <si>
    <t>ｴﾌﾟﾛﾝ内点検口設置　ひな段既存壁だし　トイレ洗面所床FL→CF貼替OK　</t>
    <rPh sb="5" eb="6">
      <t>ナイ</t>
    </rPh>
    <rPh sb="6" eb="11">
      <t>テンケンコウセッチ</t>
    </rPh>
    <rPh sb="14" eb="18">
      <t>ダンキゾンカベ</t>
    </rPh>
    <rPh sb="24" eb="27">
      <t>センメンジョ</t>
    </rPh>
    <rPh sb="27" eb="28">
      <t>ユカ</t>
    </rPh>
    <rPh sb="33" eb="35">
      <t>ハリカエ</t>
    </rPh>
    <phoneticPr fontId="1"/>
  </si>
  <si>
    <t>川添 大輔</t>
    <rPh sb="0" eb="2">
      <t>カワゾエ</t>
    </rPh>
    <rPh sb="3" eb="5">
      <t>ダイスケ</t>
    </rPh>
    <phoneticPr fontId="1"/>
  </si>
  <si>
    <t>080-5695-5032</t>
    <phoneticPr fontId="1"/>
  </si>
  <si>
    <t>無</t>
    <rPh sb="0" eb="1">
      <t>ナ</t>
    </rPh>
    <phoneticPr fontId="1"/>
  </si>
  <si>
    <t>クロス</t>
    <phoneticPr fontId="1"/>
  </si>
  <si>
    <t>CF</t>
    <phoneticPr fontId="1"/>
  </si>
  <si>
    <t>浴室デッキタイプ洗面所壁点検口設置　洗濯パン洗面台にずらす　住んでいないが週1～2でくる　給湯器故障中→工事前に修理したほうが良いと伝えた　台所トラップ既存</t>
    <rPh sb="0" eb="2">
      <t>ヨクシツ</t>
    </rPh>
    <rPh sb="8" eb="17">
      <t>センメンジョカベテンケンコウセッチ</t>
    </rPh>
    <rPh sb="18" eb="20">
      <t>センタク</t>
    </rPh>
    <rPh sb="22" eb="25">
      <t>センメンダイ</t>
    </rPh>
    <rPh sb="30" eb="31">
      <t>ス</t>
    </rPh>
    <rPh sb="37" eb="38">
      <t>シュウ</t>
    </rPh>
    <rPh sb="45" eb="48">
      <t>キュウトウキ</t>
    </rPh>
    <rPh sb="48" eb="50">
      <t>コショウ</t>
    </rPh>
    <rPh sb="50" eb="51">
      <t>チュウ</t>
    </rPh>
    <rPh sb="52" eb="55">
      <t>コウジマエ</t>
    </rPh>
    <rPh sb="56" eb="58">
      <t>シュウリ</t>
    </rPh>
    <rPh sb="63" eb="64">
      <t>ヨ</t>
    </rPh>
    <rPh sb="66" eb="67">
      <t>ツタ</t>
    </rPh>
    <rPh sb="70" eb="72">
      <t>ダイドコロ</t>
    </rPh>
    <rPh sb="76" eb="78">
      <t>キゾン</t>
    </rPh>
    <phoneticPr fontId="1"/>
  </si>
  <si>
    <t>西宮 豊</t>
    <rPh sb="0" eb="2">
      <t>ニシミヤ</t>
    </rPh>
    <rPh sb="3" eb="4">
      <t>ユタカ</t>
    </rPh>
    <phoneticPr fontId="1"/>
  </si>
  <si>
    <t>090-4061-1208</t>
    <phoneticPr fontId="1"/>
  </si>
  <si>
    <t>可</t>
    <rPh sb="0" eb="1">
      <t>カ</t>
    </rPh>
    <phoneticPr fontId="1"/>
  </si>
  <si>
    <t>無</t>
    <phoneticPr fontId="1"/>
  </si>
  <si>
    <t>W80930502・311791A
BP-1116」SBZE2</t>
    <phoneticPr fontId="1"/>
  </si>
  <si>
    <t>ｴﾌﾟﾛﾝ内点検口設置　ひな段　玄関収納内塗装→ベニヤ復旧OK　小さい子供がいるインターホン鳴らさないようにと玄関に張り紙あり　給湯器中確認できず</t>
    <rPh sb="5" eb="9">
      <t>ナイテンケンコウ</t>
    </rPh>
    <rPh sb="9" eb="11">
      <t>セッチ</t>
    </rPh>
    <rPh sb="14" eb="15">
      <t>ダン</t>
    </rPh>
    <rPh sb="16" eb="21">
      <t>ゲンカンシュウノウナイ</t>
    </rPh>
    <rPh sb="21" eb="23">
      <t>トソウ</t>
    </rPh>
    <rPh sb="27" eb="29">
      <t>フッキュウ</t>
    </rPh>
    <rPh sb="32" eb="33">
      <t>チイ</t>
    </rPh>
    <rPh sb="35" eb="37">
      <t>コドモ</t>
    </rPh>
    <rPh sb="46" eb="47">
      <t>ナ</t>
    </rPh>
    <rPh sb="55" eb="57">
      <t>ゲンカン</t>
    </rPh>
    <rPh sb="58" eb="59">
      <t>ハ</t>
    </rPh>
    <rPh sb="60" eb="61">
      <t>ガミ</t>
    </rPh>
    <rPh sb="64" eb="68">
      <t>キュウトウキナカ</t>
    </rPh>
    <rPh sb="68" eb="70">
      <t>カクニン</t>
    </rPh>
    <phoneticPr fontId="1"/>
  </si>
  <si>
    <t>小島 文一</t>
    <rPh sb="0" eb="2">
      <t>コジマ</t>
    </rPh>
    <rPh sb="3" eb="4">
      <t>フミ</t>
    </rPh>
    <rPh sb="4" eb="5">
      <t>イチ</t>
    </rPh>
    <phoneticPr fontId="1"/>
  </si>
  <si>
    <t>048-686-4524
090-1851-0123</t>
    <phoneticPr fontId="1"/>
  </si>
  <si>
    <t>WRV1117・153635</t>
    <phoneticPr fontId="1"/>
  </si>
  <si>
    <t>エプロン内部材接続　ひな段既存壁だし　2005年にリフォーム済み器具廻りだけ更新→通常工事　隠蔽配管検討中(基本ルート希望)</t>
    <rPh sb="4" eb="8">
      <t>ナイブザイセツ</t>
    </rPh>
    <rPh sb="8" eb="9">
      <t>ゾク</t>
    </rPh>
    <rPh sb="12" eb="16">
      <t>ダンキゾンカベ</t>
    </rPh>
    <rPh sb="23" eb="24">
      <t>ネン</t>
    </rPh>
    <rPh sb="30" eb="31">
      <t>ズ</t>
    </rPh>
    <rPh sb="32" eb="35">
      <t>キグマワ</t>
    </rPh>
    <rPh sb="38" eb="40">
      <t>コウシン</t>
    </rPh>
    <rPh sb="41" eb="45">
      <t>ツウジョウコウジ</t>
    </rPh>
    <rPh sb="46" eb="50">
      <t>インペイハイカン</t>
    </rPh>
    <rPh sb="50" eb="53">
      <t>ケントウチュウ</t>
    </rPh>
    <rPh sb="54" eb="56">
      <t>キホン</t>
    </rPh>
    <rPh sb="59" eb="61">
      <t>キボウ</t>
    </rPh>
    <phoneticPr fontId="1"/>
  </si>
  <si>
    <t>竹林 洋子</t>
    <rPh sb="0" eb="2">
      <t>タケバヤシ</t>
    </rPh>
    <rPh sb="3" eb="5">
      <t>ヨウコ</t>
    </rPh>
    <phoneticPr fontId="1"/>
  </si>
  <si>
    <t>048-685-9186</t>
    <phoneticPr fontId="1"/>
  </si>
  <si>
    <t>WBV1117JN・131FAJ</t>
    <phoneticPr fontId="1"/>
  </si>
  <si>
    <t>浴室壁開口して新規鏡取付or既存管接続　底板SUS→ポリ復旧　OP内装貼替、給水付き洗濯パン検討中　隠蔽配管希望　内装カタログから　過去に漏水したことある洗面所床点検口あり無くしていい</t>
    <rPh sb="0" eb="2">
      <t>ヨクシツ</t>
    </rPh>
    <rPh sb="2" eb="5">
      <t>カベカイコウ</t>
    </rPh>
    <rPh sb="7" eb="10">
      <t>シンキカガミ</t>
    </rPh>
    <rPh sb="10" eb="12">
      <t>トリツケ</t>
    </rPh>
    <rPh sb="14" eb="17">
      <t>キゾンカン</t>
    </rPh>
    <rPh sb="17" eb="19">
      <t>セツゾク</t>
    </rPh>
    <rPh sb="20" eb="30">
      <t>ソコイタSUSミギポリフッキュウ</t>
    </rPh>
    <rPh sb="33" eb="35">
      <t>ナイソウ</t>
    </rPh>
    <rPh sb="35" eb="37">
      <t>ハリカエ</t>
    </rPh>
    <rPh sb="38" eb="41">
      <t>キュウスイツ</t>
    </rPh>
    <rPh sb="42" eb="44">
      <t>センタク</t>
    </rPh>
    <rPh sb="46" eb="49">
      <t>ケントウチュウ</t>
    </rPh>
    <rPh sb="50" eb="56">
      <t>インペイハイカンキボウ</t>
    </rPh>
    <rPh sb="57" eb="59">
      <t>ナイソウ</t>
    </rPh>
    <rPh sb="66" eb="68">
      <t>カコ</t>
    </rPh>
    <rPh sb="69" eb="71">
      <t>ロウスイ</t>
    </rPh>
    <rPh sb="77" eb="80">
      <t>センメンジョ</t>
    </rPh>
    <rPh sb="80" eb="81">
      <t>ユカ</t>
    </rPh>
    <rPh sb="81" eb="84">
      <t>テンケンコウ</t>
    </rPh>
    <rPh sb="86" eb="87">
      <t>ナ</t>
    </rPh>
    <phoneticPr fontId="1"/>
  </si>
  <si>
    <t>関根</t>
    <rPh sb="0" eb="2">
      <t>セキネ</t>
    </rPh>
    <phoneticPr fontId="1"/>
  </si>
  <si>
    <t>090-4067-7054</t>
    <phoneticPr fontId="1"/>
  </si>
  <si>
    <t>WRV1117・159R1U</t>
    <phoneticPr fontId="1"/>
  </si>
  <si>
    <t>3月に引っ越す、東日本住宅管理かも　給湯管追い焚き管更新済み→給湯管残すか更新か未定　洗濯パン洗面台右にずらしてﾓｰﾙ立ち上げ　ひな段既存壁だし　エプロン内部材接続</t>
    <rPh sb="1" eb="2">
      <t>ガツ</t>
    </rPh>
    <rPh sb="3" eb="4">
      <t>ヒ</t>
    </rPh>
    <rPh sb="5" eb="6">
      <t>コ</t>
    </rPh>
    <rPh sb="8" eb="11">
      <t>ヒガシニホン</t>
    </rPh>
    <rPh sb="11" eb="13">
      <t>ジュウタク</t>
    </rPh>
    <rPh sb="13" eb="15">
      <t>カンリ</t>
    </rPh>
    <rPh sb="18" eb="21">
      <t>キュウトウカン</t>
    </rPh>
    <rPh sb="21" eb="22">
      <t>オ</t>
    </rPh>
    <rPh sb="23" eb="34">
      <t>ダキカンコウシンズミミギキュウトウカン</t>
    </rPh>
    <rPh sb="34" eb="35">
      <t>ノコ</t>
    </rPh>
    <rPh sb="37" eb="39">
      <t>コウシン</t>
    </rPh>
    <rPh sb="40" eb="42">
      <t>ミテイ</t>
    </rPh>
    <rPh sb="43" eb="45">
      <t>センタク</t>
    </rPh>
    <rPh sb="47" eb="50">
      <t>センメンダイ</t>
    </rPh>
    <rPh sb="50" eb="51">
      <t>ミギ</t>
    </rPh>
    <rPh sb="59" eb="60">
      <t>タ</t>
    </rPh>
    <rPh sb="61" eb="62">
      <t>ア</t>
    </rPh>
    <rPh sb="66" eb="70">
      <t>ダンキゾンカベ</t>
    </rPh>
    <rPh sb="77" eb="82">
      <t>ナイブザイセツゾク</t>
    </rPh>
    <phoneticPr fontId="1"/>
  </si>
  <si>
    <t>伊藤 恭子</t>
    <rPh sb="0" eb="2">
      <t>イトウ</t>
    </rPh>
    <rPh sb="3" eb="5">
      <t>キョウコ</t>
    </rPh>
    <phoneticPr fontId="1"/>
  </si>
  <si>
    <t>048-685-9285</t>
    <phoneticPr fontId="1"/>
  </si>
  <si>
    <t>浴室デッキタイプ洗面所壁点検口設置　洗濯パン洗面台によせる　ﾄｲﾚ止水栓Ｄ式ｱﾝｸﾞㇽ　アコーディオンカーテン壊れている　洗面台ボウルひび割れ　台所トラップ既存　廊下床鳴り</t>
    <rPh sb="0" eb="2">
      <t>ヨクシツ</t>
    </rPh>
    <rPh sb="8" eb="17">
      <t>センメンジョカベテンケンコウセッチ</t>
    </rPh>
    <rPh sb="18" eb="20">
      <t>センタク</t>
    </rPh>
    <rPh sb="22" eb="25">
      <t>センメンダイ</t>
    </rPh>
    <rPh sb="33" eb="36">
      <t>シスイセン</t>
    </rPh>
    <rPh sb="37" eb="38">
      <t>シキ</t>
    </rPh>
    <rPh sb="55" eb="56">
      <t>コワ</t>
    </rPh>
    <rPh sb="61" eb="64">
      <t>センメンダイ</t>
    </rPh>
    <rPh sb="69" eb="70">
      <t>ワ</t>
    </rPh>
    <rPh sb="72" eb="74">
      <t>ダイドコロ</t>
    </rPh>
    <rPh sb="78" eb="80">
      <t>キゾン</t>
    </rPh>
    <rPh sb="81" eb="83">
      <t>ロウカ</t>
    </rPh>
    <rPh sb="83" eb="85">
      <t>ユカナ</t>
    </rPh>
    <phoneticPr fontId="1"/>
  </si>
  <si>
    <t>阿部 洋子</t>
    <rPh sb="0" eb="2">
      <t>アベ</t>
    </rPh>
    <rPh sb="3" eb="5">
      <t>ヨウコ</t>
    </rPh>
    <phoneticPr fontId="1"/>
  </si>
  <si>
    <t>様</t>
    <rPh sb="0" eb="1">
      <t>サマ</t>
    </rPh>
    <phoneticPr fontId="1"/>
  </si>
  <si>
    <t>090-2418-7262</t>
    <phoneticPr fontId="1"/>
  </si>
  <si>
    <t>漆喰</t>
    <rPh sb="0" eb="2">
      <t>シックイ</t>
    </rPh>
    <phoneticPr fontId="1"/>
  </si>
  <si>
    <t>JZC1117・174708</t>
    <phoneticPr fontId="1"/>
  </si>
  <si>
    <t>洗面台キッチン交換検討　ｴﾌﾟﾛﾝ内点検口設置　台所トラップ既存　</t>
    <rPh sb="0" eb="3">
      <t>センメンダイ</t>
    </rPh>
    <rPh sb="7" eb="9">
      <t>コウカン</t>
    </rPh>
    <rPh sb="9" eb="11">
      <t>ケントウ</t>
    </rPh>
    <rPh sb="17" eb="23">
      <t>ナイテンケンコウセッチ</t>
    </rPh>
    <rPh sb="24" eb="26">
      <t>ダイドコロ</t>
    </rPh>
    <rPh sb="30" eb="32">
      <t>キゾン</t>
    </rPh>
    <phoneticPr fontId="1"/>
  </si>
  <si>
    <t>島崎 征介</t>
    <rPh sb="0" eb="2">
      <t>シマザキ</t>
    </rPh>
    <rPh sb="3" eb="4">
      <t>セイ</t>
    </rPh>
    <rPh sb="4" eb="5">
      <t>スケ</t>
    </rPh>
    <phoneticPr fontId="1"/>
  </si>
  <si>
    <t>048-685-3180</t>
    <phoneticPr fontId="1"/>
  </si>
  <si>
    <t>洗面台交換検討　ｴﾌﾟﾛﾝ内点検口設置、鏡パネル外せるかも　台所トラップ既存　洗濯機二層式　乾燥機あり　TES配管つながっているが未使用</t>
    <rPh sb="0" eb="3">
      <t>センメンダイ</t>
    </rPh>
    <rPh sb="3" eb="5">
      <t>コウカン</t>
    </rPh>
    <rPh sb="5" eb="7">
      <t>ケントウ</t>
    </rPh>
    <rPh sb="13" eb="19">
      <t>ナイテンケンコウセッチ</t>
    </rPh>
    <rPh sb="20" eb="21">
      <t>カガミ</t>
    </rPh>
    <rPh sb="24" eb="25">
      <t>ハズ</t>
    </rPh>
    <rPh sb="30" eb="32">
      <t>ダイドコロ</t>
    </rPh>
    <rPh sb="36" eb="38">
      <t>キゾン</t>
    </rPh>
    <rPh sb="39" eb="42">
      <t>センタクキ</t>
    </rPh>
    <rPh sb="42" eb="45">
      <t>ニソウシキ</t>
    </rPh>
    <rPh sb="46" eb="49">
      <t>カンソウキ</t>
    </rPh>
    <rPh sb="55" eb="57">
      <t>ハイカン</t>
    </rPh>
    <rPh sb="65" eb="68">
      <t>ミシヨウ</t>
    </rPh>
    <phoneticPr fontId="1"/>
  </si>
  <si>
    <t>天野 さおり</t>
    <rPh sb="0" eb="2">
      <t>アマノ</t>
    </rPh>
    <phoneticPr fontId="1"/>
  </si>
  <si>
    <t>048-685-8124</t>
    <phoneticPr fontId="1"/>
  </si>
  <si>
    <t>Panasonic</t>
    <phoneticPr fontId="1"/>
  </si>
  <si>
    <t>浴室鏡裏開口　隠蔽配管検討中、OPアンケート来なかったら基本ルート　ひな段　犬2匹</t>
    <rPh sb="0" eb="2">
      <t>ヨクシツ</t>
    </rPh>
    <rPh sb="2" eb="6">
      <t>カガミウラカイコウ</t>
    </rPh>
    <rPh sb="7" eb="14">
      <t>インペイハイカンケントウチュウ</t>
    </rPh>
    <rPh sb="22" eb="23">
      <t>コ</t>
    </rPh>
    <rPh sb="28" eb="30">
      <t>キホン</t>
    </rPh>
    <rPh sb="36" eb="37">
      <t>ダン</t>
    </rPh>
    <rPh sb="38" eb="39">
      <t>イヌ</t>
    </rPh>
    <rPh sb="40" eb="41">
      <t>ヒキ</t>
    </rPh>
    <phoneticPr fontId="1"/>
  </si>
  <si>
    <t>森 亜津子</t>
    <rPh sb="0" eb="1">
      <t>モリ</t>
    </rPh>
    <rPh sb="2" eb="5">
      <t>アツコ</t>
    </rPh>
    <phoneticPr fontId="1"/>
  </si>
  <si>
    <t>090-4413-4111</t>
    <phoneticPr fontId="1"/>
  </si>
  <si>
    <t>浴室デッキタイプ洗面所壁点検口設置　洗濯パン洗面台によせる　台所トラップ既存　家主病気で空家、荷物ないため片付けOK　電気契約中　お知らせは郵送する</t>
    <rPh sb="0" eb="2">
      <t>ヨクシツ</t>
    </rPh>
    <rPh sb="8" eb="17">
      <t>センメンジョカベテンケンコウセッチ</t>
    </rPh>
    <rPh sb="18" eb="20">
      <t>センタク</t>
    </rPh>
    <rPh sb="22" eb="25">
      <t>センメンダイ</t>
    </rPh>
    <rPh sb="30" eb="32">
      <t>ダイドコロ</t>
    </rPh>
    <rPh sb="36" eb="38">
      <t>キゾン</t>
    </rPh>
    <rPh sb="39" eb="41">
      <t>ヤヌシ</t>
    </rPh>
    <rPh sb="41" eb="43">
      <t>ビョウキ</t>
    </rPh>
    <rPh sb="44" eb="46">
      <t>アキヤ</t>
    </rPh>
    <rPh sb="47" eb="49">
      <t>ニモツ</t>
    </rPh>
    <rPh sb="53" eb="55">
      <t>カタヅ</t>
    </rPh>
    <rPh sb="59" eb="61">
      <t>デンキ</t>
    </rPh>
    <rPh sb="61" eb="64">
      <t>ケイヤクチュウ</t>
    </rPh>
    <rPh sb="66" eb="67">
      <t>シ</t>
    </rPh>
    <rPh sb="70" eb="72">
      <t>ユウソウ</t>
    </rPh>
    <phoneticPr fontId="1"/>
  </si>
  <si>
    <t>角田 愛子</t>
    <rPh sb="0" eb="2">
      <t>ツノダ</t>
    </rPh>
    <rPh sb="3" eb="5">
      <t>アイコ</t>
    </rPh>
    <phoneticPr fontId="1"/>
  </si>
  <si>
    <t>048-688-4890</t>
    <phoneticPr fontId="1"/>
  </si>
  <si>
    <t>WGV1116JT・192LKK</t>
    <phoneticPr fontId="1"/>
  </si>
  <si>
    <t>浴室内部材接続　底板SUS→ポリ復旧　洗濯機ドラム式</t>
    <rPh sb="0" eb="2">
      <t>ヨクシツ</t>
    </rPh>
    <rPh sb="2" eb="3">
      <t>ナイ</t>
    </rPh>
    <rPh sb="3" eb="5">
      <t>ブザイ</t>
    </rPh>
    <rPh sb="5" eb="7">
      <t>セツゾク</t>
    </rPh>
    <rPh sb="8" eb="10">
      <t>ソコイタ</t>
    </rPh>
    <rPh sb="16" eb="18">
      <t>フッキュウ</t>
    </rPh>
    <rPh sb="19" eb="22">
      <t>センタクキ</t>
    </rPh>
    <rPh sb="25" eb="26">
      <t>シキ</t>
    </rPh>
    <phoneticPr fontId="1"/>
  </si>
  <si>
    <t>天野 昌紀</t>
    <rPh sb="0" eb="2">
      <t>アマノ</t>
    </rPh>
    <rPh sb="3" eb="5">
      <t>マサキ</t>
    </rPh>
    <phoneticPr fontId="1"/>
  </si>
  <si>
    <t>048-686-4509
080-1002-3931</t>
    <phoneticPr fontId="1"/>
  </si>
  <si>
    <t>W80990590・186728A
BP-1116SBZE2</t>
    <phoneticPr fontId="1"/>
  </si>
  <si>
    <t>浴室鏡開口　キッチン既存壁だし排水も　</t>
    <rPh sb="0" eb="2">
      <t>ヨクシツ</t>
    </rPh>
    <rPh sb="2" eb="3">
      <t>カガミ</t>
    </rPh>
    <rPh sb="3" eb="5">
      <t>カイコウ</t>
    </rPh>
    <rPh sb="10" eb="12">
      <t>キゾン</t>
    </rPh>
    <rPh sb="12" eb="13">
      <t>カベ</t>
    </rPh>
    <rPh sb="15" eb="17">
      <t>ハイスイ</t>
    </rPh>
    <phoneticPr fontId="1"/>
  </si>
  <si>
    <t>伊藤 経六</t>
    <rPh sb="0" eb="2">
      <t>イトウ</t>
    </rPh>
    <rPh sb="3" eb="4">
      <t>ケイ</t>
    </rPh>
    <rPh sb="4" eb="5">
      <t>ロク</t>
    </rPh>
    <phoneticPr fontId="1"/>
  </si>
  <si>
    <t>048-685-9285</t>
    <phoneticPr fontId="1"/>
  </si>
  <si>
    <t>浴室デッキタイプ洗面所壁点検口設置　底板SUS→ポリ復旧　洗濯機おいていない　パン洗面台によせる　荷物が多い　13-501に母親住んでいる</t>
    <rPh sb="0" eb="2">
      <t>ヨクシツ</t>
    </rPh>
    <rPh sb="8" eb="17">
      <t>センメンジョカベテンケンコウセッチ</t>
    </rPh>
    <rPh sb="18" eb="28">
      <t>ソコイタSUSミギポリフッキュウ</t>
    </rPh>
    <rPh sb="29" eb="32">
      <t>センタクキ</t>
    </rPh>
    <rPh sb="41" eb="44">
      <t>センメンダイ</t>
    </rPh>
    <rPh sb="49" eb="51">
      <t>ニモツ</t>
    </rPh>
    <rPh sb="52" eb="53">
      <t>オオ</t>
    </rPh>
    <rPh sb="62" eb="64">
      <t>ハハオヤ</t>
    </rPh>
    <rPh sb="64" eb="65">
      <t>ス</t>
    </rPh>
    <phoneticPr fontId="1"/>
  </si>
  <si>
    <t>富永 博子</t>
    <rPh sb="0" eb="2">
      <t>トミナガ</t>
    </rPh>
    <rPh sb="3" eb="5">
      <t>ヒロコ</t>
    </rPh>
    <phoneticPr fontId="1"/>
  </si>
  <si>
    <t>090-6798-3896</t>
    <phoneticPr fontId="1"/>
  </si>
  <si>
    <t>WRV1117・160VX3</t>
    <phoneticPr fontId="1"/>
  </si>
  <si>
    <t>洗面所壁に点検口再使用する　乾燥機あり洗濯パン洗面台によせる　給湯管追い焚き管更新済み→更新希望　OP洗面所の棚撤去処分希望　ひな段</t>
    <rPh sb="0" eb="4">
      <t>センメンジョカベ</t>
    </rPh>
    <rPh sb="5" eb="8">
      <t>テンケンコウ</t>
    </rPh>
    <rPh sb="8" eb="11">
      <t>サイシヨウ</t>
    </rPh>
    <rPh sb="14" eb="17">
      <t>カンソウキ</t>
    </rPh>
    <rPh sb="19" eb="21">
      <t>センタク</t>
    </rPh>
    <rPh sb="23" eb="26">
      <t>センメンダイ</t>
    </rPh>
    <rPh sb="31" eb="34">
      <t>キュウトウカン</t>
    </rPh>
    <rPh sb="34" eb="35">
      <t>オ</t>
    </rPh>
    <rPh sb="36" eb="37">
      <t>ダ</t>
    </rPh>
    <rPh sb="38" eb="42">
      <t>カンコウシンズ</t>
    </rPh>
    <rPh sb="44" eb="48">
      <t>コウシンキボウ</t>
    </rPh>
    <rPh sb="51" eb="54">
      <t>センメンジョ</t>
    </rPh>
    <rPh sb="55" eb="56">
      <t>タナ</t>
    </rPh>
    <rPh sb="56" eb="58">
      <t>テッキョ</t>
    </rPh>
    <rPh sb="58" eb="62">
      <t>ショブンキボウ</t>
    </rPh>
    <rPh sb="65" eb="66">
      <t>ダン</t>
    </rPh>
    <phoneticPr fontId="1"/>
  </si>
  <si>
    <t>糸井 和子</t>
    <rPh sb="0" eb="2">
      <t>イトイ</t>
    </rPh>
    <rPh sb="3" eb="5">
      <t>カズコ</t>
    </rPh>
    <phoneticPr fontId="1"/>
  </si>
  <si>
    <t>048-686-4517</t>
    <phoneticPr fontId="1"/>
  </si>
  <si>
    <t>WBV1117JN・1722J9</t>
    <phoneticPr fontId="1"/>
  </si>
  <si>
    <t>洗面所壁点検口設置　ひな段既存壁だし　立ち上げスペース電気カバーある→給水付き洗濯パンにしていただくOPで　玄関壁珪藻土</t>
    <rPh sb="0" eb="4">
      <t>センメンジョカベ</t>
    </rPh>
    <rPh sb="4" eb="9">
      <t>テンケンコウセッチ</t>
    </rPh>
    <rPh sb="12" eb="13">
      <t>ダン</t>
    </rPh>
    <rPh sb="13" eb="16">
      <t>キゾンカベ</t>
    </rPh>
    <rPh sb="19" eb="20">
      <t>タ</t>
    </rPh>
    <rPh sb="21" eb="22">
      <t>ア</t>
    </rPh>
    <rPh sb="27" eb="29">
      <t>デンキ</t>
    </rPh>
    <rPh sb="35" eb="37">
      <t>キュウスイ</t>
    </rPh>
    <rPh sb="37" eb="38">
      <t>ツ</t>
    </rPh>
    <rPh sb="39" eb="41">
      <t>センタク</t>
    </rPh>
    <rPh sb="54" eb="56">
      <t>ゲンカン</t>
    </rPh>
    <rPh sb="56" eb="57">
      <t>カベ</t>
    </rPh>
    <rPh sb="57" eb="60">
      <t>ケイソウド</t>
    </rPh>
    <phoneticPr fontId="1"/>
  </si>
  <si>
    <t>井出 きよ子</t>
    <rPh sb="0" eb="2">
      <t>イデ</t>
    </rPh>
    <rPh sb="5" eb="6">
      <t>コ</t>
    </rPh>
    <phoneticPr fontId="1"/>
  </si>
  <si>
    <t>048-685-4195</t>
    <phoneticPr fontId="1"/>
  </si>
  <si>
    <t>WBV1117JT・168WDY</t>
    <phoneticPr fontId="1"/>
  </si>
  <si>
    <t>鏡裏開口　洗濯パン洗面台によせる　底板SUS→ポリ復旧　トイレ止水栓Ｄ式ｱﾝｸﾞㇽ　玄関廊下床カーペットの上にCFはっている</t>
    <rPh sb="0" eb="4">
      <t>カガミウラカイコウ</t>
    </rPh>
    <rPh sb="5" eb="7">
      <t>センタク</t>
    </rPh>
    <rPh sb="9" eb="12">
      <t>センメンダイ</t>
    </rPh>
    <rPh sb="17" eb="27">
      <t>ソコイタSUSミギポリフッキュウ</t>
    </rPh>
    <rPh sb="31" eb="34">
      <t>シスイセン</t>
    </rPh>
    <rPh sb="35" eb="36">
      <t>シキ</t>
    </rPh>
    <rPh sb="42" eb="44">
      <t>ゲンカン</t>
    </rPh>
    <rPh sb="44" eb="46">
      <t>ロウカ</t>
    </rPh>
    <rPh sb="46" eb="47">
      <t>ユカ</t>
    </rPh>
    <rPh sb="53" eb="54">
      <t>ウエ</t>
    </rPh>
    <phoneticPr fontId="1"/>
  </si>
  <si>
    <t>丸谷 博</t>
    <rPh sb="0" eb="2">
      <t>マルヤ</t>
    </rPh>
    <rPh sb="3" eb="4">
      <t>ヒロシ</t>
    </rPh>
    <phoneticPr fontId="1"/>
  </si>
  <si>
    <t>048-686-2628</t>
    <phoneticPr fontId="1"/>
  </si>
  <si>
    <t>WBV1117JT・174VNP</t>
    <phoneticPr fontId="1"/>
  </si>
  <si>
    <t>小川 寅司郎</t>
    <rPh sb="0" eb="2">
      <t>オガワ</t>
    </rPh>
    <rPh sb="3" eb="4">
      <t>トラ</t>
    </rPh>
    <rPh sb="4" eb="6">
      <t>シロウ</t>
    </rPh>
    <phoneticPr fontId="1"/>
  </si>
  <si>
    <t>048-686-1604</t>
    <phoneticPr fontId="1"/>
  </si>
  <si>
    <t>山田 直子</t>
    <rPh sb="0" eb="2">
      <t>ヤマダ</t>
    </rPh>
    <rPh sb="3" eb="5">
      <t>ナオコ</t>
    </rPh>
    <phoneticPr fontId="1"/>
  </si>
  <si>
    <t>048-686-9624
090-6178-0407</t>
    <phoneticPr fontId="1"/>
  </si>
  <si>
    <t>W80950794・567155A
BKW-1116LBP</t>
    <phoneticPr fontId="1"/>
  </si>
  <si>
    <t>ひな段　洗濯パンと洗面台ずらす　ｴﾌﾟﾛﾝ内部材接続</t>
    <rPh sb="2" eb="3">
      <t>ダン</t>
    </rPh>
    <rPh sb="4" eb="6">
      <t>センタク</t>
    </rPh>
    <rPh sb="9" eb="12">
      <t>センメンダイ</t>
    </rPh>
    <rPh sb="21" eb="26">
      <t>ナイブザイセツゾク</t>
    </rPh>
    <phoneticPr fontId="1"/>
  </si>
  <si>
    <t>浴室ｴﾌﾟﾛﾝ内点検口設置　台所背板底板木目の板→ポリ復旧OK　洗面床上がっている30年前にリフォームしたときこうなったらしい　工事期間中はホテル滞在予定　浴室壁タイル</t>
    <rPh sb="0" eb="2">
      <t>ヨクシツ</t>
    </rPh>
    <rPh sb="7" eb="8">
      <t>ナイ</t>
    </rPh>
    <rPh sb="10" eb="12">
      <t>セッチ</t>
    </rPh>
    <rPh sb="12" eb="13">
      <t>　</t>
    </rPh>
    <rPh sb="14" eb="15">
      <t>ダイドコロ</t>
    </rPh>
    <rPh sb="15" eb="17">
      <t>セイタ</t>
    </rPh>
    <rPh sb="16" eb="18">
      <t>セイタ</t>
    </rPh>
    <rPh sb="18" eb="20">
      <t>ソコイタ</t>
    </rPh>
    <rPh sb="20" eb="22">
      <t>モクメ</t>
    </rPh>
    <rPh sb="23" eb="24">
      <t>イタ</t>
    </rPh>
    <rPh sb="27" eb="29">
      <t>フッキュウ</t>
    </rPh>
    <rPh sb="32" eb="34">
      <t>センメン</t>
    </rPh>
    <rPh sb="34" eb="35">
      <t>ユカ</t>
    </rPh>
    <rPh sb="35" eb="36">
      <t>ア</t>
    </rPh>
    <rPh sb="43" eb="45">
      <t>ネンマエ</t>
    </rPh>
    <rPh sb="64" eb="66">
      <t>コウジ</t>
    </rPh>
    <rPh sb="66" eb="69">
      <t>キカンチュウ</t>
    </rPh>
    <rPh sb="73" eb="75">
      <t>タイザイ</t>
    </rPh>
    <rPh sb="75" eb="77">
      <t>ヨテイ</t>
    </rPh>
    <rPh sb="78" eb="80">
      <t>ヨクシツ</t>
    </rPh>
    <rPh sb="80" eb="81">
      <t>カベ</t>
    </rPh>
    <phoneticPr fontId="1"/>
  </si>
  <si>
    <t>小池 敦子</t>
    <rPh sb="0" eb="2">
      <t>コイケ</t>
    </rPh>
    <rPh sb="3" eb="5">
      <t>アツコ</t>
    </rPh>
    <phoneticPr fontId="1"/>
  </si>
  <si>
    <t>048-876-9304
090-4837-6339</t>
    <phoneticPr fontId="1"/>
  </si>
  <si>
    <t>740-450</t>
    <phoneticPr fontId="1"/>
  </si>
  <si>
    <t>WYV1116JT・179E2J</t>
    <phoneticPr fontId="1"/>
  </si>
  <si>
    <t>浴室リフォームしたばかり床下接続が難しい場合は鏡裏開口　給湯器下造作カバー付き配管分の穴開けるか、前にずらすか　トイレ内装後日カタログ選定猫注意　ひな段</t>
    <rPh sb="0" eb="2">
      <t>ヨクシツ</t>
    </rPh>
    <rPh sb="12" eb="14">
      <t>ユカシタ</t>
    </rPh>
    <rPh sb="14" eb="16">
      <t>セツゾク</t>
    </rPh>
    <rPh sb="17" eb="18">
      <t>ムズカ</t>
    </rPh>
    <rPh sb="20" eb="22">
      <t>バアイ</t>
    </rPh>
    <rPh sb="23" eb="24">
      <t>カガミ</t>
    </rPh>
    <rPh sb="24" eb="25">
      <t>ウラ</t>
    </rPh>
    <rPh sb="25" eb="27">
      <t>カイコウ</t>
    </rPh>
    <rPh sb="28" eb="31">
      <t>キュウトウキ</t>
    </rPh>
    <rPh sb="31" eb="32">
      <t>シタ</t>
    </rPh>
    <rPh sb="32" eb="34">
      <t>ゾウサク</t>
    </rPh>
    <rPh sb="37" eb="38">
      <t>ツ</t>
    </rPh>
    <rPh sb="39" eb="41">
      <t>ハイカン</t>
    </rPh>
    <rPh sb="41" eb="42">
      <t>ブン</t>
    </rPh>
    <rPh sb="43" eb="44">
      <t>アナ</t>
    </rPh>
    <rPh sb="44" eb="45">
      <t>ヒラ</t>
    </rPh>
    <rPh sb="49" eb="50">
      <t>マエ</t>
    </rPh>
    <rPh sb="59" eb="61">
      <t>ナイソウ</t>
    </rPh>
    <rPh sb="61" eb="63">
      <t>ゴジツ</t>
    </rPh>
    <rPh sb="67" eb="69">
      <t>センテイ</t>
    </rPh>
    <rPh sb="69" eb="70">
      <t>ネコ</t>
    </rPh>
    <rPh sb="70" eb="72">
      <t>チュウイ</t>
    </rPh>
    <rPh sb="75" eb="76">
      <t>ダン</t>
    </rPh>
    <phoneticPr fontId="1"/>
  </si>
  <si>
    <t>見山 史香</t>
    <rPh sb="0" eb="2">
      <t>ミヤマ</t>
    </rPh>
    <rPh sb="3" eb="4">
      <t>シ</t>
    </rPh>
    <rPh sb="4" eb="5">
      <t>カ</t>
    </rPh>
    <phoneticPr fontId="1"/>
  </si>
  <si>
    <t>048-686-1543
080-4985-0310</t>
    <phoneticPr fontId="1"/>
  </si>
  <si>
    <t>WBV1117JT・19497J</t>
    <phoneticPr fontId="1"/>
  </si>
  <si>
    <t>鏡裏開口　洗面所壁点検口あり　洗濯パン交換提案　給湯管追い焚き管更新済み→給湯管更新希望　といれ止水栓ｽﾄﾚｰﾅｰ付　底板SUS→ポリ復旧</t>
    <rPh sb="0" eb="4">
      <t>カガミウラカイコウ</t>
    </rPh>
    <rPh sb="5" eb="9">
      <t>センメンジョカベ</t>
    </rPh>
    <rPh sb="9" eb="12">
      <t>テンケンコウ</t>
    </rPh>
    <rPh sb="15" eb="17">
      <t>センタク</t>
    </rPh>
    <rPh sb="19" eb="23">
      <t>コウカンテイアン</t>
    </rPh>
    <rPh sb="24" eb="27">
      <t>キュウトウカン</t>
    </rPh>
    <rPh sb="27" eb="28">
      <t>オ</t>
    </rPh>
    <rPh sb="29" eb="30">
      <t>ダ</t>
    </rPh>
    <rPh sb="31" eb="35">
      <t>カンコウシンズ</t>
    </rPh>
    <rPh sb="37" eb="44">
      <t>キュウトウカンコウシンキボウ</t>
    </rPh>
    <rPh sb="48" eb="51">
      <t>シスイセン</t>
    </rPh>
    <rPh sb="57" eb="58">
      <t>ツキ</t>
    </rPh>
    <rPh sb="59" eb="69">
      <t>ソコイタSUSミギポリフッキュウ</t>
    </rPh>
    <phoneticPr fontId="1"/>
  </si>
  <si>
    <t>加藤 泰子</t>
    <rPh sb="0" eb="2">
      <t>カトウ</t>
    </rPh>
    <rPh sb="3" eb="5">
      <t>タイコ</t>
    </rPh>
    <phoneticPr fontId="1"/>
  </si>
  <si>
    <t>048-685-7484</t>
    <phoneticPr fontId="1"/>
  </si>
  <si>
    <t>WBV1117JT・140FJJ</t>
    <phoneticPr fontId="1"/>
  </si>
  <si>
    <t>鏡裏開口　ひな段既存壁だし　洗濯パン洗面台によせる　トイレ止水栓Ｄ式ｱﾝｸﾞㇽ　浴室入口床鳴り</t>
    <phoneticPr fontId="1"/>
  </si>
  <si>
    <t>給湯管見えるところまでは更新されていそう→検討中　洗濯パン交換提案　底板SUS→ポリ復旧　既存壁だし　背板に既存点検口あり再使用するため開口無し</t>
    <rPh sb="0" eb="3">
      <t>キュウトウカン</t>
    </rPh>
    <rPh sb="3" eb="4">
      <t>ミ</t>
    </rPh>
    <rPh sb="12" eb="14">
      <t>コウシン</t>
    </rPh>
    <rPh sb="21" eb="24">
      <t>ケントウチュウ</t>
    </rPh>
    <rPh sb="25" eb="27">
      <t>センタク</t>
    </rPh>
    <rPh sb="29" eb="31">
      <t>コウカン</t>
    </rPh>
    <rPh sb="31" eb="33">
      <t>テイアン</t>
    </rPh>
    <rPh sb="34" eb="36">
      <t>ソコイタ</t>
    </rPh>
    <rPh sb="42" eb="44">
      <t>フッキュウ</t>
    </rPh>
    <rPh sb="45" eb="47">
      <t>キゾン</t>
    </rPh>
    <rPh sb="47" eb="48">
      <t>カベ</t>
    </rPh>
    <rPh sb="51" eb="53">
      <t>セイタ</t>
    </rPh>
    <rPh sb="54" eb="56">
      <t>キゾン</t>
    </rPh>
    <rPh sb="56" eb="59">
      <t>テンケンコウ</t>
    </rPh>
    <rPh sb="61" eb="64">
      <t>サイシヨウ</t>
    </rPh>
    <rPh sb="68" eb="70">
      <t>カイコウ</t>
    </rPh>
    <rPh sb="70" eb="71">
      <t>ナ</t>
    </rPh>
    <phoneticPr fontId="1"/>
  </si>
  <si>
    <t>090-4378-3650</t>
    <phoneticPr fontId="1"/>
  </si>
  <si>
    <t>浴室デッキタイプ洗面所壁点検口設置　底板SUS→ポリ復旧　ｵｰﾅｰ様に確認する　OP希望は直接伝えるようにいった　台所排水トラップ漏れあり</t>
    <rPh sb="0" eb="2">
      <t>ヨクシツ</t>
    </rPh>
    <rPh sb="8" eb="17">
      <t>センメンジョカベテンケンコウセッチ</t>
    </rPh>
    <rPh sb="18" eb="28">
      <t>ソコイタSUSミギポリフッキュウ</t>
    </rPh>
    <rPh sb="42" eb="44">
      <t>キボウ</t>
    </rPh>
    <rPh sb="45" eb="47">
      <t>チョクセツ</t>
    </rPh>
    <rPh sb="47" eb="48">
      <t>ツタ</t>
    </rPh>
    <rPh sb="57" eb="59">
      <t>ダイドコロ</t>
    </rPh>
    <rPh sb="59" eb="61">
      <t>ハイスイ</t>
    </rPh>
    <rPh sb="65" eb="66">
      <t>モ</t>
    </rPh>
    <phoneticPr fontId="1"/>
  </si>
  <si>
    <t>橘 梨江</t>
    <rPh sb="0" eb="1">
      <t>タチバナ</t>
    </rPh>
    <rPh sb="2" eb="4">
      <t>リエ</t>
    </rPh>
    <phoneticPr fontId="1"/>
  </si>
  <si>
    <t>080-1259-1257</t>
    <phoneticPr fontId="1"/>
  </si>
  <si>
    <t>市川 喜多美</t>
    <rPh sb="0" eb="2">
      <t>イチカワ</t>
    </rPh>
    <rPh sb="3" eb="5">
      <t>キタ</t>
    </rPh>
    <rPh sb="5" eb="6">
      <t>ミ</t>
    </rPh>
    <phoneticPr fontId="1"/>
  </si>
  <si>
    <t>048-684-1331</t>
    <phoneticPr fontId="1"/>
  </si>
  <si>
    <t>WBV1117JT・141H18</t>
    <phoneticPr fontId="1"/>
  </si>
  <si>
    <t>鏡裏開口　洗面所カベ点検口あり　給湯管、追い焚き管更新済み→残す　底板SUS→ポリ復旧　洗濯パン洗面台にずらす　トイレ止水栓ストレーナー付き</t>
    <rPh sb="5" eb="8">
      <t>センメンジョ</t>
    </rPh>
    <rPh sb="10" eb="13">
      <t>テンケンコウ</t>
    </rPh>
    <rPh sb="16" eb="19">
      <t>キュウトウカン</t>
    </rPh>
    <rPh sb="20" eb="21">
      <t>オ</t>
    </rPh>
    <rPh sb="22" eb="23">
      <t>ダ</t>
    </rPh>
    <rPh sb="24" eb="28">
      <t>カンコウシンズ</t>
    </rPh>
    <rPh sb="30" eb="31">
      <t>ノコ</t>
    </rPh>
    <rPh sb="33" eb="43">
      <t>ソコイタSUSミギポリフッキュウ</t>
    </rPh>
    <rPh sb="44" eb="46">
      <t>センタク</t>
    </rPh>
    <rPh sb="48" eb="51">
      <t>センメンダイ</t>
    </rPh>
    <rPh sb="59" eb="62">
      <t>シスイセン</t>
    </rPh>
    <rPh sb="68" eb="69">
      <t>ツ</t>
    </rPh>
    <phoneticPr fontId="1"/>
  </si>
  <si>
    <t>洗面所壁に点検口設置浴室デッキタイプ　洗濯パンない→洗濯機を洗面台側に少し移動する　ひな段　トイレ止水栓ストレーナー付き　</t>
    <rPh sb="0" eb="4">
      <t>センメンジョカベ</t>
    </rPh>
    <rPh sb="5" eb="8">
      <t>テンケンコウ</t>
    </rPh>
    <rPh sb="8" eb="10">
      <t>セッチ</t>
    </rPh>
    <rPh sb="10" eb="12">
      <t>ヨクシツ</t>
    </rPh>
    <rPh sb="19" eb="21">
      <t>センタク</t>
    </rPh>
    <rPh sb="26" eb="29">
      <t>センタクキ</t>
    </rPh>
    <rPh sb="30" eb="34">
      <t>センメンダイガワ</t>
    </rPh>
    <rPh sb="35" eb="36">
      <t>スコ</t>
    </rPh>
    <rPh sb="37" eb="39">
      <t>イドウ</t>
    </rPh>
    <rPh sb="44" eb="45">
      <t>ダン</t>
    </rPh>
    <rPh sb="49" eb="52">
      <t>シスイセン</t>
    </rPh>
    <rPh sb="58" eb="59">
      <t>ツ</t>
    </rPh>
    <phoneticPr fontId="1"/>
  </si>
  <si>
    <t>イビノサ 典子</t>
    <rPh sb="5" eb="7">
      <t>ノリコ</t>
    </rPh>
    <phoneticPr fontId="1"/>
  </si>
  <si>
    <t>050-3701-6620</t>
    <phoneticPr fontId="1"/>
  </si>
  <si>
    <t>浴室デッキタイプ洗面所壁点検口再使用　底板SUS→ポリ復旧　給湯器造作カバー付きすぐ外せる</t>
    <rPh sb="0" eb="2">
      <t>ヨクシツ</t>
    </rPh>
    <rPh sb="8" eb="11">
      <t>センメ</t>
    </rPh>
    <rPh sb="11" eb="12">
      <t>カベ</t>
    </rPh>
    <rPh sb="12" eb="15">
      <t>テンケンコウ</t>
    </rPh>
    <rPh sb="15" eb="18">
      <t>サイシヨウ</t>
    </rPh>
    <rPh sb="19" eb="21">
      <t>ソコイタ</t>
    </rPh>
    <rPh sb="27" eb="29">
      <t>フッキュウ</t>
    </rPh>
    <rPh sb="30" eb="33">
      <t>キュウトウキ</t>
    </rPh>
    <rPh sb="33" eb="35">
      <t>ゾウサク</t>
    </rPh>
    <rPh sb="38" eb="39">
      <t>ツ</t>
    </rPh>
    <rPh sb="42" eb="43">
      <t>ハズ</t>
    </rPh>
    <phoneticPr fontId="1"/>
  </si>
  <si>
    <t>渡辺 佳子</t>
    <rPh sb="0" eb="2">
      <t>ワタナベ</t>
    </rPh>
    <rPh sb="3" eb="5">
      <t>ヨシコ</t>
    </rPh>
    <phoneticPr fontId="1"/>
  </si>
  <si>
    <t>048-685-9262
090-6510-5212</t>
    <phoneticPr fontId="1"/>
  </si>
  <si>
    <t>WBV1117JT・1754BY</t>
    <phoneticPr fontId="1"/>
  </si>
  <si>
    <t>鏡裏開口　ひな段既存壁だし　給湯管追い焚き管更新済み→給湯管更新希望　洗濯モール立ち上げスペース狭いギリ収まるけどビスが打てるかどうか微妙　トイレ止水栓Ｄ式ｱﾝｸﾞㇽ</t>
    <rPh sb="0" eb="4">
      <t>カガミウラカイコウ</t>
    </rPh>
    <rPh sb="7" eb="11">
      <t>ダンキゾンカベ</t>
    </rPh>
    <rPh sb="14" eb="17">
      <t>キュウトウカン</t>
    </rPh>
    <rPh sb="17" eb="18">
      <t>オ</t>
    </rPh>
    <rPh sb="19" eb="20">
      <t>ダ</t>
    </rPh>
    <rPh sb="21" eb="25">
      <t>カンコウシンズ</t>
    </rPh>
    <rPh sb="27" eb="30">
      <t>キュウトウカン</t>
    </rPh>
    <rPh sb="30" eb="34">
      <t>コウシンキボウ</t>
    </rPh>
    <rPh sb="35" eb="37">
      <t>センタク</t>
    </rPh>
    <rPh sb="40" eb="41">
      <t>タ</t>
    </rPh>
    <rPh sb="42" eb="43">
      <t>ア</t>
    </rPh>
    <rPh sb="48" eb="49">
      <t>セマ</t>
    </rPh>
    <rPh sb="52" eb="53">
      <t>オサ</t>
    </rPh>
    <rPh sb="60" eb="61">
      <t>ウ</t>
    </rPh>
    <rPh sb="67" eb="69">
      <t>ビミョウ</t>
    </rPh>
    <rPh sb="73" eb="76">
      <t>シスイセン</t>
    </rPh>
    <rPh sb="77" eb="78">
      <t>シキ</t>
    </rPh>
    <phoneticPr fontId="1"/>
  </si>
  <si>
    <t>篠原 和也</t>
    <rPh sb="0" eb="2">
      <t>シノハラ</t>
    </rPh>
    <rPh sb="3" eb="5">
      <t>カズヤ</t>
    </rPh>
    <phoneticPr fontId="1"/>
  </si>
  <si>
    <t>090-5410-8665</t>
    <phoneticPr fontId="1"/>
  </si>
  <si>
    <t>WBV1117JN・162M13</t>
    <phoneticPr fontId="1"/>
  </si>
  <si>
    <t>浴室水栓床下接続(ﾊﾟﾈﾙ裏隙間ありそう)　給湯管、追い焚き管更新済み→残す　浴室入口横の壁ベコべコ食洗器下開口必要かも　ひな段　内装カタログから、見積見てからきめる</t>
    <rPh sb="0" eb="2">
      <t>ヨクシツ</t>
    </rPh>
    <rPh sb="2" eb="4">
      <t>スイセン</t>
    </rPh>
    <rPh sb="4" eb="6">
      <t>ユカシタ</t>
    </rPh>
    <rPh sb="6" eb="8">
      <t>セツゾク</t>
    </rPh>
    <rPh sb="13" eb="14">
      <t>ウラ</t>
    </rPh>
    <rPh sb="14" eb="16">
      <t>スキマ</t>
    </rPh>
    <rPh sb="22" eb="25">
      <t>キュウトウカン</t>
    </rPh>
    <rPh sb="26" eb="27">
      <t>オ</t>
    </rPh>
    <rPh sb="28" eb="29">
      <t>ダ</t>
    </rPh>
    <rPh sb="30" eb="31">
      <t>カン</t>
    </rPh>
    <rPh sb="31" eb="34">
      <t>コウシンズ</t>
    </rPh>
    <rPh sb="36" eb="37">
      <t>ノコ</t>
    </rPh>
    <rPh sb="39" eb="41">
      <t>ヨクシツ</t>
    </rPh>
    <rPh sb="41" eb="43">
      <t>イリグチ</t>
    </rPh>
    <rPh sb="43" eb="44">
      <t>ヨコ</t>
    </rPh>
    <rPh sb="45" eb="46">
      <t>カベ</t>
    </rPh>
    <rPh sb="50" eb="54">
      <t>ショクセンキシタ</t>
    </rPh>
    <rPh sb="54" eb="58">
      <t>カイコウヒツヨウ</t>
    </rPh>
    <rPh sb="63" eb="64">
      <t>ダン</t>
    </rPh>
    <rPh sb="65" eb="67">
      <t>ナイソウ</t>
    </rPh>
    <rPh sb="74" eb="76">
      <t>ミツモリ</t>
    </rPh>
    <rPh sb="76" eb="77">
      <t>ミ</t>
    </rPh>
    <phoneticPr fontId="1"/>
  </si>
  <si>
    <t>神保 富雄</t>
    <rPh sb="0" eb="2">
      <t>ジンボ</t>
    </rPh>
    <rPh sb="3" eb="5">
      <t>トミオ</t>
    </rPh>
    <phoneticPr fontId="1"/>
  </si>
  <si>
    <t>048-686-1504</t>
    <phoneticPr fontId="1"/>
  </si>
  <si>
    <t>浴室デッキタイプ洗面所壁点検口再利用　ひな段既存壁だし　給湯管追い焚き管更新済み→給湯管更新希望　洗濯パン洗面台にずらす　洗面所床既存ＣＦの上にタイルカーペットしいてある→剝がしてもらう　工事前にといれをバリアフリーにする　トイレ止水栓ｽﾄﾚｰﾅｰ付</t>
    <rPh sb="0" eb="2">
      <t>ヨクシツ</t>
    </rPh>
    <rPh sb="8" eb="12">
      <t>センメンジョカベ</t>
    </rPh>
    <rPh sb="12" eb="18">
      <t>テンケンコウサイリヨウ</t>
    </rPh>
    <rPh sb="21" eb="25">
      <t>ダンキゾンカベ</t>
    </rPh>
    <rPh sb="28" eb="31">
      <t>キュウトウカン</t>
    </rPh>
    <rPh sb="31" eb="32">
      <t>オ</t>
    </rPh>
    <rPh sb="33" eb="34">
      <t>ダ</t>
    </rPh>
    <rPh sb="35" eb="39">
      <t>カンコウシンズ</t>
    </rPh>
    <rPh sb="41" eb="48">
      <t>キュウトウカンコウシンキボウ</t>
    </rPh>
    <rPh sb="49" eb="51">
      <t>センタク</t>
    </rPh>
    <rPh sb="53" eb="56">
      <t>センメンダイ</t>
    </rPh>
    <rPh sb="61" eb="65">
      <t>センメンジョユカ</t>
    </rPh>
    <rPh sb="65" eb="67">
      <t>キゾン</t>
    </rPh>
    <rPh sb="70" eb="71">
      <t>ウエ</t>
    </rPh>
    <rPh sb="86" eb="87">
      <t>ハ</t>
    </rPh>
    <rPh sb="94" eb="97">
      <t>コウジマエ</t>
    </rPh>
    <rPh sb="115" eb="118">
      <t>シスイセン</t>
    </rPh>
    <rPh sb="124" eb="125">
      <t>ツキ</t>
    </rPh>
    <phoneticPr fontId="1"/>
  </si>
  <si>
    <t>中居 徳夫</t>
    <rPh sb="0" eb="2">
      <t>ナカイ</t>
    </rPh>
    <rPh sb="3" eb="5">
      <t>トクオ</t>
    </rPh>
    <phoneticPr fontId="1"/>
  </si>
  <si>
    <t>090-3438-0546</t>
    <phoneticPr fontId="1"/>
  </si>
  <si>
    <t>JCZ1117・150175</t>
    <phoneticPr fontId="1"/>
  </si>
  <si>
    <t>洗面所壁点検口設置　ひな段既存壁だし、ホーロー板　トイレ止水栓Ｄ式ｱﾝｸﾞㇽ　話聞かない片付け不安</t>
    <rPh sb="0" eb="4">
      <t>センメンジョカベ</t>
    </rPh>
    <rPh sb="4" eb="9">
      <t>テンケンコウセッチ</t>
    </rPh>
    <rPh sb="12" eb="16">
      <t>ダンキゾンカベ</t>
    </rPh>
    <rPh sb="23" eb="24">
      <t>イタ</t>
    </rPh>
    <rPh sb="28" eb="31">
      <t>シスイセン</t>
    </rPh>
    <rPh sb="32" eb="33">
      <t>シキ</t>
    </rPh>
    <rPh sb="39" eb="41">
      <t>ハナシキ</t>
    </rPh>
    <rPh sb="44" eb="46">
      <t>カタヅ</t>
    </rPh>
    <rPh sb="47" eb="49">
      <t>フアン</t>
    </rPh>
    <phoneticPr fontId="1"/>
  </si>
  <si>
    <t>太田 絢子</t>
    <rPh sb="0" eb="2">
      <t>オオタ</t>
    </rPh>
    <rPh sb="3" eb="5">
      <t>アヤコ</t>
    </rPh>
    <phoneticPr fontId="1"/>
  </si>
  <si>
    <t>048-685-3022
0909-4958-2461</t>
    <phoneticPr fontId="1"/>
  </si>
  <si>
    <t>WHV1116UT・189X5D</t>
    <phoneticPr fontId="1"/>
  </si>
  <si>
    <t>浴室エプロン外すとスラブ直　給湯管、追い焚き管更新済み→給湯管更新するか検討中　トイレ止水栓Ｄ式ｱﾝｸﾞㇽ　洗面所トイレ床つなげて貼る　洗面所壁点検口あり</t>
    <rPh sb="0" eb="2">
      <t>ヨクシツ</t>
    </rPh>
    <rPh sb="6" eb="7">
      <t>ハズ</t>
    </rPh>
    <rPh sb="12" eb="13">
      <t>チョク</t>
    </rPh>
    <rPh sb="14" eb="17">
      <t>キュウトウカン</t>
    </rPh>
    <rPh sb="18" eb="19">
      <t>オ</t>
    </rPh>
    <rPh sb="20" eb="21">
      <t>ダ</t>
    </rPh>
    <rPh sb="22" eb="26">
      <t>カンコウシンズ</t>
    </rPh>
    <rPh sb="28" eb="33">
      <t>キュウトウカンコウシン</t>
    </rPh>
    <rPh sb="36" eb="39">
      <t>ケントウチュウ</t>
    </rPh>
    <rPh sb="43" eb="46">
      <t>シスイセン</t>
    </rPh>
    <rPh sb="47" eb="48">
      <t>シキ</t>
    </rPh>
    <rPh sb="54" eb="57">
      <t>センメンジョ</t>
    </rPh>
    <rPh sb="60" eb="61">
      <t>ユカ</t>
    </rPh>
    <rPh sb="65" eb="66">
      <t>ハ</t>
    </rPh>
    <rPh sb="68" eb="75">
      <t>センメンジョカベテンケンコウ</t>
    </rPh>
    <phoneticPr fontId="1"/>
  </si>
  <si>
    <t>石川 洋</t>
    <rPh sb="0" eb="2">
      <t>イシカワ</t>
    </rPh>
    <rPh sb="3" eb="4">
      <t>ヒロシ</t>
    </rPh>
    <phoneticPr fontId="1"/>
  </si>
  <si>
    <t>048-686-3029
080-5427-3584</t>
    <phoneticPr fontId="1"/>
  </si>
  <si>
    <t>浴室デッキタイプ洗面所壁点検口あり再使用　給湯管追い焚き管更新済み→更新しない　底板SUS→ポリ復旧　洗濯パン洗面台によせる　OP洗面台交換、ﾄｲﾚ換気扇交換</t>
    <rPh sb="0" eb="2">
      <t>ヨクシツ</t>
    </rPh>
    <rPh sb="8" eb="12">
      <t>センメンジョカベ</t>
    </rPh>
    <rPh sb="12" eb="15">
      <t>テンケンコウ</t>
    </rPh>
    <rPh sb="17" eb="20">
      <t>サイシヨウ</t>
    </rPh>
    <rPh sb="21" eb="24">
      <t>キュウトウカン</t>
    </rPh>
    <rPh sb="24" eb="25">
      <t>オ</t>
    </rPh>
    <rPh sb="26" eb="27">
      <t>ダ</t>
    </rPh>
    <rPh sb="28" eb="32">
      <t>カンコウシンズ</t>
    </rPh>
    <rPh sb="34" eb="36">
      <t>コウシン</t>
    </rPh>
    <rPh sb="40" eb="50">
      <t>ソコイタSUSミギポリフッキュウ</t>
    </rPh>
    <rPh sb="51" eb="53">
      <t>センタク</t>
    </rPh>
    <rPh sb="55" eb="58">
      <t>センメンダイ</t>
    </rPh>
    <rPh sb="65" eb="70">
      <t>センメンダイコウカン</t>
    </rPh>
    <rPh sb="74" eb="77">
      <t>カンキセン</t>
    </rPh>
    <rPh sb="77" eb="79">
      <t>コウカン</t>
    </rPh>
    <phoneticPr fontId="1"/>
  </si>
  <si>
    <t>山際 勇</t>
    <rPh sb="0" eb="2">
      <t>ヤマキワ</t>
    </rPh>
    <rPh sb="3" eb="4">
      <t>イサム</t>
    </rPh>
    <phoneticPr fontId="1"/>
  </si>
  <si>
    <t>048-682-3093
090-5853-8451</t>
    <phoneticPr fontId="1"/>
  </si>
  <si>
    <t>仙田 朋子</t>
    <rPh sb="0" eb="2">
      <t>センダ</t>
    </rPh>
    <rPh sb="3" eb="5">
      <t>トモコ</t>
    </rPh>
    <phoneticPr fontId="1"/>
  </si>
  <si>
    <t>090-2649-3680</t>
    <phoneticPr fontId="1"/>
  </si>
  <si>
    <t>WGV1316AX・169LDX</t>
    <phoneticPr fontId="1"/>
  </si>
  <si>
    <t>浴室ｴﾌﾟﾛﾝ内部材接続　洗面台位置が入口にある　トイレのライトがガラスになっている</t>
    <rPh sb="0" eb="2">
      <t>ヨクシツ</t>
    </rPh>
    <rPh sb="7" eb="12">
      <t>ナイブザイセツゾク</t>
    </rPh>
    <rPh sb="13" eb="18">
      <t>センメンダイイチ</t>
    </rPh>
    <rPh sb="19" eb="21">
      <t>イリグチ</t>
    </rPh>
    <phoneticPr fontId="1"/>
  </si>
  <si>
    <t>村上 朋子</t>
    <rPh sb="0" eb="2">
      <t>ムラカミ</t>
    </rPh>
    <rPh sb="3" eb="5">
      <t>トモコ</t>
    </rPh>
    <phoneticPr fontId="1"/>
  </si>
  <si>
    <t>090-6509-1523</t>
    <phoneticPr fontId="1"/>
  </si>
  <si>
    <t>JZC1116・143576</t>
    <phoneticPr fontId="1"/>
  </si>
  <si>
    <t>ｴﾌﾟﾛﾝ内点検口設置　台所トラップ既存　猫注意、ドア開けっ放しでいいか初日確認する　</t>
    <rPh sb="5" eb="6">
      <t>ナイ</t>
    </rPh>
    <rPh sb="6" eb="11">
      <t>テンケンコウセッチ</t>
    </rPh>
    <rPh sb="12" eb="14">
      <t>ダイドコロ</t>
    </rPh>
    <rPh sb="18" eb="20">
      <t>キゾン</t>
    </rPh>
    <rPh sb="21" eb="24">
      <t>ネコチュウイ</t>
    </rPh>
    <rPh sb="27" eb="28">
      <t>ア</t>
    </rPh>
    <rPh sb="30" eb="31">
      <t>パナ</t>
    </rPh>
    <rPh sb="36" eb="40">
      <t>ショニチカクニン</t>
    </rPh>
    <phoneticPr fontId="1"/>
  </si>
  <si>
    <t>森内 伸治</t>
    <rPh sb="0" eb="2">
      <t>モリウチ</t>
    </rPh>
    <rPh sb="3" eb="4">
      <t>シン</t>
    </rPh>
    <rPh sb="4" eb="5">
      <t>ナオ</t>
    </rPh>
    <phoneticPr fontId="1"/>
  </si>
  <si>
    <t>048-686-4539</t>
    <phoneticPr fontId="1"/>
  </si>
  <si>
    <t>JZC1117・197972</t>
    <phoneticPr fontId="1"/>
  </si>
  <si>
    <t>ｴﾌﾟﾛﾝ内部材接続　底板SUS→ポリ復旧　台所扉丁番壊れている　</t>
    <rPh sb="5" eb="10">
      <t>ナイブザイセツゾク</t>
    </rPh>
    <rPh sb="11" eb="21">
      <t>ソコイタSUSミギポリフッキュウ</t>
    </rPh>
    <rPh sb="22" eb="24">
      <t>ダイドコロ</t>
    </rPh>
    <rPh sb="24" eb="25">
      <t>トビラ</t>
    </rPh>
    <rPh sb="25" eb="27">
      <t>チョウバン</t>
    </rPh>
    <rPh sb="27" eb="28">
      <t>コワ</t>
    </rPh>
    <phoneticPr fontId="1"/>
  </si>
  <si>
    <t>青木</t>
    <rPh sb="0" eb="2">
      <t>アオキ</t>
    </rPh>
    <phoneticPr fontId="1"/>
  </si>
  <si>
    <t>080-1064-3958</t>
    <phoneticPr fontId="1"/>
  </si>
  <si>
    <t>WBV1117JN・174V1T</t>
    <phoneticPr fontId="1"/>
  </si>
  <si>
    <t>山﨑 亮</t>
    <rPh sb="0" eb="2">
      <t>ヤマサキ</t>
    </rPh>
    <rPh sb="3" eb="4">
      <t>リョウ</t>
    </rPh>
    <phoneticPr fontId="1"/>
  </si>
  <si>
    <t>090-4929-8741</t>
    <phoneticPr fontId="1"/>
  </si>
  <si>
    <t>松下電工</t>
    <rPh sb="0" eb="2">
      <t>マツシタ</t>
    </rPh>
    <rPh sb="2" eb="4">
      <t>デンコウ</t>
    </rPh>
    <phoneticPr fontId="1"/>
  </si>
  <si>
    <t>ｴﾌﾟﾛﾝ内点検口設置　ひな段既存壁だし　猫注意　OP洗面台交換、玄関床貼替　内装変更するかも</t>
    <rPh sb="5" eb="11">
      <t>ナイテンケンコウセッチ</t>
    </rPh>
    <rPh sb="14" eb="18">
      <t>ダンキゾンカベ</t>
    </rPh>
    <rPh sb="21" eb="24">
      <t>ネコチュウイ</t>
    </rPh>
    <rPh sb="27" eb="30">
      <t>センメンダイ</t>
    </rPh>
    <rPh sb="30" eb="32">
      <t>コウカン</t>
    </rPh>
    <rPh sb="33" eb="36">
      <t>ゲンカンユカ</t>
    </rPh>
    <rPh sb="36" eb="38">
      <t>ハリカエ</t>
    </rPh>
    <rPh sb="39" eb="41">
      <t>ナイソウ</t>
    </rPh>
    <rPh sb="41" eb="43">
      <t>ヘンコウ</t>
    </rPh>
    <phoneticPr fontId="1"/>
  </si>
  <si>
    <t>浴室ｴﾌﾟﾛﾝ内部材保温で囲まれている→洗面所壁に点検口設置　給湯器造作カバー付き固定されている、解体or点検口設置　台所ﾄﾗｯﾌﾟ既存　</t>
    <rPh sb="0" eb="2">
      <t>ヨクシツ</t>
    </rPh>
    <rPh sb="7" eb="9">
      <t>ブザイ</t>
    </rPh>
    <rPh sb="9" eb="12">
      <t>ホオンデ</t>
    </rPh>
    <rPh sb="12" eb="16">
      <t>カコマレテ</t>
    </rPh>
    <rPh sb="19" eb="21">
      <t>センメン</t>
    </rPh>
    <rPh sb="21" eb="22">
      <t>ジョ</t>
    </rPh>
    <rPh sb="22" eb="24">
      <t>カベニ</t>
    </rPh>
    <rPh sb="24" eb="27">
      <t>テンケンコウ</t>
    </rPh>
    <rPh sb="27" eb="29">
      <t>セッチ</t>
    </rPh>
    <rPh sb="29" eb="30">
      <t>　</t>
    </rPh>
    <rPh sb="31" eb="34">
      <t>キュウトウキ</t>
    </rPh>
    <rPh sb="34" eb="36">
      <t>ゾウサク</t>
    </rPh>
    <rPh sb="39" eb="40">
      <t>ツ</t>
    </rPh>
    <rPh sb="41" eb="43">
      <t>コテイ</t>
    </rPh>
    <rPh sb="49" eb="51">
      <t>カイタイ</t>
    </rPh>
    <rPh sb="53" eb="58">
      <t>テンケンコウセッチ</t>
    </rPh>
    <rPh sb="59" eb="61">
      <t>ダイドコロ</t>
    </rPh>
    <rPh sb="66" eb="68">
      <t>キゾン</t>
    </rPh>
    <phoneticPr fontId="1"/>
  </si>
  <si>
    <t>洗面トイレ床フロアタイル　洗面所ふかし壁　ひな段浴室水栓は洗面床下から接続</t>
    <rPh sb="0" eb="2">
      <t>センメン</t>
    </rPh>
    <rPh sb="5" eb="6">
      <t>ユカ</t>
    </rPh>
    <rPh sb="13" eb="16">
      <t>センメンジョ</t>
    </rPh>
    <rPh sb="19" eb="20">
      <t>カベ</t>
    </rPh>
    <rPh sb="23" eb="24">
      <t>ダン</t>
    </rPh>
    <rPh sb="24" eb="26">
      <t>ヨクシツ</t>
    </rPh>
    <rPh sb="26" eb="28">
      <t>スイセン</t>
    </rPh>
    <rPh sb="29" eb="31">
      <t>センメン</t>
    </rPh>
    <rPh sb="31" eb="33">
      <t>ユカシタ</t>
    </rPh>
    <rPh sb="35" eb="37">
      <t>セツゾク</t>
    </rPh>
    <phoneticPr fontId="1"/>
  </si>
  <si>
    <t>小島 弘道</t>
    <rPh sb="0" eb="2">
      <t>コジマ</t>
    </rPh>
    <rPh sb="3" eb="5">
      <t>ヒロミチ</t>
    </rPh>
    <phoneticPr fontId="1"/>
  </si>
  <si>
    <t>090-6127-5919</t>
    <phoneticPr fontId="1"/>
  </si>
  <si>
    <t>浴室デッキタイプ洗面所壁点検口設置　OP玄関たたき貼替　乾燥機付きUB　洗面台キャビネットのみ交換希望　隠蔽配管希望後日廊下FL選定する</t>
    <rPh sb="0" eb="2">
      <t>ヨクシツ</t>
    </rPh>
    <rPh sb="8" eb="12">
      <t>センメンジョカベ</t>
    </rPh>
    <rPh sb="12" eb="17">
      <t>テンケンコウセッチ</t>
    </rPh>
    <rPh sb="20" eb="22">
      <t>ゲンカン</t>
    </rPh>
    <rPh sb="25" eb="27">
      <t>ハリカエ</t>
    </rPh>
    <rPh sb="28" eb="32">
      <t>カンソウキツ</t>
    </rPh>
    <rPh sb="36" eb="39">
      <t>センメンダイ</t>
    </rPh>
    <rPh sb="47" eb="51">
      <t>コウカンキボウ</t>
    </rPh>
    <rPh sb="52" eb="58">
      <t>インペイハイカンキボウ</t>
    </rPh>
    <rPh sb="58" eb="60">
      <t>ゴジツ</t>
    </rPh>
    <rPh sb="60" eb="62">
      <t>ロウカ</t>
    </rPh>
    <rPh sb="64" eb="66">
      <t>センテイ</t>
    </rPh>
    <phoneticPr fontId="1"/>
  </si>
  <si>
    <t>菊池 馨</t>
    <rPh sb="0" eb="2">
      <t>キクチ</t>
    </rPh>
    <rPh sb="3" eb="4">
      <t>カオル</t>
    </rPh>
    <phoneticPr fontId="1"/>
  </si>
  <si>
    <t>048-683-3929
080-9097-4177</t>
    <phoneticPr fontId="1"/>
  </si>
  <si>
    <t>WHV1116UT・1939MJ</t>
    <phoneticPr fontId="1"/>
  </si>
  <si>
    <t>エプロン外すとスラブ直　洗面所壁点検口あり　洗濯機二層式　底板SUS→ポリ復旧　給湯管追い焚き管更新済み→給湯管更新するか検討中　洗濯パン洗面台に寄せる</t>
    <rPh sb="12" eb="16">
      <t>センメンジョカベ</t>
    </rPh>
    <rPh sb="16" eb="19">
      <t>テンケンコウ</t>
    </rPh>
    <rPh sb="22" eb="28">
      <t>センタクキニソウシキ</t>
    </rPh>
    <rPh sb="29" eb="39">
      <t>ソコイタSUSミギポリフッキュウ</t>
    </rPh>
    <rPh sb="40" eb="44">
      <t>キュウトウカンオ</t>
    </rPh>
    <rPh sb="45" eb="46">
      <t>ダ</t>
    </rPh>
    <rPh sb="47" eb="48">
      <t>カン</t>
    </rPh>
    <rPh sb="48" eb="51">
      <t>コウシンズ</t>
    </rPh>
    <rPh sb="53" eb="58">
      <t>キュウトウカンコウシン</t>
    </rPh>
    <rPh sb="61" eb="64">
      <t>ケントウチュウ</t>
    </rPh>
    <rPh sb="65" eb="67">
      <t>センタク</t>
    </rPh>
    <rPh sb="69" eb="72">
      <t>センメンダイ</t>
    </rPh>
    <rPh sb="73" eb="74">
      <t>ヨ</t>
    </rPh>
    <phoneticPr fontId="1"/>
  </si>
  <si>
    <t>杉本 久志</t>
    <rPh sb="0" eb="2">
      <t>スギモト</t>
    </rPh>
    <rPh sb="3" eb="5">
      <t>ヒサシ</t>
    </rPh>
    <phoneticPr fontId="1"/>
  </si>
  <si>
    <t>090-9248-0628</t>
    <phoneticPr fontId="1"/>
  </si>
  <si>
    <t>WRV1316・1648SW</t>
    <phoneticPr fontId="1"/>
  </si>
  <si>
    <t>ひな段</t>
    <rPh sb="2" eb="3">
      <t>ダン</t>
    </rPh>
    <phoneticPr fontId="1"/>
  </si>
  <si>
    <t>台所</t>
    <rPh sb="0" eb="2">
      <t>ダイドコロ</t>
    </rPh>
    <phoneticPr fontId="1"/>
  </si>
  <si>
    <t>ひな段</t>
    <rPh sb="2" eb="3">
      <t>ダン</t>
    </rPh>
    <phoneticPr fontId="1"/>
  </si>
  <si>
    <t>台所</t>
    <rPh sb="0" eb="2">
      <t>ダイドコロ</t>
    </rPh>
    <phoneticPr fontId="1"/>
  </si>
  <si>
    <t>小島 利夫</t>
    <rPh sb="0" eb="2">
      <t>コジマ</t>
    </rPh>
    <rPh sb="3" eb="5">
      <t>トシオ</t>
    </rPh>
    <phoneticPr fontId="1"/>
  </si>
  <si>
    <t>048-688-7809
090-4609-0899</t>
    <phoneticPr fontId="1"/>
  </si>
  <si>
    <t>菊池 真紀子</t>
    <rPh sb="0" eb="2">
      <t>キクチ</t>
    </rPh>
    <rPh sb="3" eb="6">
      <t>マキコ</t>
    </rPh>
    <phoneticPr fontId="1"/>
  </si>
  <si>
    <t>090-4822-0223</t>
    <phoneticPr fontId="1"/>
  </si>
  <si>
    <t>WZV1216・164091</t>
    <phoneticPr fontId="1"/>
  </si>
  <si>
    <t>大川 初江</t>
    <rPh sb="0" eb="2">
      <t>オオカワ</t>
    </rPh>
    <rPh sb="3" eb="5">
      <t>ハツエ</t>
    </rPh>
    <phoneticPr fontId="1"/>
  </si>
  <si>
    <t>090-1797-2195</t>
    <phoneticPr fontId="1"/>
  </si>
  <si>
    <t>WBV1117JT・178XA4</t>
    <phoneticPr fontId="1"/>
  </si>
  <si>
    <t>ひな段</t>
    <rPh sb="2" eb="3">
      <t>ダン</t>
    </rPh>
    <phoneticPr fontId="1"/>
  </si>
  <si>
    <t>浴室鏡裏開口　給湯管追い焚き管更新済み→給湯管残す　洗濯パン洗面台側にずらす　ひな段既存壁だし</t>
    <rPh sb="0" eb="2">
      <t>ヨクシツ</t>
    </rPh>
    <rPh sb="2" eb="6">
      <t>カガミウラカイコウ</t>
    </rPh>
    <rPh sb="7" eb="10">
      <t>キュウトウカン</t>
    </rPh>
    <rPh sb="10" eb="11">
      <t>オ</t>
    </rPh>
    <rPh sb="12" eb="13">
      <t>ダ</t>
    </rPh>
    <rPh sb="14" eb="15">
      <t>カン</t>
    </rPh>
    <rPh sb="15" eb="18">
      <t>コウシンズ</t>
    </rPh>
    <rPh sb="20" eb="23">
      <t>キュウトウカン</t>
    </rPh>
    <rPh sb="23" eb="24">
      <t>ノコ</t>
    </rPh>
    <rPh sb="26" eb="28">
      <t>センタク</t>
    </rPh>
    <rPh sb="30" eb="34">
      <t>センメンダイガワ</t>
    </rPh>
    <rPh sb="41" eb="42">
      <t>ダン</t>
    </rPh>
    <rPh sb="42" eb="45">
      <t>キゾンカベ</t>
    </rPh>
    <phoneticPr fontId="1"/>
  </si>
  <si>
    <t>ｴﾌﾟﾛﾝ内部材接続 （洗面所壁点検口設置かも）浴室バスヒーター　洗濯パン洗面台にずらす　底板SUS→ポリ復旧、既存壁だし　お知らせは日程だけ郵送してほしい</t>
    <rPh sb="5" eb="10">
      <t>ナイブザイセツゾク</t>
    </rPh>
    <rPh sb="12" eb="16">
      <t>センメンジョカベ</t>
    </rPh>
    <rPh sb="16" eb="21">
      <t>テンケンコウセッチ</t>
    </rPh>
    <rPh sb="24" eb="26">
      <t>ヨクシツ</t>
    </rPh>
    <rPh sb="33" eb="35">
      <t>センタク</t>
    </rPh>
    <rPh sb="37" eb="40">
      <t>センメンダイ</t>
    </rPh>
    <rPh sb="45" eb="55">
      <t>ソコイタSUSミギポリフッキュウ</t>
    </rPh>
    <rPh sb="56" eb="59">
      <t>キゾンカベ</t>
    </rPh>
    <rPh sb="63" eb="64">
      <t>シ</t>
    </rPh>
    <rPh sb="67" eb="69">
      <t>ニッテイ</t>
    </rPh>
    <rPh sb="71" eb="73">
      <t>ユウソウ</t>
    </rPh>
    <phoneticPr fontId="1"/>
  </si>
  <si>
    <t>坂田 寿弘</t>
    <rPh sb="0" eb="2">
      <t>サカタ</t>
    </rPh>
    <rPh sb="3" eb="5">
      <t>トシヒロ</t>
    </rPh>
    <phoneticPr fontId="1"/>
  </si>
  <si>
    <t>090-3088-5738</t>
    <phoneticPr fontId="1"/>
  </si>
  <si>
    <t>WZV1117・164715</t>
    <phoneticPr fontId="1"/>
  </si>
  <si>
    <t>浴室鏡裏開口　母親目が見えにくい息子立会いのもと調査　</t>
    <rPh sb="0" eb="2">
      <t>ヨクシツ</t>
    </rPh>
    <rPh sb="2" eb="6">
      <t>カガミウラカイコウ</t>
    </rPh>
    <rPh sb="7" eb="9">
      <t>ハハオヤ</t>
    </rPh>
    <rPh sb="9" eb="10">
      <t>メ</t>
    </rPh>
    <rPh sb="11" eb="12">
      <t>ミ</t>
    </rPh>
    <rPh sb="16" eb="18">
      <t>ムスコ</t>
    </rPh>
    <rPh sb="18" eb="20">
      <t>タチア</t>
    </rPh>
    <rPh sb="24" eb="26">
      <t>チョウサ</t>
    </rPh>
    <phoneticPr fontId="1"/>
  </si>
  <si>
    <t>浴室ｴﾌﾟﾛﾝ内点検口再使用　ひな段既存壁だし　給湯管追い焚き管更新済み→給湯管更新希望　浴室品番不明</t>
    <rPh sb="0" eb="2">
      <t>ヨクシツ</t>
    </rPh>
    <rPh sb="7" eb="8">
      <t>ナイ</t>
    </rPh>
    <rPh sb="8" eb="11">
      <t>テンケンコウ</t>
    </rPh>
    <rPh sb="11" eb="14">
      <t>サイシヨウ</t>
    </rPh>
    <rPh sb="17" eb="18">
      <t>ダン</t>
    </rPh>
    <rPh sb="18" eb="21">
      <t>キゾンカベ</t>
    </rPh>
    <rPh sb="24" eb="28">
      <t>キュウトウカンオ</t>
    </rPh>
    <rPh sb="29" eb="30">
      <t>ダ</t>
    </rPh>
    <rPh sb="31" eb="35">
      <t>カンコウシンズ</t>
    </rPh>
    <rPh sb="37" eb="44">
      <t>キュウトウカンコウシンキボウ</t>
    </rPh>
    <rPh sb="45" eb="47">
      <t>ヨクシツ</t>
    </rPh>
    <rPh sb="47" eb="49">
      <t>ヒンバン</t>
    </rPh>
    <rPh sb="49" eb="51">
      <t>フメイ</t>
    </rPh>
    <phoneticPr fontId="1"/>
  </si>
  <si>
    <t>土橋 伸至</t>
    <rPh sb="0" eb="2">
      <t>ドバシ</t>
    </rPh>
    <rPh sb="3" eb="4">
      <t>シン</t>
    </rPh>
    <rPh sb="4" eb="5">
      <t>イタル</t>
    </rPh>
    <phoneticPr fontId="1"/>
  </si>
  <si>
    <t>090-6514-0258</t>
    <phoneticPr fontId="1"/>
  </si>
  <si>
    <t>JZC1116・164676</t>
    <phoneticPr fontId="1"/>
  </si>
  <si>
    <t>エプロン内壁点検口設置　底板SUS→ポリ復旧　洗濯パン洗面台にずらす　廊下床鳴り　夜の仕事の為午前中は寝ている鍵つけて朝入る　猫注意</t>
    <rPh sb="4" eb="11">
      <t>ナイカベテンケンコウセッチ</t>
    </rPh>
    <rPh sb="12" eb="18">
      <t>ソコイタSUSミギ</t>
    </rPh>
    <rPh sb="20" eb="22">
      <t>フッキュウ</t>
    </rPh>
    <rPh sb="23" eb="25">
      <t>センタク</t>
    </rPh>
    <rPh sb="27" eb="30">
      <t>センメンダイ</t>
    </rPh>
    <rPh sb="35" eb="37">
      <t>ロウカ</t>
    </rPh>
    <rPh sb="37" eb="39">
      <t>ユカナ</t>
    </rPh>
    <rPh sb="41" eb="42">
      <t>ヨル</t>
    </rPh>
    <rPh sb="43" eb="45">
      <t>シゴト</t>
    </rPh>
    <rPh sb="46" eb="47">
      <t>タメ</t>
    </rPh>
    <rPh sb="47" eb="50">
      <t>ゴゼンチュウ</t>
    </rPh>
    <rPh sb="51" eb="52">
      <t>ネ</t>
    </rPh>
    <rPh sb="55" eb="56">
      <t>カギ</t>
    </rPh>
    <rPh sb="59" eb="60">
      <t>アサ</t>
    </rPh>
    <rPh sb="60" eb="61">
      <t>ハイ</t>
    </rPh>
    <rPh sb="63" eb="66">
      <t>ネコチュウイ</t>
    </rPh>
    <phoneticPr fontId="1"/>
  </si>
  <si>
    <t>金子 尊之</t>
    <rPh sb="0" eb="2">
      <t>カネコ</t>
    </rPh>
    <rPh sb="3" eb="5">
      <t>タカユキ</t>
    </rPh>
    <phoneticPr fontId="1"/>
  </si>
  <si>
    <t>090-8311-3028</t>
    <phoneticPr fontId="1"/>
  </si>
  <si>
    <t>JBC1116・147RML</t>
    <phoneticPr fontId="1"/>
  </si>
  <si>
    <t>エプロン内壁点検口設置　台所排水壁だしのままにしてほしい、背板拡張底板開口必要かも　工事後に自分で洗濯パン交換する予定(墨出しとかしてくれるらしい)</t>
    <rPh sb="4" eb="11">
      <t>ナイカベテンケンコウセッチ</t>
    </rPh>
    <rPh sb="12" eb="14">
      <t>ダイドコロ</t>
    </rPh>
    <rPh sb="14" eb="16">
      <t>ハイスイ</t>
    </rPh>
    <rPh sb="16" eb="17">
      <t>カベ</t>
    </rPh>
    <rPh sb="29" eb="31">
      <t>セイタ</t>
    </rPh>
    <rPh sb="31" eb="33">
      <t>カクチョウ</t>
    </rPh>
    <rPh sb="33" eb="35">
      <t>ソコイタ</t>
    </rPh>
    <rPh sb="35" eb="37">
      <t>カイコウ</t>
    </rPh>
    <rPh sb="37" eb="39">
      <t>ヒツヨウ</t>
    </rPh>
    <rPh sb="42" eb="45">
      <t>コウジゴ</t>
    </rPh>
    <rPh sb="46" eb="48">
      <t>ジブン</t>
    </rPh>
    <rPh sb="49" eb="51">
      <t>センタク</t>
    </rPh>
    <rPh sb="53" eb="55">
      <t>コウカン</t>
    </rPh>
    <rPh sb="57" eb="59">
      <t>ヨテイ</t>
    </rPh>
    <rPh sb="60" eb="62">
      <t>スミダ</t>
    </rPh>
    <phoneticPr fontId="1"/>
  </si>
  <si>
    <t>鈴木 浩司</t>
    <rPh sb="0" eb="2">
      <t>スズキ</t>
    </rPh>
    <rPh sb="3" eb="5">
      <t>コウジ</t>
    </rPh>
    <phoneticPr fontId="1"/>
  </si>
  <si>
    <t>090-8848-8421</t>
    <phoneticPr fontId="1"/>
  </si>
  <si>
    <t>WHV1116UT・1915BL</t>
    <phoneticPr fontId="1"/>
  </si>
  <si>
    <t>浴室ｴﾌﾟﾛﾝはずしたらスラブ直　洗面所壁点検口設置(上だけコーキング打ち)　給湯管、追い焚き管更新済み→残す　ひな段既存壁だし、排水ホースでつなげている　仕事で不在になる為鍵希望</t>
    <rPh sb="0" eb="2">
      <t>ヨクシツ</t>
    </rPh>
    <rPh sb="15" eb="16">
      <t>チョク</t>
    </rPh>
    <rPh sb="17" eb="21">
      <t>センメンジョカベ</t>
    </rPh>
    <rPh sb="21" eb="26">
      <t>テンケンコウセッチ</t>
    </rPh>
    <rPh sb="27" eb="28">
      <t>ウエ</t>
    </rPh>
    <rPh sb="35" eb="36">
      <t>ウ</t>
    </rPh>
    <rPh sb="39" eb="42">
      <t>キュウトウカン</t>
    </rPh>
    <rPh sb="43" eb="44">
      <t>オ</t>
    </rPh>
    <rPh sb="45" eb="46">
      <t>ダ</t>
    </rPh>
    <rPh sb="47" eb="51">
      <t>カンコウシンズ</t>
    </rPh>
    <rPh sb="53" eb="54">
      <t>ノコ</t>
    </rPh>
    <rPh sb="58" eb="62">
      <t>ダンキゾンカベ</t>
    </rPh>
    <rPh sb="65" eb="67">
      <t>ハイスイ</t>
    </rPh>
    <rPh sb="78" eb="80">
      <t>シゴト</t>
    </rPh>
    <rPh sb="81" eb="83">
      <t>フザイ</t>
    </rPh>
    <rPh sb="86" eb="87">
      <t>タメ</t>
    </rPh>
    <rPh sb="87" eb="90">
      <t>カギキボウ</t>
    </rPh>
    <phoneticPr fontId="1"/>
  </si>
  <si>
    <t>？</t>
    <phoneticPr fontId="1"/>
  </si>
  <si>
    <t>東日本住宅管理空家　キーボックス5963　台所トラップ既存　エプロン内壁点検口設置</t>
    <rPh sb="0" eb="7">
      <t>ヒガシニホンジュウタクカンリ</t>
    </rPh>
    <rPh sb="7" eb="9">
      <t>アキヤ</t>
    </rPh>
    <rPh sb="21" eb="23">
      <t>ダイドコロ</t>
    </rPh>
    <rPh sb="27" eb="29">
      <t>キゾン</t>
    </rPh>
    <rPh sb="34" eb="41">
      <t>ナイカベテンケンコウセッチ</t>
    </rPh>
    <phoneticPr fontId="1"/>
  </si>
  <si>
    <t>売却中　お知らせは管理組合経由で郵送する　洗濯パン洗面台にずらす　エプロン内壁点検口設置</t>
    <rPh sb="0" eb="3">
      <t>バイキャクチュウ</t>
    </rPh>
    <rPh sb="5" eb="6">
      <t>シ</t>
    </rPh>
    <rPh sb="9" eb="15">
      <t>カンリクミアイケイユ</t>
    </rPh>
    <rPh sb="16" eb="18">
      <t>ユウソウ</t>
    </rPh>
    <rPh sb="21" eb="23">
      <t>センタク</t>
    </rPh>
    <rPh sb="25" eb="28">
      <t>センメンダイ</t>
    </rPh>
    <rPh sb="37" eb="44">
      <t>ナイカベテンケンコウセッチ</t>
    </rPh>
    <phoneticPr fontId="1"/>
  </si>
  <si>
    <t>洗面所壁点検口設置　洗面所床防音FL→CFで費用かかること説明済み　浴室デッキタイプ　ひな段</t>
    <rPh sb="0" eb="4">
      <t>センメンジョカベ</t>
    </rPh>
    <rPh sb="4" eb="9">
      <t>テンケンコウセッチ</t>
    </rPh>
    <rPh sb="10" eb="14">
      <t>センメンジョユカ</t>
    </rPh>
    <rPh sb="14" eb="16">
      <t>ボウオン</t>
    </rPh>
    <rPh sb="22" eb="24">
      <t>ヒヨウ</t>
    </rPh>
    <rPh sb="29" eb="31">
      <t>セツメイ</t>
    </rPh>
    <rPh sb="31" eb="32">
      <t>ズ</t>
    </rPh>
    <rPh sb="34" eb="36">
      <t>ヨクシツ</t>
    </rPh>
    <rPh sb="45" eb="46">
      <t>ダン</t>
    </rPh>
    <phoneticPr fontId="1"/>
  </si>
  <si>
    <t>長野 操</t>
    <rPh sb="0" eb="2">
      <t>ナガノ</t>
    </rPh>
    <rPh sb="3" eb="4">
      <t>ソウ</t>
    </rPh>
    <phoneticPr fontId="1"/>
  </si>
  <si>
    <t>048-683-5365</t>
    <phoneticPr fontId="1"/>
  </si>
  <si>
    <t>ｴﾌﾟﾛﾝ内点検口設置　洗濯パン洗面台にずらす　洗面所床と巾木テープ貼っている→はがしてOK　WL故障している交換検討中</t>
    <rPh sb="5" eb="6">
      <t>ナイ</t>
    </rPh>
    <rPh sb="6" eb="11">
      <t>テンケンコウセッチ</t>
    </rPh>
    <rPh sb="12" eb="14">
      <t>センタク</t>
    </rPh>
    <rPh sb="16" eb="19">
      <t>センメンダイ</t>
    </rPh>
    <rPh sb="24" eb="27">
      <t>センメンジョ</t>
    </rPh>
    <rPh sb="27" eb="28">
      <t>ユカ</t>
    </rPh>
    <rPh sb="29" eb="31">
      <t>ハバキ</t>
    </rPh>
    <rPh sb="34" eb="35">
      <t>ハ</t>
    </rPh>
    <rPh sb="49" eb="51">
      <t>コショウ</t>
    </rPh>
    <rPh sb="55" eb="60">
      <t>コウカンケントウチュウ</t>
    </rPh>
    <phoneticPr fontId="1"/>
  </si>
  <si>
    <t>青野 八州男</t>
    <rPh sb="0" eb="2">
      <t>アオノ</t>
    </rPh>
    <rPh sb="3" eb="6">
      <t>ヤスオ</t>
    </rPh>
    <phoneticPr fontId="1"/>
  </si>
  <si>
    <t>080-2395-5155</t>
    <phoneticPr fontId="1"/>
  </si>
  <si>
    <t>1000+600ｷｬﾋﾞ</t>
    <phoneticPr fontId="1"/>
  </si>
  <si>
    <t>JBC1116・151B8S</t>
    <phoneticPr fontId="1"/>
  </si>
  <si>
    <t>浴室鏡裏開口　洗面台大きい　洗濯機洗面台は台所横の和室に置く</t>
    <rPh sb="0" eb="2">
      <t>ヨクシツ</t>
    </rPh>
    <rPh sb="2" eb="6">
      <t>カガミウラカイコウ</t>
    </rPh>
    <rPh sb="7" eb="10">
      <t>センメンダイ</t>
    </rPh>
    <rPh sb="10" eb="11">
      <t>オオ</t>
    </rPh>
    <rPh sb="14" eb="17">
      <t>センタクキ</t>
    </rPh>
    <rPh sb="17" eb="20">
      <t>センメンダイ</t>
    </rPh>
    <rPh sb="21" eb="23">
      <t>ダイドコロ</t>
    </rPh>
    <rPh sb="23" eb="24">
      <t>ヨコ</t>
    </rPh>
    <rPh sb="25" eb="27">
      <t>ワシツ</t>
    </rPh>
    <rPh sb="28" eb="29">
      <t>オ</t>
    </rPh>
    <phoneticPr fontId="1"/>
  </si>
  <si>
    <t>畑 良子</t>
    <rPh sb="0" eb="1">
      <t>ハタケ</t>
    </rPh>
    <rPh sb="2" eb="4">
      <t>リョウコ</t>
    </rPh>
    <phoneticPr fontId="1"/>
  </si>
  <si>
    <t>048-685-6663</t>
    <phoneticPr fontId="1"/>
  </si>
  <si>
    <t>WZV1117・191241</t>
    <phoneticPr fontId="1"/>
  </si>
  <si>
    <t>ｴﾌﾟﾛﾝ内部材接続　トイレ止水栓ｽﾄﾚｰﾅｰ付　給湯管更新済み→更新希望　洗濯パン洗面台に寄せる　ひな段既存壁だし　　洗面所壁点検口あり</t>
    <rPh sb="5" eb="10">
      <t>ナイブザイセツゾク</t>
    </rPh>
    <rPh sb="14" eb="17">
      <t>シスイセン</t>
    </rPh>
    <rPh sb="23" eb="24">
      <t>ツキ</t>
    </rPh>
    <rPh sb="25" eb="31">
      <t>キュウトウカンコウシンズ</t>
    </rPh>
    <rPh sb="33" eb="37">
      <t>コウシンキボウ</t>
    </rPh>
    <rPh sb="38" eb="40">
      <t>センタク</t>
    </rPh>
    <rPh sb="42" eb="45">
      <t>センメンダイ</t>
    </rPh>
    <rPh sb="46" eb="47">
      <t>ヨ</t>
    </rPh>
    <rPh sb="52" eb="56">
      <t>ダンキゾンカベ</t>
    </rPh>
    <rPh sb="60" eb="64">
      <t>センメンジョカベ</t>
    </rPh>
    <rPh sb="64" eb="67">
      <t>テンケンコウ</t>
    </rPh>
    <phoneticPr fontId="1"/>
  </si>
  <si>
    <t>深堀 光成</t>
    <rPh sb="0" eb="2">
      <t>フカボリ</t>
    </rPh>
    <rPh sb="3" eb="5">
      <t>コウセイ</t>
    </rPh>
    <phoneticPr fontId="1"/>
  </si>
  <si>
    <t>冨士本 洋平</t>
    <rPh sb="0" eb="3">
      <t>フジモト</t>
    </rPh>
    <rPh sb="4" eb="6">
      <t>ヨウヘイ</t>
    </rPh>
    <phoneticPr fontId="1"/>
  </si>
  <si>
    <t>染野 哲也</t>
    <rPh sb="0" eb="2">
      <t>ソメノ</t>
    </rPh>
    <rPh sb="3" eb="5">
      <t>テツヤ</t>
    </rPh>
    <phoneticPr fontId="1"/>
  </si>
  <si>
    <t>03-3718-1618</t>
    <phoneticPr fontId="1"/>
  </si>
  <si>
    <t>月1で来る　工事期間中は在宅してくれる　お知らせはポスト投函OK　ひな段既存壁だし　ｴﾌﾟﾛﾝ内部材接続</t>
    <rPh sb="0" eb="1">
      <t>ツキ</t>
    </rPh>
    <rPh sb="3" eb="4">
      <t>ク</t>
    </rPh>
    <rPh sb="6" eb="8">
      <t>コウジ</t>
    </rPh>
    <rPh sb="8" eb="11">
      <t>キカンチュウ</t>
    </rPh>
    <rPh sb="12" eb="14">
      <t>ザイタク</t>
    </rPh>
    <rPh sb="21" eb="22">
      <t>シ</t>
    </rPh>
    <rPh sb="28" eb="30">
      <t>トウカン</t>
    </rPh>
    <rPh sb="35" eb="36">
      <t>ダン</t>
    </rPh>
    <rPh sb="36" eb="38">
      <t>キゾン</t>
    </rPh>
    <rPh sb="38" eb="39">
      <t>カベ</t>
    </rPh>
    <rPh sb="47" eb="49">
      <t>ブザイ</t>
    </rPh>
    <rPh sb="49" eb="51">
      <t>セツゾク</t>
    </rPh>
    <phoneticPr fontId="1"/>
  </si>
  <si>
    <t>WZV1117・149AA7</t>
    <phoneticPr fontId="1"/>
  </si>
  <si>
    <t>李 一秀</t>
    <rPh sb="0" eb="1">
      <t>リ</t>
    </rPh>
    <rPh sb="2" eb="4">
      <t>カズヒデ</t>
    </rPh>
    <phoneticPr fontId="1"/>
  </si>
  <si>
    <t>090-3347-1864</t>
    <phoneticPr fontId="1"/>
  </si>
  <si>
    <t>740+770ｷｬﾋﾞ</t>
    <phoneticPr fontId="1"/>
  </si>
  <si>
    <t>ｴﾌﾟﾛﾝ内壁点検口設置　ひな段既存壁だし　洗面トイレ床見切り無しつなげて貼る</t>
    <rPh sb="5" eb="12">
      <t>ナイカベテンケンコウセッチ</t>
    </rPh>
    <rPh sb="15" eb="19">
      <t>ダンキゾンカベ</t>
    </rPh>
    <rPh sb="22" eb="24">
      <t>センメン</t>
    </rPh>
    <rPh sb="27" eb="28">
      <t>ユカ</t>
    </rPh>
    <rPh sb="28" eb="30">
      <t>ミキ</t>
    </rPh>
    <rPh sb="31" eb="32">
      <t>ナ</t>
    </rPh>
    <rPh sb="37" eb="38">
      <t>ハ</t>
    </rPh>
    <phoneticPr fontId="1"/>
  </si>
  <si>
    <t>加藤 学</t>
    <rPh sb="0" eb="2">
      <t>カトウ</t>
    </rPh>
    <rPh sb="3" eb="4">
      <t>マナ</t>
    </rPh>
    <phoneticPr fontId="1"/>
  </si>
  <si>
    <t>080-1329-9799</t>
    <phoneticPr fontId="1"/>
  </si>
  <si>
    <t>ｴﾌﾟﾛﾝ内壁点検口設置　底板SUS→ポリ復旧　洗濯パン洗面台に寄せる　給湯管見えるところまでは変わっていそう　家主いない</t>
    <rPh sb="5" eb="12">
      <t>ナイカベテンケンコウセッチ</t>
    </rPh>
    <rPh sb="13" eb="23">
      <t>ソコイタSUSミギポリフッキュウ</t>
    </rPh>
    <rPh sb="24" eb="26">
      <t>センタク</t>
    </rPh>
    <rPh sb="28" eb="31">
      <t>センメンダイ</t>
    </rPh>
    <rPh sb="32" eb="33">
      <t>ヨ</t>
    </rPh>
    <rPh sb="36" eb="39">
      <t>キュウトウカン</t>
    </rPh>
    <rPh sb="39" eb="40">
      <t>ミ</t>
    </rPh>
    <rPh sb="48" eb="49">
      <t>カ</t>
    </rPh>
    <rPh sb="56" eb="58">
      <t>ヤヌシ</t>
    </rPh>
    <phoneticPr fontId="1"/>
  </si>
  <si>
    <t>木村(えにしの会)</t>
    <rPh sb="0" eb="2">
      <t>キムラ</t>
    </rPh>
    <rPh sb="7" eb="8">
      <t>カイ</t>
    </rPh>
    <phoneticPr fontId="1"/>
  </si>
  <si>
    <t>048-430-7603
070-3113-5932</t>
    <phoneticPr fontId="1"/>
  </si>
  <si>
    <t>CF</t>
    <phoneticPr fontId="1"/>
  </si>
  <si>
    <t>WGV1116JT・130EFS</t>
    <phoneticPr fontId="1"/>
  </si>
  <si>
    <t>トイレ壁タイル→玄関壁１面解体貼替、壁給水が床になるかもと説明　浴室鏡裏開口　売却予定入居者決まったら連絡もらう、決まらなかったら工事の立会してくれる　お知らせは管理組合経由で郵送する　器具廻りだけ給水給湯変わっていそう→全更新</t>
    <rPh sb="3" eb="4">
      <t>カベ</t>
    </rPh>
    <rPh sb="8" eb="10">
      <t>ゲンカン</t>
    </rPh>
    <rPh sb="10" eb="11">
      <t>カベ</t>
    </rPh>
    <rPh sb="12" eb="13">
      <t>メン</t>
    </rPh>
    <rPh sb="13" eb="15">
      <t>カイタイ</t>
    </rPh>
    <rPh sb="15" eb="17">
      <t>ハリカエ</t>
    </rPh>
    <rPh sb="18" eb="19">
      <t>カベ</t>
    </rPh>
    <rPh sb="19" eb="21">
      <t>キュウスイ</t>
    </rPh>
    <rPh sb="22" eb="23">
      <t>ユカ</t>
    </rPh>
    <rPh sb="29" eb="31">
      <t>セツメイ</t>
    </rPh>
    <rPh sb="32" eb="34">
      <t>ヨクシツ</t>
    </rPh>
    <rPh sb="34" eb="38">
      <t>カガミウラカイコウ</t>
    </rPh>
    <rPh sb="39" eb="43">
      <t>バイキャクヨテイ</t>
    </rPh>
    <rPh sb="43" eb="47">
      <t>ニュウキョシャキ</t>
    </rPh>
    <rPh sb="51" eb="53">
      <t>レンラク</t>
    </rPh>
    <rPh sb="57" eb="58">
      <t>キ</t>
    </rPh>
    <rPh sb="65" eb="67">
      <t>コウジ</t>
    </rPh>
    <rPh sb="68" eb="70">
      <t>タチアイ</t>
    </rPh>
    <rPh sb="77" eb="78">
      <t>シ</t>
    </rPh>
    <rPh sb="81" eb="87">
      <t>カンリクミアイケイユ</t>
    </rPh>
    <rPh sb="88" eb="90">
      <t>ユウソウ</t>
    </rPh>
    <rPh sb="93" eb="96">
      <t>キグマワ</t>
    </rPh>
    <rPh sb="99" eb="103">
      <t>キュウスイキュウトウ</t>
    </rPh>
    <rPh sb="103" eb="104">
      <t>カ</t>
    </rPh>
    <rPh sb="111" eb="114">
      <t>ゼンコウシン</t>
    </rPh>
    <phoneticPr fontId="1"/>
  </si>
  <si>
    <t>JZC1117・151677</t>
    <phoneticPr fontId="1"/>
  </si>
  <si>
    <t>ｴﾌﾟﾛﾝ内壁点検口設置　家主仕事の為日中不在、代理の方が立ち会ってくれた</t>
    <rPh sb="5" eb="6">
      <t>ナイ</t>
    </rPh>
    <rPh sb="6" eb="7">
      <t>カベ</t>
    </rPh>
    <rPh sb="7" eb="12">
      <t>テンケンコウセッチ</t>
    </rPh>
    <rPh sb="13" eb="15">
      <t>ヤヌシ</t>
    </rPh>
    <rPh sb="15" eb="17">
      <t>シゴト</t>
    </rPh>
    <rPh sb="18" eb="19">
      <t>タメ</t>
    </rPh>
    <rPh sb="19" eb="21">
      <t>ニッチュウ</t>
    </rPh>
    <rPh sb="21" eb="23">
      <t>フザイ</t>
    </rPh>
    <rPh sb="24" eb="26">
      <t>ダイリ</t>
    </rPh>
    <rPh sb="27" eb="28">
      <t>カタ</t>
    </rPh>
    <rPh sb="29" eb="30">
      <t>タ</t>
    </rPh>
    <rPh sb="31" eb="32">
      <t>ア</t>
    </rPh>
    <phoneticPr fontId="1"/>
  </si>
  <si>
    <t>矢島 道子(代理)</t>
    <rPh sb="0" eb="2">
      <t>ヤジマ</t>
    </rPh>
    <rPh sb="3" eb="5">
      <t>ミチコ</t>
    </rPh>
    <rPh sb="6" eb="8">
      <t>ダイリ</t>
    </rPh>
    <phoneticPr fontId="1"/>
  </si>
  <si>
    <t>048-684-8365(代理)</t>
    <rPh sb="13" eb="15">
      <t>ダイリ</t>
    </rPh>
    <phoneticPr fontId="1"/>
  </si>
  <si>
    <t>監物 健一</t>
    <rPh sb="0" eb="2">
      <t>ケンモツ</t>
    </rPh>
    <rPh sb="3" eb="5">
      <t>ケンイチ</t>
    </rPh>
    <phoneticPr fontId="1"/>
  </si>
  <si>
    <t>048-685-3213</t>
    <phoneticPr fontId="1"/>
  </si>
  <si>
    <t>JZV1116・1490F1</t>
    <phoneticPr fontId="1"/>
  </si>
  <si>
    <t>ｴﾌﾟﾛﾝ内点検口設置　洗濯パン洗面台に寄せる</t>
    <rPh sb="5" eb="6">
      <t>ナイ</t>
    </rPh>
    <rPh sb="6" eb="11">
      <t>テンケンコウセッチ</t>
    </rPh>
    <rPh sb="12" eb="14">
      <t>センタク</t>
    </rPh>
    <rPh sb="16" eb="19">
      <t>センメンダイ</t>
    </rPh>
    <rPh sb="20" eb="21">
      <t>ヨ</t>
    </rPh>
    <phoneticPr fontId="1"/>
  </si>
  <si>
    <t>金垣 圭憲</t>
    <rPh sb="0" eb="1">
      <t>カネ</t>
    </rPh>
    <rPh sb="1" eb="2">
      <t>カキ</t>
    </rPh>
    <rPh sb="3" eb="4">
      <t>ケイ</t>
    </rPh>
    <rPh sb="4" eb="5">
      <t>ケン</t>
    </rPh>
    <phoneticPr fontId="1"/>
  </si>
  <si>
    <t>伊藤 好礼</t>
    <rPh sb="0" eb="2">
      <t>イトウ</t>
    </rPh>
    <rPh sb="3" eb="4">
      <t>ス</t>
    </rPh>
    <rPh sb="4" eb="5">
      <t>レイ</t>
    </rPh>
    <phoneticPr fontId="1"/>
  </si>
  <si>
    <t>090-5408-9736</t>
    <phoneticPr fontId="1"/>
  </si>
  <si>
    <t>WZV1117・143271</t>
    <phoneticPr fontId="1"/>
  </si>
  <si>
    <t>浴室鏡裏開口　洗濯パン洗面台に寄せる　3年ほど住んでない　電気と水は契約したまま　工事後にリフォーム予定</t>
    <rPh sb="0" eb="2">
      <t>ヨクシツ</t>
    </rPh>
    <rPh sb="2" eb="6">
      <t>カガミウラカイコウ</t>
    </rPh>
    <rPh sb="7" eb="9">
      <t>センタク</t>
    </rPh>
    <rPh sb="11" eb="14">
      <t>センメンダイ</t>
    </rPh>
    <rPh sb="15" eb="16">
      <t>ヨ</t>
    </rPh>
    <rPh sb="20" eb="21">
      <t>ネン</t>
    </rPh>
    <rPh sb="23" eb="24">
      <t>ス</t>
    </rPh>
    <rPh sb="29" eb="31">
      <t>デンキ</t>
    </rPh>
    <rPh sb="32" eb="33">
      <t>ミズ</t>
    </rPh>
    <rPh sb="34" eb="36">
      <t>ケイヤク</t>
    </rPh>
    <rPh sb="41" eb="44">
      <t>コウジゴ</t>
    </rPh>
    <rPh sb="50" eb="52">
      <t>ヨテイ</t>
    </rPh>
    <phoneticPr fontId="1"/>
  </si>
  <si>
    <t>トイレ吊戸棚脱着　トイレ洗面床フロアタイル→CF貼替でOK　MB内更新されているが資料ないのでどこまで更新しているかわからない→浴室洗濯機既存管接続で全更新　ひな段　潔癖症　養生貼らない布団敷く</t>
    <rPh sb="3" eb="8">
      <t>ツリトダナダッチャク</t>
    </rPh>
    <rPh sb="12" eb="14">
      <t>センメン</t>
    </rPh>
    <rPh sb="14" eb="15">
      <t>ユカ</t>
    </rPh>
    <rPh sb="24" eb="26">
      <t>ハリカエ</t>
    </rPh>
    <rPh sb="32" eb="33">
      <t>ナイ</t>
    </rPh>
    <rPh sb="33" eb="35">
      <t>コウシン</t>
    </rPh>
    <rPh sb="41" eb="43">
      <t>シリョウ</t>
    </rPh>
    <rPh sb="51" eb="53">
      <t>コウシン</t>
    </rPh>
    <rPh sb="64" eb="66">
      <t>ヨクシツ</t>
    </rPh>
    <rPh sb="66" eb="69">
      <t>センタクキ</t>
    </rPh>
    <rPh sb="69" eb="74">
      <t>キゾンカンセツゾク</t>
    </rPh>
    <rPh sb="75" eb="76">
      <t>ゼン</t>
    </rPh>
    <rPh sb="76" eb="78">
      <t>コウシン</t>
    </rPh>
    <rPh sb="81" eb="82">
      <t>ダン</t>
    </rPh>
    <rPh sb="83" eb="86">
      <t>ケッペキショウ</t>
    </rPh>
    <rPh sb="87" eb="90">
      <t>ヨウジョウハ</t>
    </rPh>
    <rPh sb="93" eb="96">
      <t>フトンシ</t>
    </rPh>
    <phoneticPr fontId="1"/>
  </si>
  <si>
    <t>エプロン内部材接続　底板SUS→ｷｯﾁﾝ撤去されていなかったらポリ復旧OK　洗面台洗濯パンは外したままトイレのみ本復旧　工事前にｷｯﾁﾝ撤去される場合は連絡もらう　お知らせは郵送　電気通っていない　</t>
    <rPh sb="4" eb="9">
      <t>ナイブザイセツゾク</t>
    </rPh>
    <rPh sb="10" eb="16">
      <t>ソコイタSUSミギ</t>
    </rPh>
    <rPh sb="20" eb="22">
      <t>テッキョ</t>
    </rPh>
    <rPh sb="33" eb="35">
      <t>フッキュウ</t>
    </rPh>
    <rPh sb="38" eb="41">
      <t>センメンダイ</t>
    </rPh>
    <rPh sb="41" eb="43">
      <t>センタク</t>
    </rPh>
    <rPh sb="46" eb="47">
      <t>ハズ</t>
    </rPh>
    <rPh sb="56" eb="59">
      <t>ホンフッキュウ</t>
    </rPh>
    <rPh sb="60" eb="63">
      <t>コウジマエ</t>
    </rPh>
    <rPh sb="68" eb="70">
      <t>テッキョ</t>
    </rPh>
    <rPh sb="73" eb="75">
      <t>バアイ</t>
    </rPh>
    <rPh sb="76" eb="78">
      <t>レンラク</t>
    </rPh>
    <rPh sb="83" eb="84">
      <t>シ</t>
    </rPh>
    <rPh sb="87" eb="89">
      <t>ユウソウ</t>
    </rPh>
    <rPh sb="90" eb="92">
      <t>デンキ</t>
    </rPh>
    <rPh sb="92" eb="93">
      <t>トオ</t>
    </rPh>
    <phoneticPr fontId="1"/>
  </si>
  <si>
    <t>浴室デッキタイプ　洗面所壁点検口設置する　底板SUS→復旧方法検討中　洗濯パン洗面谷寄せる　ﾄｲﾚ止水栓Ｄ式ｱﾝｸﾞﾙ</t>
    <rPh sb="0" eb="2">
      <t>ヨクシツ</t>
    </rPh>
    <rPh sb="9" eb="11">
      <t>センメン</t>
    </rPh>
    <rPh sb="11" eb="12">
      <t>ジョ</t>
    </rPh>
    <rPh sb="12" eb="13">
      <t>カベ</t>
    </rPh>
    <rPh sb="13" eb="16">
      <t>テンケンコウ</t>
    </rPh>
    <rPh sb="16" eb="18">
      <t>セッチ</t>
    </rPh>
    <rPh sb="21" eb="23">
      <t>ソコイタ</t>
    </rPh>
    <rPh sb="27" eb="29">
      <t>フッキュウ</t>
    </rPh>
    <rPh sb="29" eb="31">
      <t>ホウホウ</t>
    </rPh>
    <rPh sb="31" eb="34">
      <t>ケントウチュウ</t>
    </rPh>
    <rPh sb="35" eb="37">
      <t>センタク</t>
    </rPh>
    <rPh sb="39" eb="41">
      <t>センメン</t>
    </rPh>
    <rPh sb="41" eb="42">
      <t>ダニ</t>
    </rPh>
    <rPh sb="42" eb="43">
      <t>ヨ</t>
    </rPh>
    <rPh sb="49" eb="52">
      <t>シスイセン</t>
    </rPh>
    <rPh sb="53" eb="54">
      <t>シキ</t>
    </rPh>
    <phoneticPr fontId="1"/>
  </si>
  <si>
    <t>ｴﾌﾟﾛﾝ外して作業可能スラブ直　洗面所壁点検口あり　底板SUS→復旧方法検討中　給湯管、追い焚き管更新済み→給湯管全更新希望　洗濯パン洗面谷寄せる　OP給水付き洗濯パン交換・ステンレス復旧・隠蔽配管検討</t>
    <rPh sb="5" eb="6">
      <t>ハズ</t>
    </rPh>
    <rPh sb="9" eb="11">
      <t>カノウ</t>
    </rPh>
    <rPh sb="15" eb="16">
      <t>チョク</t>
    </rPh>
    <rPh sb="17" eb="21">
      <t>センメンジョカベ</t>
    </rPh>
    <rPh sb="21" eb="24">
      <t>テンケンコウ</t>
    </rPh>
    <rPh sb="27" eb="29">
      <t>ソコイタ</t>
    </rPh>
    <rPh sb="33" eb="37">
      <t>フッキュウホウホウ</t>
    </rPh>
    <rPh sb="37" eb="40">
      <t>ケントウチュウ</t>
    </rPh>
    <phoneticPr fontId="1"/>
  </si>
  <si>
    <t>洗面所壁点検口設置する　洗濯パン洗面台に寄せる　底板SUS→SUS復旧希望　ゴミ屋敷というより荷物が多い水廻りは大丈夫そう　防犯気になる工事中は見張りをつけてほしい、工事期間中はホテル滞在になるかも　器具廻り配管更新している→全更新することになった　過去に他業者でトラブルあり　めんどくさい</t>
    <rPh sb="0" eb="4">
      <t>センメンジョカベ</t>
    </rPh>
    <rPh sb="4" eb="9">
      <t>テンケンコウセッチ</t>
    </rPh>
    <rPh sb="12" eb="14">
      <t>センタク</t>
    </rPh>
    <rPh sb="16" eb="19">
      <t>センメンダイ</t>
    </rPh>
    <rPh sb="20" eb="21">
      <t>ヨ</t>
    </rPh>
    <rPh sb="24" eb="26">
      <t>ソコイタ</t>
    </rPh>
    <rPh sb="33" eb="37">
      <t>フッキュウキボウ</t>
    </rPh>
    <rPh sb="40" eb="42">
      <t>ヤシキ</t>
    </rPh>
    <rPh sb="47" eb="49">
      <t>ニモツ</t>
    </rPh>
    <rPh sb="50" eb="51">
      <t>オオ</t>
    </rPh>
    <rPh sb="52" eb="54">
      <t>ミズマワ</t>
    </rPh>
    <rPh sb="56" eb="59">
      <t>ダイジョウブ</t>
    </rPh>
    <rPh sb="62" eb="65">
      <t>ボウハンキ</t>
    </rPh>
    <rPh sb="68" eb="71">
      <t>コウジチュウ</t>
    </rPh>
    <rPh sb="72" eb="74">
      <t>ミハ</t>
    </rPh>
    <rPh sb="83" eb="87">
      <t>コウジキカン</t>
    </rPh>
    <rPh sb="87" eb="88">
      <t>チュウ</t>
    </rPh>
    <rPh sb="92" eb="94">
      <t>タイザイ</t>
    </rPh>
    <rPh sb="100" eb="103">
      <t>キグマワ</t>
    </rPh>
    <rPh sb="104" eb="108">
      <t>ハイカンコウシン</t>
    </rPh>
    <phoneticPr fontId="1"/>
  </si>
  <si>
    <t>浴室エプロン内開口あり再使用、鏡ﾊﾟﾈﾙ脱着　給湯管更新済み→残す　底板SUS→ポリ復旧　洗濯機置いていない　12-305に母親住んでいる</t>
    <rPh sb="0" eb="2">
      <t>ヨクシツ</t>
    </rPh>
    <rPh sb="6" eb="7">
      <t>ナイ</t>
    </rPh>
    <rPh sb="7" eb="9">
      <t>カイコウ</t>
    </rPh>
    <rPh sb="11" eb="14">
      <t>サイシヨウ</t>
    </rPh>
    <rPh sb="15" eb="16">
      <t>カガミ</t>
    </rPh>
    <rPh sb="20" eb="22">
      <t>ダッチャク</t>
    </rPh>
    <rPh sb="23" eb="29">
      <t>キュウトウカンコウシンズ</t>
    </rPh>
    <rPh sb="30" eb="32">
      <t>ミギノコ</t>
    </rPh>
    <rPh sb="34" eb="44">
      <t>ソコイタSUSミギポリフッキュウ</t>
    </rPh>
    <rPh sb="45" eb="49">
      <t>センタクキオ</t>
    </rPh>
    <rPh sb="62" eb="65">
      <t>ハハオヤス</t>
    </rPh>
    <phoneticPr fontId="1"/>
  </si>
  <si>
    <t>専有部工事拒否、共用部は工事可(MB内と庭)　給水管は器具廻りのみ更新床下は未更新、MB内も未更新　返金見積り次第でトイレ内作業するか検討する　14-103の庭も利用しているらしい</t>
    <rPh sb="0" eb="3">
      <t>センユウブ</t>
    </rPh>
    <rPh sb="3" eb="5">
      <t>コウジ</t>
    </rPh>
    <rPh sb="5" eb="7">
      <t>キョヒ</t>
    </rPh>
    <rPh sb="8" eb="11">
      <t>キョウヨウブ</t>
    </rPh>
    <rPh sb="12" eb="14">
      <t>コウジ</t>
    </rPh>
    <rPh sb="14" eb="15">
      <t>カ</t>
    </rPh>
    <rPh sb="18" eb="19">
      <t>ナイ</t>
    </rPh>
    <rPh sb="20" eb="21">
      <t>ニワ</t>
    </rPh>
    <rPh sb="23" eb="25">
      <t>キュウスイ</t>
    </rPh>
    <rPh sb="25" eb="26">
      <t>カン</t>
    </rPh>
    <rPh sb="27" eb="30">
      <t>キグマワ</t>
    </rPh>
    <rPh sb="33" eb="35">
      <t>コウシン</t>
    </rPh>
    <rPh sb="35" eb="36">
      <t>ユカ</t>
    </rPh>
    <rPh sb="36" eb="37">
      <t>シタ</t>
    </rPh>
    <rPh sb="38" eb="41">
      <t>ミコウシン</t>
    </rPh>
    <rPh sb="44" eb="45">
      <t>ナイ</t>
    </rPh>
    <rPh sb="46" eb="49">
      <t>ミコウシン</t>
    </rPh>
    <rPh sb="50" eb="52">
      <t>ヘンキン</t>
    </rPh>
    <rPh sb="52" eb="54">
      <t>ミツモ</t>
    </rPh>
    <rPh sb="55" eb="57">
      <t>シダイ</t>
    </rPh>
    <rPh sb="61" eb="62">
      <t>ナイ</t>
    </rPh>
    <rPh sb="62" eb="64">
      <t>サギョウ</t>
    </rPh>
    <rPh sb="67" eb="69">
      <t>ケントウ</t>
    </rPh>
    <rPh sb="79" eb="80">
      <t>ニワ</t>
    </rPh>
    <rPh sb="81" eb="83">
      <t>リヨウ</t>
    </rPh>
    <phoneticPr fontId="1"/>
  </si>
  <si>
    <t>浴室デッキタイプ洗面所壁点検口設置あり　給湯管追い焚き管更新済み→給湯管更新希望　洗濯パン洗面台に寄せる　ひな段既存壁だし真ん中の引き出し背板開口必要　洗面所入口床への字ついてる</t>
    <rPh sb="0" eb="2">
      <t>ヨクシツ</t>
    </rPh>
    <rPh sb="8" eb="11">
      <t>センメンジョ</t>
    </rPh>
    <rPh sb="11" eb="12">
      <t>カベ</t>
    </rPh>
    <rPh sb="12" eb="17">
      <t>テンケンコウセッチ</t>
    </rPh>
    <rPh sb="20" eb="23">
      <t>キュウトウカン</t>
    </rPh>
    <rPh sb="23" eb="24">
      <t>オ</t>
    </rPh>
    <rPh sb="25" eb="26">
      <t>ダ</t>
    </rPh>
    <rPh sb="27" eb="28">
      <t>カン</t>
    </rPh>
    <rPh sb="28" eb="30">
      <t>コウシン</t>
    </rPh>
    <rPh sb="30" eb="31">
      <t>ズ</t>
    </rPh>
    <rPh sb="33" eb="36">
      <t>キュウトウカン</t>
    </rPh>
    <rPh sb="36" eb="40">
      <t>コウシンキボウ</t>
    </rPh>
    <rPh sb="41" eb="43">
      <t>センタク</t>
    </rPh>
    <rPh sb="45" eb="48">
      <t>センメンダイ</t>
    </rPh>
    <rPh sb="49" eb="50">
      <t>ヨ</t>
    </rPh>
    <rPh sb="55" eb="59">
      <t>ダンキゾンカベ</t>
    </rPh>
    <rPh sb="61" eb="62">
      <t>マ</t>
    </rPh>
    <rPh sb="63" eb="64">
      <t>ナカ</t>
    </rPh>
    <rPh sb="65" eb="66">
      <t>ヒ</t>
    </rPh>
    <rPh sb="67" eb="68">
      <t>ダ</t>
    </rPh>
    <rPh sb="69" eb="73">
      <t>セイタカイコウ</t>
    </rPh>
    <rPh sb="73" eb="75">
      <t>ヒツヨウ</t>
    </rPh>
    <rPh sb="76" eb="78">
      <t>センメン</t>
    </rPh>
    <rPh sb="78" eb="79">
      <t>ジョ</t>
    </rPh>
    <rPh sb="79" eb="81">
      <t>イリグチ</t>
    </rPh>
    <rPh sb="81" eb="82">
      <t>ユカ</t>
    </rPh>
    <rPh sb="84" eb="85">
      <t>ジ</t>
    </rPh>
    <phoneticPr fontId="1"/>
  </si>
  <si>
    <t>浴室デッキタイプ洗面所壁点検口設置　底板SUS→ポリ復旧　給湯器が洗濯パンの上に重なっている洗濯モール立ち上げスペース無し→洗濯パン洗面谷にずらす？　隠蔽配管検討　便器、洗濯パン交換UB工事玄関台所居間の床貼替希望</t>
    <rPh sb="0" eb="2">
      <t>ヨクシツ</t>
    </rPh>
    <rPh sb="8" eb="17">
      <t>センメンジョカベテンケンコウセッチ</t>
    </rPh>
    <rPh sb="18" eb="28">
      <t>ソコイタSUSミギポリフッキュウ</t>
    </rPh>
    <rPh sb="29" eb="32">
      <t>キュウトウキ</t>
    </rPh>
    <rPh sb="33" eb="35">
      <t>センタク</t>
    </rPh>
    <rPh sb="38" eb="39">
      <t>ウエ</t>
    </rPh>
    <rPh sb="40" eb="41">
      <t>カサ</t>
    </rPh>
    <rPh sb="46" eb="48">
      <t>センタク</t>
    </rPh>
    <rPh sb="51" eb="52">
      <t>タ</t>
    </rPh>
    <rPh sb="53" eb="54">
      <t>ア</t>
    </rPh>
    <rPh sb="59" eb="60">
      <t>ナ</t>
    </rPh>
    <rPh sb="62" eb="64">
      <t>センタク</t>
    </rPh>
    <rPh sb="66" eb="69">
      <t>センメンダニ</t>
    </rPh>
    <rPh sb="75" eb="81">
      <t>インペイハイカンケントウ</t>
    </rPh>
    <rPh sb="82" eb="84">
      <t>ベンキ</t>
    </rPh>
    <rPh sb="85" eb="87">
      <t>センタク</t>
    </rPh>
    <rPh sb="89" eb="91">
      <t>コウカン</t>
    </rPh>
    <rPh sb="93" eb="95">
      <t>コウジ</t>
    </rPh>
    <rPh sb="95" eb="97">
      <t>ゲンカン</t>
    </rPh>
    <rPh sb="97" eb="99">
      <t>ダイドコロ</t>
    </rPh>
    <rPh sb="99" eb="101">
      <t>イマ</t>
    </rPh>
    <rPh sb="102" eb="103">
      <t>ユカ</t>
    </rPh>
    <rPh sb="103" eb="105">
      <t>ハリカエ</t>
    </rPh>
    <rPh sb="105" eb="107">
      <t>キボウ</t>
    </rPh>
    <phoneticPr fontId="1"/>
  </si>
  <si>
    <t>浴室水栓2つカウンター付き内部材接続　洗面所壁点検口ありｺｰｷﾝｸﾞ打ちされているため中見れなかった　給湯管更新済み→更新希望　ひな段　ﾄｲﾚ止水栓ｽﾄﾚｰﾅｰ付</t>
    <rPh sb="0" eb="2">
      <t>ヨクシツ</t>
    </rPh>
    <rPh sb="2" eb="4">
      <t>スイセン</t>
    </rPh>
    <rPh sb="11" eb="12">
      <t>ツ</t>
    </rPh>
    <rPh sb="13" eb="18">
      <t>ナイブザイセツゾク</t>
    </rPh>
    <rPh sb="19" eb="23">
      <t>センメンジョカベ</t>
    </rPh>
    <rPh sb="23" eb="26">
      <t>テンケンコウ</t>
    </rPh>
    <rPh sb="34" eb="35">
      <t>ウ</t>
    </rPh>
    <rPh sb="43" eb="44">
      <t>ナカ</t>
    </rPh>
    <rPh sb="44" eb="45">
      <t>ミ</t>
    </rPh>
    <rPh sb="51" eb="57">
      <t>キュウトウカンコウシンズ</t>
    </rPh>
    <rPh sb="59" eb="63">
      <t>コウシンキボウ</t>
    </rPh>
    <rPh sb="66" eb="67">
      <t>ダン</t>
    </rPh>
    <rPh sb="71" eb="74">
      <t>シスイセン</t>
    </rPh>
    <rPh sb="80" eb="81">
      <t>ツキ</t>
    </rPh>
    <phoneticPr fontId="1"/>
  </si>
  <si>
    <t>浴室水栓2つｴﾌﾟﾛﾝ内部材接続　トイレ床一段上がっている（合板で段差作ってあるその上に塩ﾋﾞﾀｲﾙのようなもの敷いている）　キッチン給水給湯壁だし　底板SUS→復旧方法はオーナー様に確認する内装も　玄関壁にレンガ調のシール貼ってある　洗濯パン洗面台に少しずらす</t>
    <rPh sb="0" eb="2">
      <t>ヨクシツ</t>
    </rPh>
    <rPh sb="2" eb="4">
      <t>スイセン</t>
    </rPh>
    <rPh sb="11" eb="16">
      <t>ナイブザイセツゾク</t>
    </rPh>
    <rPh sb="20" eb="21">
      <t>ユカ</t>
    </rPh>
    <rPh sb="21" eb="24">
      <t>イチダンア</t>
    </rPh>
    <rPh sb="30" eb="32">
      <t>ゴウバン</t>
    </rPh>
    <rPh sb="33" eb="35">
      <t>ダンサ</t>
    </rPh>
    <rPh sb="35" eb="36">
      <t>ツク</t>
    </rPh>
    <rPh sb="42" eb="43">
      <t>ウエ</t>
    </rPh>
    <rPh sb="44" eb="45">
      <t>エン</t>
    </rPh>
    <rPh sb="56" eb="57">
      <t>シ</t>
    </rPh>
    <rPh sb="67" eb="71">
      <t>キュウスイキュウトウ</t>
    </rPh>
    <rPh sb="71" eb="72">
      <t>カベ</t>
    </rPh>
    <rPh sb="75" eb="77">
      <t>ソコイタ</t>
    </rPh>
    <rPh sb="81" eb="85">
      <t>フッキュウホウホウ</t>
    </rPh>
    <rPh sb="96" eb="98">
      <t>ナイソウ</t>
    </rPh>
    <rPh sb="100" eb="103">
      <t>ゲンカンカベ</t>
    </rPh>
    <rPh sb="107" eb="108">
      <t>チョウ</t>
    </rPh>
    <rPh sb="112" eb="113">
      <t>ハ</t>
    </rPh>
    <rPh sb="118" eb="120">
      <t>センタク</t>
    </rPh>
    <rPh sb="122" eb="125">
      <t>センメンダイ</t>
    </rPh>
    <rPh sb="126" eb="127">
      <t>スコ</t>
    </rPh>
    <phoneticPr fontId="1"/>
  </si>
  <si>
    <t>浴室水栓二個、洗面所壁に点検口設置＆ｴﾌﾟﾛﾝ内配管にて既存管接続→施工時にｴﾌﾟﾛﾝ内配管使っているか確認する　底板SUS→ポリ復旧　OP洗面台、ﾄｲﾚ、洗濯パン交換希望</t>
    <rPh sb="0" eb="4">
      <t>ヨクシツスイセン</t>
    </rPh>
    <rPh sb="4" eb="6">
      <t>ニコ</t>
    </rPh>
    <rPh sb="7" eb="11">
      <t>センメンジョカベ</t>
    </rPh>
    <rPh sb="12" eb="17">
      <t>テンケンコウセッチ</t>
    </rPh>
    <rPh sb="23" eb="24">
      <t>ナイ</t>
    </rPh>
    <rPh sb="24" eb="26">
      <t>ハイカン</t>
    </rPh>
    <rPh sb="28" eb="33">
      <t>キゾンカンセツゾク</t>
    </rPh>
    <rPh sb="34" eb="37">
      <t>セコウジ</t>
    </rPh>
    <rPh sb="43" eb="44">
      <t>ナイ</t>
    </rPh>
    <rPh sb="44" eb="47">
      <t>ハイカンツカ</t>
    </rPh>
    <rPh sb="52" eb="54">
      <t>カクニン</t>
    </rPh>
    <rPh sb="57" eb="59">
      <t>ソコイタ</t>
    </rPh>
    <rPh sb="62" eb="67">
      <t>ヤジルシポリフッキュウ</t>
    </rPh>
    <rPh sb="70" eb="73">
      <t>センメンダイ</t>
    </rPh>
    <rPh sb="78" eb="80">
      <t>センタク</t>
    </rPh>
    <rPh sb="82" eb="86">
      <t>コウカンキボウ</t>
    </rPh>
    <phoneticPr fontId="1"/>
  </si>
  <si>
    <t>モール立ち上げの為洗濯パン洗面台に寄せる　トイレ嵩あげﾄｲﾚ交換検討中</t>
    <rPh sb="3" eb="4">
      <t>タ</t>
    </rPh>
    <rPh sb="5" eb="6">
      <t>ア</t>
    </rPh>
    <rPh sb="8" eb="11">
      <t>タメセンタク</t>
    </rPh>
    <rPh sb="13" eb="16">
      <t>センメンダイ</t>
    </rPh>
    <rPh sb="17" eb="18">
      <t>ヨ</t>
    </rPh>
    <rPh sb="24" eb="25">
      <t>カサ</t>
    </rPh>
    <rPh sb="30" eb="34">
      <t>コウカンケントウ</t>
    </rPh>
    <rPh sb="34" eb="35">
      <t>チュウ</t>
    </rPh>
    <phoneticPr fontId="1"/>
  </si>
  <si>
    <t>鍋山 典利</t>
    <rPh sb="0" eb="2">
      <t>ナベヤマ</t>
    </rPh>
    <rPh sb="3" eb="5">
      <t>ノリトシ</t>
    </rPh>
    <phoneticPr fontId="1"/>
  </si>
  <si>
    <t>048-284-3088</t>
    <phoneticPr fontId="1"/>
  </si>
  <si>
    <t>？</t>
    <phoneticPr fontId="1"/>
  </si>
  <si>
    <t>セキスイ</t>
    <phoneticPr fontId="1"/>
  </si>
  <si>
    <t>東日本住宅管理空家　キーボックス5963　洗濯パン隙間ない洗面台側にも寄せられないパン小さくする？　ひな段既存壁だし　浴室デッキタイプ洗面所壁点検口設置　オーナーより工事拒否</t>
    <rPh sb="0" eb="5">
      <t>ヒガシニホンジュウタク</t>
    </rPh>
    <rPh sb="5" eb="7">
      <t>カンリ</t>
    </rPh>
    <rPh sb="7" eb="9">
      <t>アキヤ</t>
    </rPh>
    <rPh sb="21" eb="23">
      <t>センタク</t>
    </rPh>
    <rPh sb="25" eb="27">
      <t>スキマ</t>
    </rPh>
    <rPh sb="29" eb="33">
      <t>センメンダイガワ</t>
    </rPh>
    <rPh sb="35" eb="36">
      <t>ヨ</t>
    </rPh>
    <rPh sb="43" eb="44">
      <t>チイ</t>
    </rPh>
    <rPh sb="52" eb="56">
      <t>ダンキゾンカベ</t>
    </rPh>
    <rPh sb="59" eb="61">
      <t>ヨクシツ</t>
    </rPh>
    <rPh sb="67" eb="69">
      <t>センメン</t>
    </rPh>
    <rPh sb="69" eb="70">
      <t>ジョ</t>
    </rPh>
    <rPh sb="70" eb="71">
      <t>カベ</t>
    </rPh>
    <rPh sb="71" eb="76">
      <t>テンケンコウセッチ</t>
    </rPh>
    <rPh sb="83" eb="87">
      <t>コウジキョヒ</t>
    </rPh>
    <phoneticPr fontId="1"/>
  </si>
  <si>
    <t>浴室デッキタイプ洗面所壁点検口設置する　底板SUS→ポリ復旧　売却予定売却先決まったら連絡もらう→入居者決まらなかったら工事の対応してくれる　お知らせはポスト投函OK　TES管は残っているが使っていない　ポストに東新井住宅の張り紙あり</t>
    <rPh sb="0" eb="2">
      <t>ヨクシツ</t>
    </rPh>
    <rPh sb="8" eb="12">
      <t>センメンジョカベ</t>
    </rPh>
    <rPh sb="12" eb="17">
      <t>テンケンコウセッチ</t>
    </rPh>
    <rPh sb="20" eb="22">
      <t>ソコイタ</t>
    </rPh>
    <rPh sb="25" eb="30">
      <t>ヤジルシポリフッキュウ</t>
    </rPh>
    <rPh sb="31" eb="33">
      <t>バイキャク</t>
    </rPh>
    <rPh sb="33" eb="35">
      <t>ヨテイ</t>
    </rPh>
    <rPh sb="35" eb="38">
      <t>バイキャクサキ</t>
    </rPh>
    <rPh sb="38" eb="39">
      <t>キ</t>
    </rPh>
    <rPh sb="43" eb="45">
      <t>レンラク</t>
    </rPh>
    <rPh sb="49" eb="53">
      <t>ニュウキョシャキ</t>
    </rPh>
    <rPh sb="60" eb="62">
      <t>コウジ</t>
    </rPh>
    <rPh sb="63" eb="65">
      <t>タイオウ</t>
    </rPh>
    <rPh sb="72" eb="73">
      <t>シ</t>
    </rPh>
    <rPh sb="79" eb="81">
      <t>トウカン</t>
    </rPh>
    <rPh sb="87" eb="88">
      <t>カン</t>
    </rPh>
    <rPh sb="89" eb="90">
      <t>ノコ</t>
    </rPh>
    <rPh sb="95" eb="96">
      <t>ツカ</t>
    </rPh>
    <rPh sb="106" eb="111">
      <t>ヒガシアライジュウタク</t>
    </rPh>
    <rPh sb="112" eb="113">
      <t>ハ</t>
    </rPh>
    <rPh sb="114" eb="115">
      <t>ガミ</t>
    </rPh>
    <phoneticPr fontId="1"/>
  </si>
  <si>
    <t>後藤 智美</t>
    <rPh sb="0" eb="2">
      <t>ゴトウ</t>
    </rPh>
    <rPh sb="3" eb="5">
      <t>トモミ</t>
    </rPh>
    <phoneticPr fontId="1"/>
  </si>
  <si>
    <t>080-5436-7335</t>
    <phoneticPr fontId="1"/>
  </si>
  <si>
    <t>ゴミ部屋　中はいらせてもらえなかった　工事前に片付けしてくれる→組合に曹宇団するように伝えたが仲悪そう　リフォームしていないらしいのでオール既存　洗濯機二層式　浴室デッキタイプ洗面所壁点検口設置　OP台所蛇口交換希望　</t>
    <rPh sb="2" eb="4">
      <t>ベヤ</t>
    </rPh>
    <rPh sb="5" eb="6">
      <t>ナカ</t>
    </rPh>
    <rPh sb="19" eb="22">
      <t>コウジマエ</t>
    </rPh>
    <rPh sb="23" eb="25">
      <t>カタヅ</t>
    </rPh>
    <rPh sb="32" eb="34">
      <t>クミアイ</t>
    </rPh>
    <rPh sb="35" eb="38">
      <t>ソウウダン</t>
    </rPh>
    <rPh sb="43" eb="44">
      <t>ツタ</t>
    </rPh>
    <rPh sb="47" eb="48">
      <t>ナカ</t>
    </rPh>
    <rPh sb="48" eb="49">
      <t>ワル</t>
    </rPh>
    <rPh sb="70" eb="72">
      <t>キゾン</t>
    </rPh>
    <rPh sb="73" eb="76">
      <t>センタクキ</t>
    </rPh>
    <rPh sb="76" eb="79">
      <t>ニソウシキ</t>
    </rPh>
    <rPh sb="80" eb="82">
      <t>ヨクシツ</t>
    </rPh>
    <rPh sb="88" eb="97">
      <t>センメンジョカベテンケンコウセッチ</t>
    </rPh>
    <rPh sb="100" eb="102">
      <t>ダイドコロ</t>
    </rPh>
    <rPh sb="102" eb="108">
      <t>ジャグチコウカンキボウ</t>
    </rPh>
    <phoneticPr fontId="1"/>
  </si>
  <si>
    <t>洗面所壁点検口再使用　トイレ正面壁エコカラット残す、解体面のみ貼替品番待ち　給湯管追い焚き管更新済み　後日鍵取付　洗濯水栓再使用する</t>
    <rPh sb="0" eb="4">
      <t>センメンジョカベ</t>
    </rPh>
    <rPh sb="4" eb="10">
      <t>テンケンコウサイシヨウ</t>
    </rPh>
    <rPh sb="14" eb="16">
      <t>ショウメン</t>
    </rPh>
    <rPh sb="16" eb="17">
      <t>カベ</t>
    </rPh>
    <rPh sb="23" eb="24">
      <t>ノコ</t>
    </rPh>
    <rPh sb="26" eb="29">
      <t>カイタイメン</t>
    </rPh>
    <rPh sb="31" eb="33">
      <t>ハリカエ</t>
    </rPh>
    <rPh sb="33" eb="36">
      <t>ヒンバンマ</t>
    </rPh>
    <rPh sb="38" eb="41">
      <t>キュウトウカン</t>
    </rPh>
    <rPh sb="41" eb="42">
      <t>オ</t>
    </rPh>
    <rPh sb="43" eb="44">
      <t>ダ</t>
    </rPh>
    <rPh sb="45" eb="49">
      <t>カンコウシンズ</t>
    </rPh>
    <rPh sb="51" eb="53">
      <t>ゴジツ</t>
    </rPh>
    <rPh sb="53" eb="56">
      <t>カギトリツケ</t>
    </rPh>
    <rPh sb="57" eb="61">
      <t>センタクスイセン</t>
    </rPh>
    <rPh sb="61" eb="64">
      <t>サイシヨウ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</si>
</sst>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quot;計&quot;\ General\ &quot;戸&quot;"/>
    <numFmt numFmtId="177" formatCode="&quot;大 →&quot;\ General\ &quot;戸&quot;"/>
    <numFmt numFmtId="178" formatCode="&quot;在来 →&quot;\ General\ &quot;戸&quot;"/>
    <numFmt numFmtId="179" formatCode="&quot;600 →&quot;\ General\ &quot;戸&quot;"/>
    <numFmt numFmtId="180" formatCode="&quot;750 →&quot;\ General\ &quot;戸&quot;"/>
    <numFmt numFmtId="181" formatCode="&quot;ｶｳﾝﾀｰ →&quot;\ General\ &quot;戸&quot;"/>
    <numFmt numFmtId="182" formatCode="&quot;調査済&quot;\ General\ &quot;/30戸&quot;"/>
    <numFmt numFmtId="183" formatCode="&quot;調査済&quot;\ General\ &quot;/20戸&quot;"/>
    <numFmt numFmtId="184" formatCode="#"/>
  </numFmts>
  <fonts count="11" x14ac:knownFonts="1">
    <font>
      <sz val="11"/>
      <color theme="1"/>
      <name val="游ゴシック"/>
      <family val="2"/>
      <charset val="128"/>
      <scheme val="minor"/>
    </font>
    <font>
      <sz val="6"/>
      <name val="游ゴシック"/>
      <family val="2"/>
      <charset val="128"/>
      <scheme val="minor"/>
    </font>
    <font>
      <sz val="18"/>
      <color theme="1"/>
      <name val="游ゴシック"/>
      <family val="3"/>
      <charset val="128"/>
      <scheme val="minor"/>
    </font>
    <font>
      <sz val="11"/>
      <color theme="1"/>
      <name val="游ゴシック"/>
      <family val="3"/>
      <charset val="128"/>
      <scheme val="minor"/>
    </font>
    <font>
      <sz val="10"/>
      <color theme="1"/>
      <name val="游ゴシック"/>
      <family val="3"/>
      <charset val="128"/>
      <scheme val="minor"/>
    </font>
    <font>
      <sz val="10"/>
      <name val="游ゴシック"/>
      <family val="3"/>
      <charset val="128"/>
      <scheme val="minor"/>
    </font>
    <font>
      <sz val="9"/>
      <color theme="1"/>
      <name val="游ゴシック"/>
      <family val="3"/>
      <charset val="128"/>
      <scheme val="minor"/>
    </font>
    <font>
      <sz val="14"/>
      <color theme="1"/>
      <name val="游ゴシック"/>
      <family val="3"/>
      <charset val="128"/>
      <scheme val="minor"/>
    </font>
    <font>
      <sz val="8"/>
      <color theme="1"/>
      <name val="游ゴシック"/>
      <family val="3"/>
      <charset val="128"/>
      <scheme val="minor"/>
    </font>
    <font>
      <sz val="8"/>
      <color rgb="FFFF0000"/>
      <name val="游ゴシック"/>
      <family val="3"/>
      <charset val="128"/>
      <scheme val="minor"/>
    </font>
    <font>
      <sz val="6"/>
      <color theme="1"/>
      <name val="游ゴシック"/>
      <family val="3"/>
      <charset val="128"/>
      <scheme val="minor"/>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2" tint="-9.9978637043366805E-2"/>
        <bgColor indexed="64"/>
      </patternFill>
    </fill>
    <fill>
      <patternFill patternType="solid">
        <fgColor theme="4" tint="0.79998168889431442"/>
        <bgColor indexed="64"/>
      </patternFill>
    </fill>
  </fills>
  <borders count="3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hair">
        <color auto="1"/>
      </top>
      <bottom style="hair">
        <color auto="1"/>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auto="1"/>
      </right>
      <top style="thin">
        <color indexed="64"/>
      </top>
      <bottom style="hair">
        <color indexed="64"/>
      </bottom>
      <diagonal/>
    </border>
    <border>
      <left style="thin">
        <color indexed="64"/>
      </left>
      <right style="thin">
        <color indexed="64"/>
      </right>
      <top style="hair">
        <color indexed="64"/>
      </top>
      <bottom/>
      <diagonal/>
    </border>
    <border>
      <left style="thin">
        <color auto="1"/>
      </left>
      <right/>
      <top style="hair">
        <color auto="1"/>
      </top>
      <bottom style="hair">
        <color auto="1"/>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auto="1"/>
      </left>
      <right style="thin">
        <color auto="1"/>
      </right>
      <top/>
      <bottom style="hair">
        <color auto="1"/>
      </bottom>
      <diagonal/>
    </border>
    <border>
      <left style="thin">
        <color indexed="64"/>
      </left>
      <right/>
      <top/>
      <bottom style="hair">
        <color indexed="64"/>
      </bottom>
      <diagonal/>
    </border>
    <border>
      <left style="thin">
        <color auto="1"/>
      </left>
      <right style="thin">
        <color auto="1"/>
      </right>
      <top style="hair">
        <color auto="1"/>
      </top>
      <bottom style="thin">
        <color auto="1"/>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thin">
        <color auto="1"/>
      </right>
      <top style="thin">
        <color indexed="64"/>
      </top>
      <bottom style="hair">
        <color auto="1"/>
      </bottom>
      <diagonal/>
    </border>
    <border>
      <left style="hair">
        <color auto="1"/>
      </left>
      <right style="thin">
        <color auto="1"/>
      </right>
      <top style="hair">
        <color auto="1"/>
      </top>
      <bottom style="hair">
        <color auto="1"/>
      </bottom>
      <diagonal/>
    </border>
    <border diagonalUp="1">
      <left style="thin">
        <color auto="1"/>
      </left>
      <right style="thin">
        <color auto="1"/>
      </right>
      <top style="hair">
        <color auto="1"/>
      </top>
      <bottom style="hair">
        <color auto="1"/>
      </bottom>
      <diagonal style="thin">
        <color auto="1"/>
      </diagonal>
    </border>
    <border diagonalUp="1">
      <left style="thin">
        <color auto="1"/>
      </left>
      <right/>
      <top style="hair">
        <color auto="1"/>
      </top>
      <bottom style="hair">
        <color auto="1"/>
      </bottom>
      <diagonal style="thin">
        <color auto="1"/>
      </diagonal>
    </border>
    <border>
      <left style="thin">
        <color auto="1"/>
      </left>
      <right/>
      <top style="hair">
        <color auto="1"/>
      </top>
      <bottom/>
      <diagonal/>
    </border>
    <border>
      <left/>
      <right/>
      <top style="hair">
        <color indexed="64"/>
      </top>
      <bottom/>
      <diagonal/>
    </border>
    <border>
      <left/>
      <right style="thin">
        <color auto="1"/>
      </right>
      <top style="hair">
        <color indexed="64"/>
      </top>
      <bottom/>
      <diagonal/>
    </border>
    <border>
      <left/>
      <right/>
      <top/>
      <bottom style="hair">
        <color indexed="64"/>
      </bottom>
      <diagonal/>
    </border>
    <border>
      <left/>
      <right style="thin">
        <color auto="1"/>
      </right>
      <top/>
      <bottom style="hair">
        <color indexed="64"/>
      </bottom>
      <diagonal/>
    </border>
  </borders>
  <cellStyleXfs count="1">
    <xf numFmtId="0" fontId="0" fillId="0" borderId="0">
      <alignment vertical="center"/>
    </xf>
  </cellStyleXfs>
  <cellXfs count="156">
    <xf numFmtId="0" fontId="0" fillId="0" borderId="0" xfId="0">
      <alignment vertical="center"/>
    </xf>
    <xf numFmtId="0" fontId="3" fillId="0" borderId="0" xfId="0" applyFont="1" applyAlignment="1">
      <alignment vertical="center" shrinkToFit="1"/>
    </xf>
    <xf numFmtId="0" fontId="3" fillId="0" borderId="0" xfId="0" applyFont="1" applyAlignment="1">
      <alignment horizontal="center" vertical="center" shrinkToFit="1"/>
    </xf>
    <xf numFmtId="0" fontId="3" fillId="0" borderId="2" xfId="0" applyFont="1" applyBorder="1" applyAlignment="1">
      <alignment horizontal="center" vertical="center" shrinkToFit="1"/>
    </xf>
    <xf numFmtId="0" fontId="4" fillId="0" borderId="2" xfId="0" applyFont="1" applyBorder="1" applyAlignment="1">
      <alignment horizontal="center" vertical="center" shrinkToFit="1"/>
    </xf>
    <xf numFmtId="0" fontId="5" fillId="0" borderId="2" xfId="0" applyFont="1" applyBorder="1" applyAlignment="1">
      <alignment horizontal="center" vertical="center" shrinkToFit="1"/>
    </xf>
    <xf numFmtId="0" fontId="6" fillId="2" borderId="13" xfId="0" applyFont="1" applyFill="1" applyBorder="1" applyAlignment="1">
      <alignment horizontal="center" vertical="center" shrinkToFit="1"/>
    </xf>
    <xf numFmtId="0" fontId="6" fillId="2" borderId="14" xfId="0" applyFont="1" applyFill="1" applyBorder="1" applyAlignment="1">
      <alignment vertical="center" shrinkToFit="1"/>
    </xf>
    <xf numFmtId="0" fontId="6" fillId="2" borderId="14" xfId="0" applyFont="1" applyFill="1" applyBorder="1" applyAlignment="1">
      <alignment horizontal="center" vertical="center" shrinkToFit="1"/>
    </xf>
    <xf numFmtId="0" fontId="6" fillId="2" borderId="15" xfId="0" applyFont="1" applyFill="1" applyBorder="1" applyAlignment="1">
      <alignment horizontal="center" vertical="center" shrinkToFit="1"/>
    </xf>
    <xf numFmtId="0" fontId="6" fillId="2" borderId="0" xfId="0" applyFont="1" applyFill="1" applyAlignment="1">
      <alignment vertical="center" shrinkToFit="1"/>
    </xf>
    <xf numFmtId="0" fontId="6" fillId="0" borderId="13" xfId="0" applyFont="1" applyBorder="1" applyAlignment="1">
      <alignment horizontal="center" vertical="center" shrinkToFit="1"/>
    </xf>
    <xf numFmtId="0" fontId="6" fillId="0" borderId="18" xfId="0" applyFont="1" applyBorder="1" applyAlignment="1">
      <alignment vertical="center" shrinkToFit="1"/>
    </xf>
    <xf numFmtId="0" fontId="6" fillId="0" borderId="19" xfId="0" applyFont="1" applyBorder="1" applyAlignment="1">
      <alignment horizontal="center" vertical="center" shrinkToFit="1"/>
    </xf>
    <xf numFmtId="0" fontId="6" fillId="0" borderId="0" xfId="0" applyFont="1" applyAlignment="1">
      <alignment vertical="center" shrinkToFit="1"/>
    </xf>
    <xf numFmtId="0" fontId="6" fillId="2" borderId="13" xfId="0" applyFont="1" applyFill="1" applyBorder="1" applyAlignment="1">
      <alignment vertical="center" shrinkToFit="1"/>
    </xf>
    <xf numFmtId="0" fontId="6" fillId="2" borderId="22" xfId="0" applyFont="1" applyFill="1" applyBorder="1" applyAlignment="1">
      <alignment horizontal="center" vertical="center" shrinkToFit="1"/>
    </xf>
    <xf numFmtId="0" fontId="6" fillId="2" borderId="23" xfId="0" applyFont="1" applyFill="1" applyBorder="1" applyAlignment="1">
      <alignment horizontal="center" vertical="center" shrinkToFit="1"/>
    </xf>
    <xf numFmtId="0" fontId="6" fillId="2" borderId="19" xfId="0" applyFont="1" applyFill="1" applyBorder="1" applyAlignment="1">
      <alignment horizontal="center" vertical="center" shrinkToFit="1"/>
    </xf>
    <xf numFmtId="176" fontId="8" fillId="0" borderId="14" xfId="0" applyNumberFormat="1" applyFont="1" applyBorder="1" applyAlignment="1">
      <alignment horizontal="center" vertical="center" shrinkToFit="1"/>
    </xf>
    <xf numFmtId="177" fontId="8" fillId="0" borderId="14" xfId="0" applyNumberFormat="1" applyFont="1" applyBorder="1" applyAlignment="1">
      <alignment horizontal="center" vertical="center" shrinkToFit="1"/>
    </xf>
    <xf numFmtId="0" fontId="3" fillId="0" borderId="14" xfId="0" applyFont="1" applyBorder="1" applyAlignment="1">
      <alignment horizontal="center" vertical="center" shrinkToFit="1"/>
    </xf>
    <xf numFmtId="0" fontId="8" fillId="0" borderId="13" xfId="0" applyFont="1" applyBorder="1" applyAlignment="1">
      <alignment horizontal="center" vertical="center" shrinkToFit="1"/>
    </xf>
    <xf numFmtId="0" fontId="9" fillId="0" borderId="13" xfId="0" applyFont="1" applyBorder="1" applyAlignment="1">
      <alignment horizontal="center" vertical="center" shrinkToFit="1"/>
    </xf>
    <xf numFmtId="179" fontId="8" fillId="0" borderId="13" xfId="0" applyNumberFormat="1" applyFont="1" applyBorder="1" applyAlignment="1">
      <alignment horizontal="center" vertical="center" shrinkToFit="1"/>
    </xf>
    <xf numFmtId="0" fontId="3" fillId="0" borderId="13" xfId="0" applyFont="1" applyBorder="1" applyAlignment="1">
      <alignment horizontal="center" vertical="center" shrinkToFit="1"/>
    </xf>
    <xf numFmtId="180" fontId="8" fillId="0" borderId="13" xfId="0" applyNumberFormat="1" applyFont="1" applyBorder="1" applyAlignment="1">
      <alignment horizontal="center" vertical="center" shrinkToFit="1"/>
    </xf>
    <xf numFmtId="0" fontId="8" fillId="0" borderId="24" xfId="0" applyFont="1" applyBorder="1" applyAlignment="1">
      <alignment horizontal="center" vertical="center" shrinkToFit="1"/>
    </xf>
    <xf numFmtId="0" fontId="9" fillId="0" borderId="24" xfId="0" applyFont="1" applyBorder="1" applyAlignment="1">
      <alignment horizontal="center" vertical="center" shrinkToFit="1"/>
    </xf>
    <xf numFmtId="181" fontId="8" fillId="0" borderId="24" xfId="0" applyNumberFormat="1" applyFont="1" applyBorder="1" applyAlignment="1">
      <alignment horizontal="center" vertical="center" shrinkToFit="1"/>
    </xf>
    <xf numFmtId="0" fontId="3" fillId="0" borderId="24" xfId="0" applyFont="1" applyBorder="1" applyAlignment="1">
      <alignment horizontal="center" vertical="center" shrinkToFit="1"/>
    </xf>
    <xf numFmtId="49" fontId="3" fillId="0" borderId="0" xfId="0" applyNumberFormat="1" applyFont="1" applyAlignment="1">
      <alignment horizontal="center" vertical="center" shrinkToFit="1"/>
    </xf>
    <xf numFmtId="0" fontId="6" fillId="2" borderId="28" xfId="0" applyFont="1" applyFill="1" applyBorder="1" applyAlignment="1">
      <alignment horizontal="center" vertical="center" shrinkToFit="1"/>
    </xf>
    <xf numFmtId="0" fontId="6" fillId="0" borderId="29" xfId="0" applyFont="1" applyBorder="1" applyAlignment="1">
      <alignment horizontal="center" vertical="center" shrinkToFit="1"/>
    </xf>
    <xf numFmtId="0" fontId="6" fillId="2" borderId="29" xfId="0" applyFont="1" applyFill="1" applyBorder="1" applyAlignment="1">
      <alignment horizontal="center" vertical="center" shrinkToFit="1"/>
    </xf>
    <xf numFmtId="177" fontId="8" fillId="0" borderId="13" xfId="0" applyNumberFormat="1" applyFont="1" applyBorder="1" applyAlignment="1">
      <alignment horizontal="center" vertical="center" shrinkToFit="1"/>
    </xf>
    <xf numFmtId="177" fontId="8" fillId="0" borderId="22" xfId="0" applyNumberFormat="1" applyFont="1" applyBorder="1" applyAlignment="1">
      <alignment horizontal="center" vertical="center" shrinkToFit="1"/>
    </xf>
    <xf numFmtId="0" fontId="6" fillId="0" borderId="8" xfId="0" applyFont="1" applyBorder="1" applyAlignment="1">
      <alignment horizontal="center" vertical="center" shrinkToFit="1"/>
    </xf>
    <xf numFmtId="0" fontId="0" fillId="0" borderId="0" xfId="0" applyAlignment="1">
      <alignment horizontal="left" vertical="center"/>
    </xf>
    <xf numFmtId="177" fontId="8" fillId="0" borderId="18" xfId="0" applyNumberFormat="1" applyFont="1" applyBorder="1" applyAlignment="1">
      <alignment horizontal="center" vertical="center" shrinkToFit="1"/>
    </xf>
    <xf numFmtId="0" fontId="6" fillId="0" borderId="18" xfId="0" applyFont="1" applyBorder="1" applyAlignment="1">
      <alignment horizontal="center" vertical="center" shrinkToFit="1"/>
    </xf>
    <xf numFmtId="0" fontId="3" fillId="0" borderId="25" xfId="0" applyFont="1" applyBorder="1" applyAlignment="1">
      <alignment vertical="center" shrinkToFit="1"/>
    </xf>
    <xf numFmtId="176" fontId="8" fillId="0" borderId="27" xfId="0" applyNumberFormat="1" applyFont="1" applyBorder="1" applyAlignment="1">
      <alignment vertical="center" shrinkToFit="1"/>
    </xf>
    <xf numFmtId="176" fontId="8" fillId="0" borderId="10" xfId="0" applyNumberFormat="1" applyFont="1" applyBorder="1" applyAlignment="1">
      <alignment vertical="center" shrinkToFit="1"/>
    </xf>
    <xf numFmtId="0" fontId="3" fillId="0" borderId="25" xfId="0" applyFont="1" applyBorder="1" applyAlignment="1">
      <alignment horizontal="center" vertical="center" shrinkToFit="1"/>
    </xf>
    <xf numFmtId="0" fontId="6" fillId="0" borderId="13" xfId="0" applyFont="1" applyBorder="1" applyAlignment="1">
      <alignment horizontal="center" vertical="center" wrapText="1" shrinkToFit="1"/>
    </xf>
    <xf numFmtId="0" fontId="6" fillId="2" borderId="13" xfId="0" applyFont="1" applyFill="1" applyBorder="1" applyAlignment="1">
      <alignment horizontal="center" vertical="center" wrapText="1" shrinkToFit="1"/>
    </xf>
    <xf numFmtId="0" fontId="6" fillId="3" borderId="13" xfId="0" applyFont="1" applyFill="1" applyBorder="1" applyAlignment="1">
      <alignment horizontal="center" vertical="center" shrinkToFit="1"/>
    </xf>
    <xf numFmtId="0" fontId="6" fillId="2" borderId="30" xfId="0" applyFont="1" applyFill="1" applyBorder="1" applyAlignment="1">
      <alignment horizontal="center" vertical="center" shrinkToFit="1"/>
    </xf>
    <xf numFmtId="0" fontId="6" fillId="2" borderId="30" xfId="0" applyFont="1" applyFill="1" applyBorder="1" applyAlignment="1">
      <alignment vertical="center" shrinkToFit="1"/>
    </xf>
    <xf numFmtId="0" fontId="6" fillId="2" borderId="18" xfId="0" applyFont="1" applyFill="1" applyBorder="1" applyAlignment="1">
      <alignment horizontal="center" vertical="center" shrinkToFit="1"/>
    </xf>
    <xf numFmtId="0" fontId="6" fillId="2" borderId="19" xfId="0" applyFont="1" applyFill="1" applyBorder="1" applyAlignment="1">
      <alignment horizontal="center" vertical="center" wrapText="1" shrinkToFit="1"/>
    </xf>
    <xf numFmtId="0" fontId="6" fillId="0" borderId="0" xfId="0" applyFont="1" applyAlignment="1">
      <alignment horizontal="center" vertical="center" shrinkToFit="1"/>
    </xf>
    <xf numFmtId="0" fontId="6" fillId="0" borderId="18" xfId="0" applyFont="1" applyBorder="1" applyAlignment="1">
      <alignment horizontal="center" vertical="center" wrapText="1" shrinkToFit="1"/>
    </xf>
    <xf numFmtId="177" fontId="8" fillId="0" borderId="3" xfId="0" applyNumberFormat="1" applyFont="1" applyBorder="1" applyAlignment="1">
      <alignment horizontal="center" vertical="center" shrinkToFit="1"/>
    </xf>
    <xf numFmtId="177" fontId="8" fillId="0" borderId="24" xfId="0" applyNumberFormat="1" applyFont="1" applyBorder="1" applyAlignment="1">
      <alignment horizontal="center" vertical="center" shrinkToFit="1"/>
    </xf>
    <xf numFmtId="0" fontId="6" fillId="0" borderId="24" xfId="0" applyFont="1" applyBorder="1" applyAlignment="1">
      <alignment horizontal="center" vertical="center" shrinkToFit="1"/>
    </xf>
    <xf numFmtId="0" fontId="6" fillId="0" borderId="30" xfId="0" applyFont="1" applyBorder="1" applyAlignment="1">
      <alignment horizontal="center" vertical="center" shrinkToFit="1"/>
    </xf>
    <xf numFmtId="0" fontId="6" fillId="0" borderId="30" xfId="0" applyFont="1" applyBorder="1" applyAlignment="1">
      <alignment vertical="center" shrinkToFit="1"/>
    </xf>
    <xf numFmtId="0" fontId="6" fillId="0" borderId="31" xfId="0" applyFont="1" applyBorder="1" applyAlignment="1">
      <alignment horizontal="center" vertical="center" shrinkToFit="1"/>
    </xf>
    <xf numFmtId="0" fontId="0" fillId="0" borderId="0" xfId="0" applyAlignment="1">
      <alignment horizontal="center" vertical="center"/>
    </xf>
    <xf numFmtId="0" fontId="6" fillId="0" borderId="19" xfId="0" applyFont="1" applyBorder="1" applyAlignment="1">
      <alignment horizontal="center" vertical="center" wrapText="1" shrinkToFit="1"/>
    </xf>
    <xf numFmtId="0" fontId="6" fillId="2" borderId="18" xfId="0" applyFont="1" applyFill="1" applyBorder="1" applyAlignment="1">
      <alignment vertical="center" shrinkToFit="1"/>
    </xf>
    <xf numFmtId="0" fontId="6" fillId="2" borderId="18" xfId="0" applyFont="1" applyFill="1" applyBorder="1" applyAlignment="1">
      <alignment horizontal="center" vertical="center" wrapText="1" shrinkToFit="1"/>
    </xf>
    <xf numFmtId="0" fontId="6" fillId="0" borderId="32" xfId="0" applyFont="1" applyBorder="1" applyAlignment="1">
      <alignment horizontal="center" vertical="center" shrinkToFit="1"/>
    </xf>
    <xf numFmtId="0" fontId="6" fillId="0" borderId="13" xfId="0" applyFont="1" applyBorder="1" applyAlignment="1">
      <alignment vertical="center" shrinkToFit="1"/>
    </xf>
    <xf numFmtId="0" fontId="6" fillId="4" borderId="19" xfId="0" applyFont="1" applyFill="1" applyBorder="1" applyAlignment="1">
      <alignment horizontal="center" vertical="center" shrinkToFit="1"/>
    </xf>
    <xf numFmtId="0" fontId="6" fillId="4" borderId="29" xfId="0" applyFont="1" applyFill="1" applyBorder="1" applyAlignment="1">
      <alignment horizontal="center" vertical="center" shrinkToFit="1"/>
    </xf>
    <xf numFmtId="0" fontId="6" fillId="4" borderId="13" xfId="0" applyFont="1" applyFill="1" applyBorder="1" applyAlignment="1">
      <alignment horizontal="center" vertical="center" shrinkToFit="1"/>
    </xf>
    <xf numFmtId="0" fontId="6" fillId="4" borderId="18" xfId="0" applyFont="1" applyFill="1" applyBorder="1" applyAlignment="1">
      <alignment horizontal="center" vertical="center" shrinkToFit="1"/>
    </xf>
    <xf numFmtId="0" fontId="6" fillId="4" borderId="18" xfId="0" applyFont="1" applyFill="1" applyBorder="1" applyAlignment="1">
      <alignment vertical="center" shrinkToFit="1"/>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24" xfId="0" applyBorder="1" applyAlignment="1">
      <alignment horizontal="center" vertical="center"/>
    </xf>
    <xf numFmtId="0" fontId="0" fillId="5" borderId="2" xfId="0" applyFill="1" applyBorder="1" applyAlignment="1">
      <alignment horizontal="center" vertical="center"/>
    </xf>
    <xf numFmtId="184" fontId="6" fillId="0" borderId="23" xfId="0" applyNumberFormat="1" applyFont="1" applyBorder="1" applyAlignment="1">
      <alignment horizontal="center" vertical="center" shrinkToFit="1"/>
    </xf>
    <xf numFmtId="184" fontId="6" fillId="4" borderId="19" xfId="0" applyNumberFormat="1" applyFont="1" applyFill="1" applyBorder="1" applyAlignment="1">
      <alignment horizontal="center" vertical="center" shrinkToFit="1"/>
    </xf>
    <xf numFmtId="0" fontId="6" fillId="2" borderId="19" xfId="0" applyFont="1" applyFill="1" applyBorder="1" applyAlignment="1">
      <alignment vertical="center" shrinkToFit="1"/>
    </xf>
    <xf numFmtId="0" fontId="6" fillId="2" borderId="20" xfId="0" applyFont="1" applyFill="1" applyBorder="1" applyAlignment="1">
      <alignment vertical="center" shrinkToFit="1"/>
    </xf>
    <xf numFmtId="0" fontId="6" fillId="2" borderId="21" xfId="0" applyFont="1" applyFill="1" applyBorder="1" applyAlignment="1">
      <alignment vertical="center" shrinkToFit="1"/>
    </xf>
    <xf numFmtId="0" fontId="2" fillId="0" borderId="0" xfId="0" applyFont="1" applyAlignment="1">
      <alignment horizontal="center" vertical="center" shrinkToFit="1"/>
    </xf>
    <xf numFmtId="0" fontId="2" fillId="0" borderId="1" xfId="0" applyFont="1" applyBorder="1" applyAlignment="1">
      <alignment horizontal="center" vertical="center" shrinkToFit="1"/>
    </xf>
    <xf numFmtId="49" fontId="3" fillId="0" borderId="2" xfId="0" applyNumberFormat="1"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3" fillId="0" borderId="10" xfId="0" applyFont="1" applyBorder="1" applyAlignment="1">
      <alignment horizontal="center" vertical="center" shrinkToFit="1"/>
    </xf>
    <xf numFmtId="0" fontId="3" fillId="0" borderId="7" xfId="0" applyFont="1" applyBorder="1" applyAlignment="1">
      <alignment horizontal="center" vertical="center" shrinkToFit="1"/>
    </xf>
    <xf numFmtId="0" fontId="3" fillId="0" borderId="9" xfId="0" applyFont="1" applyBorder="1" applyAlignment="1">
      <alignment horizontal="center" vertical="center" shrinkToFit="1"/>
    </xf>
    <xf numFmtId="0" fontId="3" fillId="0" borderId="11" xfId="0" applyFont="1" applyBorder="1" applyAlignment="1">
      <alignment horizontal="center" vertical="center" shrinkToFit="1"/>
    </xf>
    <xf numFmtId="0" fontId="3" fillId="0" borderId="12" xfId="0" applyFont="1" applyBorder="1" applyAlignment="1">
      <alignment horizontal="center" vertical="center" shrinkToFit="1"/>
    </xf>
    <xf numFmtId="0" fontId="3" fillId="0" borderId="4" xfId="0" applyFont="1" applyBorder="1" applyAlignment="1">
      <alignment horizontal="center" vertical="center" shrinkToFit="1"/>
    </xf>
    <xf numFmtId="0" fontId="3" fillId="0" borderId="6" xfId="0" applyFont="1" applyBorder="1" applyAlignment="1">
      <alignment horizontal="center" vertical="center" shrinkToFit="1"/>
    </xf>
    <xf numFmtId="0" fontId="3" fillId="0" borderId="5" xfId="0" applyFont="1" applyBorder="1" applyAlignment="1">
      <alignment horizontal="center" vertical="center" shrinkToFit="1"/>
    </xf>
    <xf numFmtId="0" fontId="6" fillId="0" borderId="19" xfId="0" applyFont="1" applyBorder="1" applyAlignment="1">
      <alignment vertical="center" shrinkToFit="1"/>
    </xf>
    <xf numFmtId="0" fontId="6" fillId="0" borderId="20" xfId="0" applyFont="1" applyBorder="1" applyAlignment="1">
      <alignment vertical="center" shrinkToFit="1"/>
    </xf>
    <xf numFmtId="0" fontId="6" fillId="0" borderId="21" xfId="0" applyFont="1" applyBorder="1" applyAlignment="1">
      <alignment vertical="center" shrinkToFit="1"/>
    </xf>
    <xf numFmtId="0" fontId="10" fillId="0" borderId="3" xfId="0" applyFont="1" applyBorder="1" applyAlignment="1">
      <alignment horizontal="center" vertical="center" wrapText="1" shrinkToFit="1"/>
    </xf>
    <xf numFmtId="0" fontId="10" fillId="0" borderId="10" xfId="0" applyFont="1" applyBorder="1" applyAlignment="1">
      <alignment horizontal="center" vertical="center" shrinkToFit="1"/>
    </xf>
    <xf numFmtId="0" fontId="4" fillId="0" borderId="3" xfId="0" applyFont="1" applyBorder="1" applyAlignment="1">
      <alignment horizontal="center" vertical="center" wrapText="1" shrinkToFit="1"/>
    </xf>
    <xf numFmtId="0" fontId="4" fillId="0" borderId="10" xfId="0" applyFont="1" applyBorder="1" applyAlignment="1">
      <alignment horizontal="center" vertical="center" shrinkToFit="1"/>
    </xf>
    <xf numFmtId="0" fontId="3" fillId="0" borderId="8" xfId="0" applyFont="1" applyBorder="1" applyAlignment="1">
      <alignment horizontal="center" vertical="center" shrinkToFit="1"/>
    </xf>
    <xf numFmtId="0" fontId="3" fillId="0" borderId="1" xfId="0" applyFont="1" applyBorder="1" applyAlignment="1">
      <alignment horizontal="center" vertical="center" shrinkToFit="1"/>
    </xf>
    <xf numFmtId="0" fontId="6" fillId="2" borderId="15" xfId="0" applyFont="1" applyFill="1" applyBorder="1" applyAlignment="1">
      <alignment vertical="center" shrinkToFit="1"/>
    </xf>
    <xf numFmtId="0" fontId="6" fillId="2" borderId="16" xfId="0" applyFont="1" applyFill="1" applyBorder="1" applyAlignment="1">
      <alignment vertical="center" shrinkToFit="1"/>
    </xf>
    <xf numFmtId="0" fontId="6" fillId="2" borderId="17" xfId="0" applyFont="1" applyFill="1" applyBorder="1" applyAlignment="1">
      <alignment vertical="center" shrinkToFit="1"/>
    </xf>
    <xf numFmtId="0" fontId="6" fillId="2" borderId="19" xfId="0" applyFont="1" applyFill="1" applyBorder="1" applyAlignment="1">
      <alignment vertical="center" wrapText="1" shrinkToFit="1"/>
    </xf>
    <xf numFmtId="0" fontId="6" fillId="2" borderId="20" xfId="0" applyFont="1" applyFill="1" applyBorder="1" applyAlignment="1">
      <alignment vertical="center" wrapText="1" shrinkToFit="1"/>
    </xf>
    <xf numFmtId="0" fontId="6" fillId="2" borderId="21" xfId="0" applyFont="1" applyFill="1" applyBorder="1" applyAlignment="1">
      <alignment vertical="center" wrapText="1" shrinkToFit="1"/>
    </xf>
    <xf numFmtId="178" fontId="8" fillId="0" borderId="7" xfId="0" applyNumberFormat="1" applyFont="1" applyBorder="1" applyAlignment="1">
      <alignment horizontal="center" vertical="center" shrinkToFit="1"/>
    </xf>
    <xf numFmtId="178" fontId="8" fillId="0" borderId="8" xfId="0" applyNumberFormat="1" applyFont="1" applyBorder="1" applyAlignment="1">
      <alignment horizontal="center" vertical="center" shrinkToFit="1"/>
    </xf>
    <xf numFmtId="178" fontId="8" fillId="0" borderId="9" xfId="0" applyNumberFormat="1" applyFont="1" applyBorder="1" applyAlignment="1">
      <alignment horizontal="center" vertical="center" shrinkToFit="1"/>
    </xf>
    <xf numFmtId="178" fontId="8" fillId="0" borderId="25" xfId="0" applyNumberFormat="1" applyFont="1" applyBorder="1" applyAlignment="1">
      <alignment horizontal="center" vertical="center" shrinkToFit="1"/>
    </xf>
    <xf numFmtId="178" fontId="8" fillId="0" borderId="0" xfId="0" applyNumberFormat="1" applyFont="1" applyAlignment="1">
      <alignment horizontal="center" vertical="center" shrinkToFit="1"/>
    </xf>
    <xf numFmtId="178" fontId="8" fillId="0" borderId="26" xfId="0" applyNumberFormat="1" applyFont="1" applyBorder="1" applyAlignment="1">
      <alignment horizontal="center" vertical="center" shrinkToFit="1"/>
    </xf>
    <xf numFmtId="178" fontId="8" fillId="0" borderId="11" xfId="0" applyNumberFormat="1" applyFont="1" applyBorder="1" applyAlignment="1">
      <alignment horizontal="center" vertical="center" shrinkToFit="1"/>
    </xf>
    <xf numFmtId="178" fontId="8" fillId="0" borderId="1" xfId="0" applyNumberFormat="1" applyFont="1" applyBorder="1" applyAlignment="1">
      <alignment horizontal="center" vertical="center" shrinkToFit="1"/>
    </xf>
    <xf numFmtId="178" fontId="8" fillId="0" borderId="12" xfId="0" applyNumberFormat="1" applyFont="1" applyBorder="1" applyAlignment="1">
      <alignment horizontal="center" vertical="center" shrinkToFit="1"/>
    </xf>
    <xf numFmtId="0" fontId="7" fillId="0" borderId="7" xfId="0" applyFont="1" applyBorder="1" applyAlignment="1">
      <alignment horizontal="center" vertical="center" shrinkToFit="1"/>
    </xf>
    <xf numFmtId="0" fontId="7" fillId="0" borderId="8" xfId="0" applyFont="1" applyBorder="1" applyAlignment="1">
      <alignment horizontal="center" vertical="center" shrinkToFit="1"/>
    </xf>
    <xf numFmtId="0" fontId="7" fillId="0" borderId="9" xfId="0" applyFont="1" applyBorder="1" applyAlignment="1">
      <alignment horizontal="center" vertical="center" shrinkToFit="1"/>
    </xf>
    <xf numFmtId="0" fontId="7" fillId="0" borderId="25" xfId="0" applyFont="1" applyBorder="1" applyAlignment="1">
      <alignment horizontal="center" vertical="center" shrinkToFit="1"/>
    </xf>
    <xf numFmtId="0" fontId="7" fillId="0" borderId="0" xfId="0" applyFont="1" applyAlignment="1">
      <alignment horizontal="center" vertical="center" shrinkToFit="1"/>
    </xf>
    <xf numFmtId="0" fontId="7" fillId="0" borderId="26" xfId="0" applyFont="1" applyBorder="1" applyAlignment="1">
      <alignment horizontal="center" vertical="center" shrinkToFit="1"/>
    </xf>
    <xf numFmtId="0" fontId="7" fillId="0" borderId="11" xfId="0" applyFont="1" applyBorder="1" applyAlignment="1">
      <alignment horizontal="center" vertical="center" shrinkToFit="1"/>
    </xf>
    <xf numFmtId="0" fontId="7" fillId="0" borderId="1" xfId="0" applyFont="1" applyBorder="1" applyAlignment="1">
      <alignment horizontal="center" vertical="center" shrinkToFit="1"/>
    </xf>
    <xf numFmtId="0" fontId="7" fillId="0" borderId="12" xfId="0" applyFont="1" applyBorder="1" applyAlignment="1">
      <alignment horizontal="center" vertical="center" shrinkToFit="1"/>
    </xf>
    <xf numFmtId="182" fontId="7" fillId="0" borderId="3" xfId="0" applyNumberFormat="1" applyFont="1" applyBorder="1" applyAlignment="1">
      <alignment horizontal="center" vertical="center" shrinkToFit="1"/>
    </xf>
    <xf numFmtId="182" fontId="7" fillId="0" borderId="27" xfId="0" applyNumberFormat="1" applyFont="1" applyBorder="1" applyAlignment="1">
      <alignment horizontal="center" vertical="center" shrinkToFit="1"/>
    </xf>
    <xf numFmtId="182" fontId="7" fillId="0" borderId="10" xfId="0" applyNumberFormat="1" applyFont="1" applyBorder="1" applyAlignment="1">
      <alignment horizontal="center" vertical="center" shrinkToFit="1"/>
    </xf>
    <xf numFmtId="176" fontId="8" fillId="0" borderId="3" xfId="0" applyNumberFormat="1" applyFont="1" applyBorder="1" applyAlignment="1">
      <alignment horizontal="center" vertical="center" shrinkToFit="1"/>
    </xf>
    <xf numFmtId="176" fontId="8" fillId="0" borderId="27" xfId="0" applyNumberFormat="1" applyFont="1" applyBorder="1" applyAlignment="1">
      <alignment horizontal="center" vertical="center" shrinkToFit="1"/>
    </xf>
    <xf numFmtId="176" fontId="8" fillId="0" borderId="10" xfId="0" applyNumberFormat="1" applyFont="1" applyBorder="1" applyAlignment="1">
      <alignment horizontal="center" vertical="center" shrinkToFit="1"/>
    </xf>
    <xf numFmtId="0" fontId="6" fillId="0" borderId="19" xfId="0" applyFont="1" applyBorder="1" applyAlignment="1">
      <alignment vertical="center" wrapText="1" shrinkToFit="1"/>
    </xf>
    <xf numFmtId="0" fontId="6" fillId="0" borderId="20" xfId="0" applyFont="1" applyBorder="1" applyAlignment="1">
      <alignment vertical="center" wrapText="1" shrinkToFit="1"/>
    </xf>
    <xf numFmtId="0" fontId="6" fillId="0" borderId="21" xfId="0" applyFont="1" applyBorder="1" applyAlignment="1">
      <alignment vertical="center" wrapText="1" shrinkToFit="1"/>
    </xf>
    <xf numFmtId="183" fontId="7" fillId="0" borderId="3" xfId="0" applyNumberFormat="1" applyFont="1" applyBorder="1" applyAlignment="1">
      <alignment horizontal="center" vertical="center" shrinkToFit="1"/>
    </xf>
    <xf numFmtId="183" fontId="7" fillId="0" borderId="27" xfId="0" applyNumberFormat="1" applyFont="1" applyBorder="1" applyAlignment="1">
      <alignment horizontal="center" vertical="center" shrinkToFit="1"/>
    </xf>
    <xf numFmtId="183" fontId="7" fillId="0" borderId="10" xfId="0" applyNumberFormat="1" applyFont="1" applyBorder="1" applyAlignment="1">
      <alignment horizontal="center" vertical="center" shrinkToFit="1"/>
    </xf>
    <xf numFmtId="0" fontId="3" fillId="0" borderId="25" xfId="0" applyFont="1" applyBorder="1" applyAlignment="1">
      <alignment horizontal="center" vertical="center" shrinkToFit="1"/>
    </xf>
    <xf numFmtId="0" fontId="6" fillId="2" borderId="15" xfId="0" applyFont="1" applyFill="1" applyBorder="1" applyAlignment="1">
      <alignment vertical="center" wrapText="1" shrinkToFit="1"/>
    </xf>
    <xf numFmtId="0" fontId="6" fillId="2" borderId="16" xfId="0" applyFont="1" applyFill="1" applyBorder="1" applyAlignment="1">
      <alignment vertical="center" wrapText="1" shrinkToFit="1"/>
    </xf>
    <xf numFmtId="0" fontId="6" fillId="2" borderId="17" xfId="0" applyFont="1" applyFill="1" applyBorder="1" applyAlignment="1">
      <alignment vertical="center" wrapText="1" shrinkToFit="1"/>
    </xf>
    <xf numFmtId="0" fontId="6" fillId="4" borderId="19" xfId="0" applyFont="1" applyFill="1" applyBorder="1" applyAlignment="1">
      <alignment vertical="center" wrapText="1" shrinkToFit="1"/>
    </xf>
    <xf numFmtId="0" fontId="6" fillId="4" borderId="20" xfId="0" applyFont="1" applyFill="1" applyBorder="1" applyAlignment="1">
      <alignment vertical="center" wrapText="1" shrinkToFit="1"/>
    </xf>
    <xf numFmtId="0" fontId="6" fillId="4" borderId="21" xfId="0" applyFont="1" applyFill="1" applyBorder="1" applyAlignment="1">
      <alignment vertical="center" wrapText="1" shrinkToFit="1"/>
    </xf>
    <xf numFmtId="0" fontId="6" fillId="0" borderId="32" xfId="0" applyFont="1" applyBorder="1" applyAlignment="1">
      <alignment vertical="center" wrapText="1" shrinkToFit="1"/>
    </xf>
    <xf numFmtId="0" fontId="6" fillId="0" borderId="33" xfId="0" applyFont="1" applyBorder="1" applyAlignment="1">
      <alignment vertical="center" wrapText="1" shrinkToFit="1"/>
    </xf>
    <xf numFmtId="0" fontId="6" fillId="0" borderId="34" xfId="0" applyFont="1" applyBorder="1" applyAlignment="1">
      <alignment vertical="center" wrapText="1" shrinkToFit="1"/>
    </xf>
    <xf numFmtId="0" fontId="6" fillId="2" borderId="23" xfId="0" applyFont="1" applyFill="1" applyBorder="1" applyAlignment="1">
      <alignment vertical="center" wrapText="1" shrinkToFit="1"/>
    </xf>
    <xf numFmtId="0" fontId="6" fillId="2" borderId="35" xfId="0" applyFont="1" applyFill="1" applyBorder="1" applyAlignment="1">
      <alignment vertical="center" wrapText="1" shrinkToFit="1"/>
    </xf>
    <xf numFmtId="0" fontId="6" fillId="2" borderId="36" xfId="0" applyFont="1" applyFill="1" applyBorder="1" applyAlignment="1">
      <alignment vertical="center" wrapText="1" shrinkToFit="1"/>
    </xf>
    <xf numFmtId="0" fontId="8" fillId="2" borderId="19" xfId="0" applyFont="1" applyFill="1" applyBorder="1" applyAlignment="1">
      <alignment vertical="center" wrapText="1" shrinkToFit="1"/>
    </xf>
    <xf numFmtId="0" fontId="8" fillId="2" borderId="20" xfId="0" applyFont="1" applyFill="1" applyBorder="1" applyAlignment="1">
      <alignment vertical="center" shrinkToFit="1"/>
    </xf>
    <xf numFmtId="0" fontId="8" fillId="2" borderId="21" xfId="0" applyFont="1" applyFill="1" applyBorder="1" applyAlignment="1">
      <alignment vertical="center" shrinkToFit="1"/>
    </xf>
    <xf numFmtId="0" fontId="0" fillId="0" borderId="2" xfId="0"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FAC99-E4AD-4914-AE9F-C26D0270B1F4}">
  <sheetPr codeName="Sheet1">
    <tabColor rgb="FF92D050"/>
  </sheetPr>
  <dimension ref="A1:AT39"/>
  <sheetViews>
    <sheetView view="pageBreakPreview" zoomScale="96" zoomScaleNormal="40" zoomScaleSheetLayoutView="96" workbookViewId="0">
      <pane xSplit="5" ySplit="4" topLeftCell="AL8" activePane="bottomRight" state="frozen"/>
      <selection activeCell="N11" sqref="N11"/>
      <selection pane="topRight" activeCell="N11" sqref="N11"/>
      <selection pane="bottomLeft" activeCell="N11" sqref="N11"/>
      <selection pane="bottomRight" activeCell="AL10" sqref="AL10:AP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37.1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68</v>
      </c>
      <c r="L4" s="5" t="s">
        <v>28</v>
      </c>
      <c r="M4" s="5" t="s">
        <v>14</v>
      </c>
      <c r="N4" s="5" t="s">
        <v>898</v>
      </c>
      <c r="O4" s="5" t="s">
        <v>910</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68</v>
      </c>
      <c r="AH4" s="3" t="s">
        <v>61</v>
      </c>
      <c r="AI4" s="98"/>
      <c r="AJ4" s="100"/>
      <c r="AK4" s="100"/>
      <c r="AL4" s="89"/>
      <c r="AM4" s="102"/>
      <c r="AN4" s="102"/>
      <c r="AO4" s="102"/>
      <c r="AP4" s="90"/>
    </row>
    <row r="5" spans="1:46" s="10" customFormat="1" ht="15" customHeight="1" x14ac:dyDescent="0.4">
      <c r="A5" s="6">
        <v>1</v>
      </c>
      <c r="B5" s="6">
        <v>101</v>
      </c>
      <c r="C5" s="6" t="s">
        <v>78</v>
      </c>
      <c r="D5" s="18" t="s">
        <v>111</v>
      </c>
      <c r="E5" s="32" t="s">
        <v>18</v>
      </c>
      <c r="F5" s="6" t="s">
        <v>112</v>
      </c>
      <c r="G5" s="6" t="s">
        <v>43</v>
      </c>
      <c r="H5" s="6" t="s">
        <v>52</v>
      </c>
      <c r="I5" s="6" t="s">
        <v>34</v>
      </c>
      <c r="J5" s="6" t="s">
        <v>84</v>
      </c>
      <c r="K5" s="6" t="s">
        <v>60</v>
      </c>
      <c r="L5" s="6" t="s">
        <v>92</v>
      </c>
      <c r="M5" s="6" t="s">
        <v>45</v>
      </c>
      <c r="N5" s="6" t="s">
        <v>45</v>
      </c>
      <c r="O5" s="6" t="s">
        <v>23</v>
      </c>
      <c r="P5" s="6" t="s">
        <v>84</v>
      </c>
      <c r="Q5" s="6" t="s">
        <v>86</v>
      </c>
      <c r="R5" s="6">
        <v>745</v>
      </c>
      <c r="S5" s="16" t="s">
        <v>39</v>
      </c>
      <c r="T5" s="6">
        <v>900</v>
      </c>
      <c r="U5" s="6" t="s">
        <v>45</v>
      </c>
      <c r="V5" s="6" t="s">
        <v>84</v>
      </c>
      <c r="W5" s="6" t="s">
        <v>86</v>
      </c>
      <c r="X5" s="16" t="s">
        <v>60</v>
      </c>
      <c r="Y5" s="16" t="s">
        <v>87</v>
      </c>
      <c r="Z5" s="16" t="s">
        <v>534</v>
      </c>
      <c r="AA5" s="16" t="s">
        <v>39</v>
      </c>
      <c r="AB5" s="8" t="s">
        <v>19</v>
      </c>
      <c r="AC5" s="8" t="s">
        <v>45</v>
      </c>
      <c r="AD5" s="8" t="s">
        <v>45</v>
      </c>
      <c r="AE5" s="8" t="s">
        <v>50</v>
      </c>
      <c r="AF5" s="16" t="s">
        <v>50</v>
      </c>
      <c r="AG5" s="17" t="s">
        <v>60</v>
      </c>
      <c r="AH5" s="17" t="s">
        <v>62</v>
      </c>
      <c r="AI5" s="17" t="s">
        <v>23</v>
      </c>
      <c r="AJ5" s="17" t="s">
        <v>45</v>
      </c>
      <c r="AK5" s="9" t="s">
        <v>23</v>
      </c>
      <c r="AL5" s="103" t="s">
        <v>113</v>
      </c>
      <c r="AM5" s="104"/>
      <c r="AN5" s="104"/>
      <c r="AO5" s="104"/>
      <c r="AP5" s="105"/>
    </row>
    <row r="6" spans="1:46" s="14" customFormat="1" ht="15" customHeight="1" x14ac:dyDescent="0.4">
      <c r="A6" s="11">
        <v>1</v>
      </c>
      <c r="B6" s="11">
        <v>201</v>
      </c>
      <c r="C6" s="11" t="s">
        <v>78</v>
      </c>
      <c r="D6" s="13" t="s">
        <v>94</v>
      </c>
      <c r="E6" s="33" t="s">
        <v>18</v>
      </c>
      <c r="F6" s="11" t="s">
        <v>95</v>
      </c>
      <c r="G6" s="11" t="s">
        <v>43</v>
      </c>
      <c r="H6" s="11" t="s">
        <v>52</v>
      </c>
      <c r="I6" s="11" t="s">
        <v>84</v>
      </c>
      <c r="J6" s="11" t="s">
        <v>46</v>
      </c>
      <c r="K6" s="11" t="s">
        <v>60</v>
      </c>
      <c r="L6" s="11" t="s">
        <v>92</v>
      </c>
      <c r="M6" s="11" t="s">
        <v>45</v>
      </c>
      <c r="N6" s="11" t="s">
        <v>45</v>
      </c>
      <c r="O6" s="11" t="s">
        <v>45</v>
      </c>
      <c r="P6" s="11" t="s">
        <v>84</v>
      </c>
      <c r="Q6" s="11" t="s">
        <v>86</v>
      </c>
      <c r="R6" s="11">
        <v>750</v>
      </c>
      <c r="S6" s="40" t="s">
        <v>39</v>
      </c>
      <c r="T6" s="11">
        <v>900</v>
      </c>
      <c r="U6" s="11" t="s">
        <v>45</v>
      </c>
      <c r="V6" s="11" t="s">
        <v>84</v>
      </c>
      <c r="W6" s="11" t="s">
        <v>86</v>
      </c>
      <c r="X6" s="40" t="s">
        <v>60</v>
      </c>
      <c r="Y6" s="40" t="s">
        <v>87</v>
      </c>
      <c r="Z6" s="40" t="s">
        <v>542</v>
      </c>
      <c r="AA6" s="40" t="s">
        <v>39</v>
      </c>
      <c r="AB6" s="40" t="s">
        <v>88</v>
      </c>
      <c r="AC6" s="11" t="s">
        <v>45</v>
      </c>
      <c r="AD6" s="11" t="s">
        <v>23</v>
      </c>
      <c r="AE6" s="11" t="s">
        <v>50</v>
      </c>
      <c r="AF6" s="11" t="s">
        <v>50</v>
      </c>
      <c r="AG6" s="13" t="s">
        <v>60</v>
      </c>
      <c r="AH6" s="13" t="s">
        <v>96</v>
      </c>
      <c r="AI6" s="13" t="s">
        <v>45</v>
      </c>
      <c r="AJ6" s="13" t="s">
        <v>45</v>
      </c>
      <c r="AK6" s="13" t="s">
        <v>45</v>
      </c>
      <c r="AL6" s="94" t="s">
        <v>110</v>
      </c>
      <c r="AM6" s="95"/>
      <c r="AN6" s="95"/>
      <c r="AO6" s="95"/>
      <c r="AP6" s="96"/>
    </row>
    <row r="7" spans="1:46" s="10" customFormat="1" ht="15" customHeight="1" x14ac:dyDescent="0.4">
      <c r="A7" s="6">
        <v>1</v>
      </c>
      <c r="B7" s="6">
        <v>301</v>
      </c>
      <c r="C7" s="6" t="s">
        <v>78</v>
      </c>
      <c r="D7" s="18" t="s">
        <v>129</v>
      </c>
      <c r="E7" s="34" t="s">
        <v>18</v>
      </c>
      <c r="F7" s="6" t="s">
        <v>130</v>
      </c>
      <c r="G7" s="6" t="s">
        <v>43</v>
      </c>
      <c r="H7" s="6" t="s">
        <v>52</v>
      </c>
      <c r="I7" s="6" t="s">
        <v>84</v>
      </c>
      <c r="J7" s="6" t="s">
        <v>85</v>
      </c>
      <c r="K7" s="6" t="s">
        <v>60</v>
      </c>
      <c r="L7" s="6" t="s">
        <v>92</v>
      </c>
      <c r="M7" s="6" t="s">
        <v>45</v>
      </c>
      <c r="N7" s="6" t="s">
        <v>45</v>
      </c>
      <c r="O7" s="6" t="s">
        <v>23</v>
      </c>
      <c r="P7" s="6" t="s">
        <v>84</v>
      </c>
      <c r="Q7" s="6" t="s">
        <v>86</v>
      </c>
      <c r="R7" s="6" t="s">
        <v>131</v>
      </c>
      <c r="S7" s="6" t="s">
        <v>39</v>
      </c>
      <c r="T7" s="6">
        <v>900</v>
      </c>
      <c r="U7" s="6" t="s">
        <v>45</v>
      </c>
      <c r="V7" s="6" t="s">
        <v>84</v>
      </c>
      <c r="W7" s="6" t="s">
        <v>86</v>
      </c>
      <c r="X7" s="6" t="s">
        <v>60</v>
      </c>
      <c r="Y7" s="6" t="s">
        <v>543</v>
      </c>
      <c r="Z7" s="6" t="s">
        <v>132</v>
      </c>
      <c r="AA7" s="6" t="s">
        <v>39</v>
      </c>
      <c r="AB7" s="6" t="s">
        <v>88</v>
      </c>
      <c r="AC7" s="16" t="s">
        <v>45</v>
      </c>
      <c r="AD7" s="16" t="s">
        <v>23</v>
      </c>
      <c r="AE7" s="16" t="s">
        <v>116</v>
      </c>
      <c r="AF7" s="16" t="s">
        <v>116</v>
      </c>
      <c r="AG7" s="17" t="s">
        <v>60</v>
      </c>
      <c r="AH7" s="17" t="s">
        <v>62</v>
      </c>
      <c r="AI7" s="17" t="s">
        <v>45</v>
      </c>
      <c r="AJ7" s="17" t="s">
        <v>45</v>
      </c>
      <c r="AK7" s="17" t="s">
        <v>45</v>
      </c>
      <c r="AL7" s="78" t="s">
        <v>133</v>
      </c>
      <c r="AM7" s="79"/>
      <c r="AN7" s="79"/>
      <c r="AO7" s="79"/>
      <c r="AP7" s="80"/>
      <c r="AQ7" s="10" t="s">
        <v>1214</v>
      </c>
    </row>
    <row r="8" spans="1:46" s="14" customFormat="1" ht="15" customHeight="1" x14ac:dyDescent="0.4">
      <c r="A8" s="11">
        <v>1</v>
      </c>
      <c r="B8" s="11">
        <v>401</v>
      </c>
      <c r="C8" s="11" t="s">
        <v>78</v>
      </c>
      <c r="D8" s="13" t="s">
        <v>82</v>
      </c>
      <c r="E8" s="33" t="s">
        <v>18</v>
      </c>
      <c r="F8" s="11" t="s">
        <v>83</v>
      </c>
      <c r="G8" s="11" t="s">
        <v>43</v>
      </c>
      <c r="H8" s="11" t="s">
        <v>52</v>
      </c>
      <c r="I8" s="11" t="s">
        <v>84</v>
      </c>
      <c r="J8" s="11" t="s">
        <v>85</v>
      </c>
      <c r="K8" s="11" t="s">
        <v>60</v>
      </c>
      <c r="L8" s="11" t="s">
        <v>24</v>
      </c>
      <c r="M8" s="11" t="s">
        <v>45</v>
      </c>
      <c r="N8" s="11" t="s">
        <v>45</v>
      </c>
      <c r="O8" s="11" t="s">
        <v>23</v>
      </c>
      <c r="P8" s="11" t="s">
        <v>84</v>
      </c>
      <c r="Q8" s="11" t="s">
        <v>86</v>
      </c>
      <c r="R8" s="11">
        <v>750</v>
      </c>
      <c r="S8" s="40" t="s">
        <v>39</v>
      </c>
      <c r="T8" s="11">
        <v>900</v>
      </c>
      <c r="U8" s="11" t="s">
        <v>45</v>
      </c>
      <c r="V8" s="11" t="s">
        <v>84</v>
      </c>
      <c r="W8" s="11" t="s">
        <v>86</v>
      </c>
      <c r="X8" s="40" t="s">
        <v>60</v>
      </c>
      <c r="Y8" s="40" t="s">
        <v>87</v>
      </c>
      <c r="Z8" s="40" t="s">
        <v>544</v>
      </c>
      <c r="AA8" s="40" t="s">
        <v>39</v>
      </c>
      <c r="AB8" s="40" t="s">
        <v>88</v>
      </c>
      <c r="AC8" s="11" t="s">
        <v>45</v>
      </c>
      <c r="AD8" s="11" t="s">
        <v>23</v>
      </c>
      <c r="AE8" s="11" t="s">
        <v>50</v>
      </c>
      <c r="AF8" s="11" t="s">
        <v>50</v>
      </c>
      <c r="AG8" s="13" t="s">
        <v>19</v>
      </c>
      <c r="AH8" s="13" t="s">
        <v>62</v>
      </c>
      <c r="AI8" s="13" t="s">
        <v>45</v>
      </c>
      <c r="AJ8" s="13" t="s">
        <v>45</v>
      </c>
      <c r="AK8" s="13" t="s">
        <v>45</v>
      </c>
      <c r="AL8" s="94" t="s">
        <v>89</v>
      </c>
      <c r="AM8" s="95"/>
      <c r="AN8" s="95"/>
      <c r="AO8" s="95"/>
      <c r="AP8" s="96"/>
    </row>
    <row r="9" spans="1:46" s="10" customFormat="1" ht="15" customHeight="1" x14ac:dyDescent="0.4">
      <c r="A9" s="6">
        <v>1</v>
      </c>
      <c r="B9" s="6">
        <v>501</v>
      </c>
      <c r="C9" s="6" t="s">
        <v>78</v>
      </c>
      <c r="D9" s="18" t="s">
        <v>114</v>
      </c>
      <c r="E9" s="34" t="s">
        <v>18</v>
      </c>
      <c r="F9" s="6" t="s">
        <v>115</v>
      </c>
      <c r="G9" s="6" t="s">
        <v>43</v>
      </c>
      <c r="H9" s="6" t="s">
        <v>52</v>
      </c>
      <c r="I9" s="6" t="s">
        <v>84</v>
      </c>
      <c r="J9" s="6" t="s">
        <v>85</v>
      </c>
      <c r="K9" s="6" t="s">
        <v>60</v>
      </c>
      <c r="L9" s="6" t="s">
        <v>92</v>
      </c>
      <c r="M9" s="6" t="s">
        <v>45</v>
      </c>
      <c r="N9" s="6" t="s">
        <v>45</v>
      </c>
      <c r="O9" s="6" t="s">
        <v>23</v>
      </c>
      <c r="P9" s="6" t="s">
        <v>84</v>
      </c>
      <c r="Q9" s="6" t="s">
        <v>86</v>
      </c>
      <c r="R9" s="6">
        <v>745</v>
      </c>
      <c r="S9" s="6" t="s">
        <v>39</v>
      </c>
      <c r="T9" s="6">
        <v>900</v>
      </c>
      <c r="U9" s="6" t="s">
        <v>45</v>
      </c>
      <c r="V9" s="6" t="s">
        <v>84</v>
      </c>
      <c r="W9" s="6" t="s">
        <v>86</v>
      </c>
      <c r="X9" s="6" t="s">
        <v>60</v>
      </c>
      <c r="Y9" s="6" t="s">
        <v>87</v>
      </c>
      <c r="Z9" s="6" t="s">
        <v>545</v>
      </c>
      <c r="AA9" s="6" t="s">
        <v>39</v>
      </c>
      <c r="AB9" s="6" t="s">
        <v>19</v>
      </c>
      <c r="AC9" s="16" t="s">
        <v>45</v>
      </c>
      <c r="AD9" s="16" t="s">
        <v>45</v>
      </c>
      <c r="AE9" s="16" t="s">
        <v>116</v>
      </c>
      <c r="AF9" s="16" t="s">
        <v>50</v>
      </c>
      <c r="AG9" s="17" t="s">
        <v>60</v>
      </c>
      <c r="AH9" s="17" t="s">
        <v>62</v>
      </c>
      <c r="AI9" s="17" t="s">
        <v>45</v>
      </c>
      <c r="AJ9" s="17" t="s">
        <v>45</v>
      </c>
      <c r="AK9" s="17" t="s">
        <v>23</v>
      </c>
      <c r="AL9" s="78" t="s">
        <v>119</v>
      </c>
      <c r="AM9" s="79"/>
      <c r="AN9" s="79"/>
      <c r="AO9" s="79"/>
      <c r="AP9" s="80"/>
    </row>
    <row r="10" spans="1:46" s="14" customFormat="1" ht="27" customHeight="1" x14ac:dyDescent="0.4">
      <c r="A10" s="11">
        <v>1</v>
      </c>
      <c r="B10" s="11">
        <v>102</v>
      </c>
      <c r="C10" s="11" t="s">
        <v>78</v>
      </c>
      <c r="D10" s="13" t="s">
        <v>117</v>
      </c>
      <c r="E10" s="33" t="s">
        <v>18</v>
      </c>
      <c r="F10" s="11" t="s">
        <v>118</v>
      </c>
      <c r="G10" s="11" t="s">
        <v>43</v>
      </c>
      <c r="H10" s="11" t="s">
        <v>52</v>
      </c>
      <c r="I10" s="11" t="s">
        <v>84</v>
      </c>
      <c r="J10" s="11" t="s">
        <v>85</v>
      </c>
      <c r="K10" s="11" t="s">
        <v>60</v>
      </c>
      <c r="L10" s="11" t="s">
        <v>92</v>
      </c>
      <c r="M10" s="11" t="s">
        <v>45</v>
      </c>
      <c r="N10" s="11" t="s">
        <v>45</v>
      </c>
      <c r="O10" s="11" t="s">
        <v>45</v>
      </c>
      <c r="P10" s="11" t="s">
        <v>84</v>
      </c>
      <c r="Q10" s="11" t="s">
        <v>86</v>
      </c>
      <c r="R10" s="11">
        <v>740</v>
      </c>
      <c r="S10" s="40" t="s">
        <v>39</v>
      </c>
      <c r="T10" s="11">
        <v>900</v>
      </c>
      <c r="U10" s="11" t="s">
        <v>45</v>
      </c>
      <c r="V10" s="11" t="s">
        <v>84</v>
      </c>
      <c r="W10" s="11" t="s">
        <v>86</v>
      </c>
      <c r="X10" s="40" t="s">
        <v>19</v>
      </c>
      <c r="Y10" s="40" t="s">
        <v>531</v>
      </c>
      <c r="Z10" s="40"/>
      <c r="AA10" s="40" t="s">
        <v>39</v>
      </c>
      <c r="AB10" s="40" t="s">
        <v>19</v>
      </c>
      <c r="AC10" s="11" t="s">
        <v>45</v>
      </c>
      <c r="AD10" s="11" t="s">
        <v>45</v>
      </c>
      <c r="AE10" s="11" t="s">
        <v>116</v>
      </c>
      <c r="AF10" s="11" t="s">
        <v>50</v>
      </c>
      <c r="AG10" s="13" t="s">
        <v>60</v>
      </c>
      <c r="AH10" s="13" t="s">
        <v>62</v>
      </c>
      <c r="AI10" s="13" t="s">
        <v>45</v>
      </c>
      <c r="AJ10" s="13" t="s">
        <v>23</v>
      </c>
      <c r="AK10" s="13" t="s">
        <v>45</v>
      </c>
      <c r="AL10" s="94" t="s">
        <v>120</v>
      </c>
      <c r="AM10" s="95"/>
      <c r="AN10" s="95"/>
      <c r="AO10" s="95"/>
      <c r="AP10" s="96"/>
    </row>
    <row r="11" spans="1:46" s="10" customFormat="1" ht="15" customHeight="1" x14ac:dyDescent="0.4">
      <c r="A11" s="6">
        <v>1</v>
      </c>
      <c r="B11" s="6">
        <v>202</v>
      </c>
      <c r="C11" s="6" t="s">
        <v>78</v>
      </c>
      <c r="D11" s="18" t="s">
        <v>158</v>
      </c>
      <c r="E11" s="34" t="s">
        <v>18</v>
      </c>
      <c r="F11" s="6" t="s">
        <v>159</v>
      </c>
      <c r="G11" s="6" t="s">
        <v>43</v>
      </c>
      <c r="H11" s="6" t="s">
        <v>52</v>
      </c>
      <c r="I11" s="6" t="s">
        <v>84</v>
      </c>
      <c r="J11" s="6" t="s">
        <v>85</v>
      </c>
      <c r="K11" s="6" t="s">
        <v>60</v>
      </c>
      <c r="L11" s="6" t="s">
        <v>92</v>
      </c>
      <c r="M11" s="6" t="s">
        <v>45</v>
      </c>
      <c r="N11" s="6" t="s">
        <v>45</v>
      </c>
      <c r="O11" s="6" t="s">
        <v>45</v>
      </c>
      <c r="P11" s="6" t="s">
        <v>84</v>
      </c>
      <c r="Q11" s="6" t="s">
        <v>86</v>
      </c>
      <c r="R11" s="6">
        <v>745</v>
      </c>
      <c r="S11" s="6" t="s">
        <v>39</v>
      </c>
      <c r="T11" s="6">
        <v>740</v>
      </c>
      <c r="U11" s="6" t="s">
        <v>45</v>
      </c>
      <c r="V11" s="6" t="s">
        <v>84</v>
      </c>
      <c r="W11" s="6" t="s">
        <v>86</v>
      </c>
      <c r="X11" s="6" t="s">
        <v>60</v>
      </c>
      <c r="Y11" s="6" t="s">
        <v>87</v>
      </c>
      <c r="Z11" s="6" t="s">
        <v>546</v>
      </c>
      <c r="AA11" s="6" t="s">
        <v>39</v>
      </c>
      <c r="AB11" s="6" t="s">
        <v>88</v>
      </c>
      <c r="AC11" s="16" t="s">
        <v>45</v>
      </c>
      <c r="AD11" s="16" t="s">
        <v>23</v>
      </c>
      <c r="AE11" s="16" t="s">
        <v>50</v>
      </c>
      <c r="AF11" s="16" t="s">
        <v>50</v>
      </c>
      <c r="AG11" s="17" t="s">
        <v>60</v>
      </c>
      <c r="AH11" s="17" t="s">
        <v>62</v>
      </c>
      <c r="AI11" s="17" t="s">
        <v>45</v>
      </c>
      <c r="AJ11" s="17" t="s">
        <v>23</v>
      </c>
      <c r="AK11" s="17" t="s">
        <v>45</v>
      </c>
      <c r="AL11" s="78" t="s">
        <v>160</v>
      </c>
      <c r="AM11" s="79"/>
      <c r="AN11" s="79"/>
      <c r="AO11" s="79"/>
      <c r="AP11" s="80"/>
    </row>
    <row r="12" spans="1:46" s="14" customFormat="1" ht="15" customHeight="1" x14ac:dyDescent="0.4">
      <c r="A12" s="11">
        <v>1</v>
      </c>
      <c r="B12" s="11">
        <v>302</v>
      </c>
      <c r="C12" s="11" t="s">
        <v>78</v>
      </c>
      <c r="D12" s="13" t="s">
        <v>97</v>
      </c>
      <c r="E12" s="33" t="s">
        <v>18</v>
      </c>
      <c r="F12" s="11" t="s">
        <v>98</v>
      </c>
      <c r="G12" s="11" t="s">
        <v>43</v>
      </c>
      <c r="H12" s="11" t="s">
        <v>52</v>
      </c>
      <c r="I12" s="11" t="s">
        <v>84</v>
      </c>
      <c r="J12" s="11" t="s">
        <v>85</v>
      </c>
      <c r="K12" s="11" t="s">
        <v>60</v>
      </c>
      <c r="L12" s="11" t="s">
        <v>92</v>
      </c>
      <c r="M12" s="11" t="s">
        <v>45</v>
      </c>
      <c r="N12" s="11" t="s">
        <v>23</v>
      </c>
      <c r="O12" s="11" t="s">
        <v>23</v>
      </c>
      <c r="P12" s="11" t="s">
        <v>84</v>
      </c>
      <c r="Q12" s="11" t="s">
        <v>86</v>
      </c>
      <c r="R12" s="11">
        <v>600</v>
      </c>
      <c r="S12" s="40" t="s">
        <v>39</v>
      </c>
      <c r="T12" s="11">
        <v>900</v>
      </c>
      <c r="U12" s="11" t="s">
        <v>45</v>
      </c>
      <c r="V12" s="11" t="s">
        <v>84</v>
      </c>
      <c r="W12" s="11" t="s">
        <v>86</v>
      </c>
      <c r="X12" s="40" t="s">
        <v>60</v>
      </c>
      <c r="Y12" s="40" t="s">
        <v>99</v>
      </c>
      <c r="Z12" s="40" t="s">
        <v>100</v>
      </c>
      <c r="AA12" s="40" t="s">
        <v>39</v>
      </c>
      <c r="AB12" s="40" t="s">
        <v>88</v>
      </c>
      <c r="AC12" s="11" t="s">
        <v>45</v>
      </c>
      <c r="AD12" s="11" t="s">
        <v>23</v>
      </c>
      <c r="AE12" s="11" t="s">
        <v>50</v>
      </c>
      <c r="AF12" s="11" t="s">
        <v>50</v>
      </c>
      <c r="AG12" s="13" t="s">
        <v>60</v>
      </c>
      <c r="AH12" s="13" t="s">
        <v>62</v>
      </c>
      <c r="AI12" s="13" t="s">
        <v>45</v>
      </c>
      <c r="AJ12" s="13" t="s">
        <v>45</v>
      </c>
      <c r="AK12" s="13" t="s">
        <v>45</v>
      </c>
      <c r="AL12" s="94" t="s">
        <v>101</v>
      </c>
      <c r="AM12" s="95"/>
      <c r="AN12" s="95"/>
      <c r="AO12" s="95"/>
      <c r="AP12" s="96"/>
    </row>
    <row r="13" spans="1:46" s="10" customFormat="1" ht="15" customHeight="1" x14ac:dyDescent="0.4">
      <c r="A13" s="6">
        <v>1</v>
      </c>
      <c r="B13" s="6">
        <v>402</v>
      </c>
      <c r="C13" s="6" t="s">
        <v>78</v>
      </c>
      <c r="D13" s="18" t="s">
        <v>102</v>
      </c>
      <c r="E13" s="34" t="s">
        <v>18</v>
      </c>
      <c r="F13" s="6" t="s">
        <v>103</v>
      </c>
      <c r="G13" s="6" t="s">
        <v>43</v>
      </c>
      <c r="H13" s="6" t="s">
        <v>52</v>
      </c>
      <c r="I13" s="6" t="s">
        <v>84</v>
      </c>
      <c r="J13" s="6" t="s">
        <v>85</v>
      </c>
      <c r="K13" s="6" t="s">
        <v>60</v>
      </c>
      <c r="L13" s="6" t="s">
        <v>92</v>
      </c>
      <c r="M13" s="6" t="s">
        <v>45</v>
      </c>
      <c r="N13" s="6" t="s">
        <v>45</v>
      </c>
      <c r="O13" s="6" t="s">
        <v>45</v>
      </c>
      <c r="P13" s="6" t="s">
        <v>84</v>
      </c>
      <c r="Q13" s="6" t="s">
        <v>86</v>
      </c>
      <c r="R13" s="6">
        <v>730</v>
      </c>
      <c r="S13" s="6" t="s">
        <v>39</v>
      </c>
      <c r="T13" s="6">
        <v>900</v>
      </c>
      <c r="U13" s="6" t="s">
        <v>45</v>
      </c>
      <c r="V13" s="6" t="s">
        <v>84</v>
      </c>
      <c r="W13" s="6" t="s">
        <v>86</v>
      </c>
      <c r="X13" s="6" t="s">
        <v>60</v>
      </c>
      <c r="Y13" s="6" t="s">
        <v>104</v>
      </c>
      <c r="Z13" s="6" t="s">
        <v>107</v>
      </c>
      <c r="AA13" s="6" t="s">
        <v>39</v>
      </c>
      <c r="AB13" s="6" t="s">
        <v>88</v>
      </c>
      <c r="AC13" s="16" t="s">
        <v>45</v>
      </c>
      <c r="AD13" s="16" t="s">
        <v>23</v>
      </c>
      <c r="AE13" s="16" t="s">
        <v>50</v>
      </c>
      <c r="AF13" s="16" t="s">
        <v>50</v>
      </c>
      <c r="AG13" s="17" t="s">
        <v>60</v>
      </c>
      <c r="AH13" s="17" t="s">
        <v>96</v>
      </c>
      <c r="AI13" s="17" t="s">
        <v>23</v>
      </c>
      <c r="AJ13" s="17" t="s">
        <v>45</v>
      </c>
      <c r="AK13" s="17" t="s">
        <v>45</v>
      </c>
      <c r="AL13" s="78" t="s">
        <v>108</v>
      </c>
      <c r="AM13" s="79"/>
      <c r="AN13" s="79"/>
      <c r="AO13" s="79"/>
      <c r="AP13" s="80"/>
    </row>
    <row r="14" spans="1:46" s="14" customFormat="1" ht="31.5" customHeight="1" x14ac:dyDescent="0.4">
      <c r="A14" s="11">
        <v>1</v>
      </c>
      <c r="B14" s="11">
        <v>502</v>
      </c>
      <c r="C14" s="11" t="s">
        <v>78</v>
      </c>
      <c r="D14" s="13" t="s">
        <v>90</v>
      </c>
      <c r="E14" s="33" t="s">
        <v>18</v>
      </c>
      <c r="F14" s="45" t="s">
        <v>91</v>
      </c>
      <c r="G14" s="11" t="s">
        <v>43</v>
      </c>
      <c r="H14" s="11" t="s">
        <v>52</v>
      </c>
      <c r="I14" s="11" t="s">
        <v>84</v>
      </c>
      <c r="J14" s="11" t="s">
        <v>85</v>
      </c>
      <c r="K14" s="11" t="s">
        <v>19</v>
      </c>
      <c r="L14" s="11" t="s">
        <v>92</v>
      </c>
      <c r="M14" s="11" t="s">
        <v>45</v>
      </c>
      <c r="N14" s="11" t="s">
        <v>45</v>
      </c>
      <c r="O14" s="11" t="s">
        <v>23</v>
      </c>
      <c r="P14" s="11" t="s">
        <v>84</v>
      </c>
      <c r="Q14" s="11" t="s">
        <v>86</v>
      </c>
      <c r="R14" s="11">
        <v>750</v>
      </c>
      <c r="S14" s="40" t="s">
        <v>39</v>
      </c>
      <c r="T14" s="11">
        <v>900</v>
      </c>
      <c r="U14" s="11" t="s">
        <v>45</v>
      </c>
      <c r="V14" s="11" t="s">
        <v>84</v>
      </c>
      <c r="W14" s="11" t="s">
        <v>86</v>
      </c>
      <c r="X14" s="40" t="s">
        <v>19</v>
      </c>
      <c r="Y14" s="40" t="s">
        <v>531</v>
      </c>
      <c r="Z14" s="40"/>
      <c r="AA14" s="40" t="s">
        <v>39</v>
      </c>
      <c r="AB14" s="40" t="s">
        <v>19</v>
      </c>
      <c r="AC14" s="11" t="s">
        <v>45</v>
      </c>
      <c r="AD14" s="11" t="s">
        <v>45</v>
      </c>
      <c r="AE14" s="11" t="s">
        <v>50</v>
      </c>
      <c r="AF14" s="11" t="s">
        <v>50</v>
      </c>
      <c r="AG14" s="13" t="s">
        <v>19</v>
      </c>
      <c r="AH14" s="13" t="s">
        <v>62</v>
      </c>
      <c r="AI14" s="13" t="s">
        <v>45</v>
      </c>
      <c r="AJ14" s="13" t="s">
        <v>45</v>
      </c>
      <c r="AK14" s="13" t="s">
        <v>23</v>
      </c>
      <c r="AL14" s="94" t="s">
        <v>109</v>
      </c>
      <c r="AM14" s="95"/>
      <c r="AN14" s="95"/>
      <c r="AO14" s="95"/>
      <c r="AP14" s="96"/>
      <c r="AQ14" s="14" t="s">
        <v>1214</v>
      </c>
    </row>
    <row r="15" spans="1:46" s="10" customFormat="1" ht="37.5" customHeight="1" x14ac:dyDescent="0.4">
      <c r="A15" s="6">
        <v>1</v>
      </c>
      <c r="B15" s="6">
        <v>103</v>
      </c>
      <c r="C15" s="6" t="s">
        <v>78</v>
      </c>
      <c r="D15" s="18" t="s">
        <v>2739</v>
      </c>
      <c r="E15" s="34" t="s">
        <v>18</v>
      </c>
      <c r="F15" s="6" t="s">
        <v>2740</v>
      </c>
      <c r="G15" s="6" t="s">
        <v>43</v>
      </c>
      <c r="H15" s="6" t="s">
        <v>52</v>
      </c>
      <c r="I15" s="6" t="s">
        <v>84</v>
      </c>
      <c r="J15" s="6" t="s">
        <v>85</v>
      </c>
      <c r="K15" s="6" t="s">
        <v>60</v>
      </c>
      <c r="L15" s="6" t="s">
        <v>92</v>
      </c>
      <c r="M15" s="6" t="s">
        <v>45</v>
      </c>
      <c r="N15" s="6" t="s">
        <v>45</v>
      </c>
      <c r="O15" s="6" t="s">
        <v>23</v>
      </c>
      <c r="P15" s="6" t="s">
        <v>84</v>
      </c>
      <c r="Q15" s="6" t="s">
        <v>86</v>
      </c>
      <c r="R15" s="6">
        <v>730</v>
      </c>
      <c r="S15" s="6" t="s">
        <v>39</v>
      </c>
      <c r="T15" s="6">
        <v>900</v>
      </c>
      <c r="U15" s="6" t="s">
        <v>45</v>
      </c>
      <c r="V15" s="6" t="s">
        <v>84</v>
      </c>
      <c r="W15" s="6" t="s">
        <v>86</v>
      </c>
      <c r="X15" s="6" t="s">
        <v>60</v>
      </c>
      <c r="Y15" s="6" t="s">
        <v>87</v>
      </c>
      <c r="Z15" s="6" t="s">
        <v>2741</v>
      </c>
      <c r="AA15" s="6" t="s">
        <v>39</v>
      </c>
      <c r="AB15" s="6" t="s">
        <v>88</v>
      </c>
      <c r="AC15" s="16" t="s">
        <v>45</v>
      </c>
      <c r="AD15" s="16" t="s">
        <v>23</v>
      </c>
      <c r="AE15" s="16" t="s">
        <v>50</v>
      </c>
      <c r="AF15" s="16" t="s">
        <v>50</v>
      </c>
      <c r="AG15" s="17" t="s">
        <v>60</v>
      </c>
      <c r="AH15" s="17" t="s">
        <v>62</v>
      </c>
      <c r="AI15" s="17" t="s">
        <v>45</v>
      </c>
      <c r="AJ15" s="17" t="s">
        <v>23</v>
      </c>
      <c r="AK15" s="17" t="s">
        <v>45</v>
      </c>
      <c r="AL15" s="106" t="s">
        <v>2742</v>
      </c>
      <c r="AM15" s="107"/>
      <c r="AN15" s="107"/>
      <c r="AO15" s="107"/>
      <c r="AP15" s="108"/>
    </row>
    <row r="16" spans="1:46" s="14" customFormat="1" ht="15" customHeight="1" x14ac:dyDescent="0.4">
      <c r="A16" s="11">
        <v>1</v>
      </c>
      <c r="B16" s="11">
        <v>203</v>
      </c>
      <c r="C16" s="11" t="s">
        <v>78</v>
      </c>
      <c r="D16" s="13" t="s">
        <v>195</v>
      </c>
      <c r="E16" s="33" t="s">
        <v>18</v>
      </c>
      <c r="F16" s="11" t="s">
        <v>196</v>
      </c>
      <c r="G16" s="11" t="s">
        <v>43</v>
      </c>
      <c r="H16" s="11" t="s">
        <v>52</v>
      </c>
      <c r="I16" s="11" t="s">
        <v>84</v>
      </c>
      <c r="J16" s="11" t="s">
        <v>85</v>
      </c>
      <c r="K16" s="11" t="s">
        <v>19</v>
      </c>
      <c r="L16" s="11" t="s">
        <v>92</v>
      </c>
      <c r="M16" s="11" t="s">
        <v>45</v>
      </c>
      <c r="N16" s="11" t="s">
        <v>23</v>
      </c>
      <c r="O16" s="11" t="s">
        <v>45</v>
      </c>
      <c r="P16" s="11" t="s">
        <v>84</v>
      </c>
      <c r="Q16" s="11" t="s">
        <v>86</v>
      </c>
      <c r="R16" s="11">
        <v>750</v>
      </c>
      <c r="S16" s="40" t="s">
        <v>39</v>
      </c>
      <c r="T16" s="11">
        <v>900</v>
      </c>
      <c r="U16" s="11" t="s">
        <v>45</v>
      </c>
      <c r="V16" s="11" t="s">
        <v>84</v>
      </c>
      <c r="W16" s="11" t="s">
        <v>86</v>
      </c>
      <c r="X16" s="40" t="s">
        <v>60</v>
      </c>
      <c r="Y16" s="40" t="s">
        <v>87</v>
      </c>
      <c r="Z16" s="40" t="s">
        <v>124</v>
      </c>
      <c r="AA16" s="40" t="s">
        <v>39</v>
      </c>
      <c r="AB16" s="40" t="s">
        <v>19</v>
      </c>
      <c r="AC16" s="11" t="s">
        <v>45</v>
      </c>
      <c r="AD16" s="11" t="s">
        <v>45</v>
      </c>
      <c r="AE16" s="11" t="s">
        <v>116</v>
      </c>
      <c r="AF16" s="11" t="s">
        <v>50</v>
      </c>
      <c r="AG16" s="13" t="s">
        <v>60</v>
      </c>
      <c r="AH16" s="13" t="s">
        <v>62</v>
      </c>
      <c r="AI16" s="13" t="s">
        <v>45</v>
      </c>
      <c r="AJ16" s="13" t="s">
        <v>23</v>
      </c>
      <c r="AK16" s="13" t="s">
        <v>45</v>
      </c>
      <c r="AL16" s="94" t="s">
        <v>1398</v>
      </c>
      <c r="AM16" s="95"/>
      <c r="AN16" s="95"/>
      <c r="AO16" s="95"/>
      <c r="AP16" s="96"/>
    </row>
    <row r="17" spans="1:43" s="10" customFormat="1" ht="31.5" customHeight="1" x14ac:dyDescent="0.4">
      <c r="A17" s="6">
        <v>1</v>
      </c>
      <c r="B17" s="6">
        <v>303</v>
      </c>
      <c r="C17" s="6" t="s">
        <v>78</v>
      </c>
      <c r="D17" s="18" t="s">
        <v>121</v>
      </c>
      <c r="E17" s="34" t="s">
        <v>18</v>
      </c>
      <c r="F17" s="46" t="s">
        <v>122</v>
      </c>
      <c r="G17" s="6" t="s">
        <v>43</v>
      </c>
      <c r="H17" s="6" t="s">
        <v>52</v>
      </c>
      <c r="I17" s="6" t="s">
        <v>84</v>
      </c>
      <c r="J17" s="6" t="s">
        <v>85</v>
      </c>
      <c r="K17" s="6" t="s">
        <v>60</v>
      </c>
      <c r="L17" s="6" t="s">
        <v>92</v>
      </c>
      <c r="M17" s="6" t="s">
        <v>45</v>
      </c>
      <c r="N17" s="6" t="s">
        <v>45</v>
      </c>
      <c r="O17" s="6" t="s">
        <v>23</v>
      </c>
      <c r="P17" s="6" t="s">
        <v>84</v>
      </c>
      <c r="Q17" s="6" t="s">
        <v>86</v>
      </c>
      <c r="R17" s="6" t="s">
        <v>123</v>
      </c>
      <c r="S17" s="6" t="s">
        <v>39</v>
      </c>
      <c r="T17" s="6">
        <v>900</v>
      </c>
      <c r="U17" s="6" t="s">
        <v>45</v>
      </c>
      <c r="V17" s="6" t="s">
        <v>84</v>
      </c>
      <c r="W17" s="6" t="s">
        <v>86</v>
      </c>
      <c r="X17" s="6" t="s">
        <v>60</v>
      </c>
      <c r="Y17" s="6" t="s">
        <v>87</v>
      </c>
      <c r="Z17" s="6" t="s">
        <v>564</v>
      </c>
      <c r="AA17" s="6" t="s">
        <v>39</v>
      </c>
      <c r="AB17" s="6" t="s">
        <v>88</v>
      </c>
      <c r="AC17" s="16" t="s">
        <v>23</v>
      </c>
      <c r="AD17" s="16" t="s">
        <v>23</v>
      </c>
      <c r="AE17" s="16" t="s">
        <v>50</v>
      </c>
      <c r="AF17" s="16" t="s">
        <v>50</v>
      </c>
      <c r="AG17" s="17" t="s">
        <v>60</v>
      </c>
      <c r="AH17" s="17" t="s">
        <v>62</v>
      </c>
      <c r="AI17" s="17" t="s">
        <v>45</v>
      </c>
      <c r="AJ17" s="17" t="s">
        <v>45</v>
      </c>
      <c r="AK17" s="17" t="s">
        <v>23</v>
      </c>
      <c r="AL17" s="78" t="s">
        <v>125</v>
      </c>
      <c r="AM17" s="79"/>
      <c r="AN17" s="79"/>
      <c r="AO17" s="79"/>
      <c r="AP17" s="80"/>
    </row>
    <row r="18" spans="1:43" s="14" customFormat="1" ht="15" customHeight="1" x14ac:dyDescent="0.4">
      <c r="A18" s="11">
        <v>1</v>
      </c>
      <c r="B18" s="11">
        <v>403</v>
      </c>
      <c r="C18" s="11" t="s">
        <v>78</v>
      </c>
      <c r="D18" s="13" t="s">
        <v>134</v>
      </c>
      <c r="E18" s="33" t="s">
        <v>18</v>
      </c>
      <c r="F18" s="11" t="s">
        <v>135</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19</v>
      </c>
      <c r="Y18" s="40" t="s">
        <v>93</v>
      </c>
      <c r="Z18" s="40"/>
      <c r="AA18" s="40" t="s">
        <v>39</v>
      </c>
      <c r="AB18" s="40" t="s">
        <v>88</v>
      </c>
      <c r="AC18" s="11" t="s">
        <v>45</v>
      </c>
      <c r="AD18" s="11" t="s">
        <v>23</v>
      </c>
      <c r="AE18" s="11" t="s">
        <v>50</v>
      </c>
      <c r="AF18" s="11" t="s">
        <v>50</v>
      </c>
      <c r="AG18" s="13" t="s">
        <v>60</v>
      </c>
      <c r="AH18" s="13" t="s">
        <v>96</v>
      </c>
      <c r="AI18" s="13" t="s">
        <v>45</v>
      </c>
      <c r="AJ18" s="13" t="s">
        <v>45</v>
      </c>
      <c r="AK18" s="13" t="s">
        <v>23</v>
      </c>
      <c r="AL18" s="94" t="s">
        <v>1399</v>
      </c>
      <c r="AM18" s="95"/>
      <c r="AN18" s="95"/>
      <c r="AO18" s="95"/>
      <c r="AP18" s="96"/>
    </row>
    <row r="19" spans="1:43" s="10" customFormat="1" ht="31.5" customHeight="1" x14ac:dyDescent="0.4">
      <c r="A19" s="6">
        <v>1</v>
      </c>
      <c r="B19" s="6">
        <v>503</v>
      </c>
      <c r="C19" s="6" t="s">
        <v>78</v>
      </c>
      <c r="D19" s="18" t="s">
        <v>136</v>
      </c>
      <c r="E19" s="34" t="s">
        <v>18</v>
      </c>
      <c r="F19" s="46" t="s">
        <v>137</v>
      </c>
      <c r="G19" s="6" t="s">
        <v>43</v>
      </c>
      <c r="H19" s="6" t="s">
        <v>52</v>
      </c>
      <c r="I19" s="6" t="s">
        <v>84</v>
      </c>
      <c r="J19" s="6" t="s">
        <v>85</v>
      </c>
      <c r="K19" s="6" t="s">
        <v>60</v>
      </c>
      <c r="L19" s="6" t="s">
        <v>92</v>
      </c>
      <c r="M19" s="6" t="s">
        <v>45</v>
      </c>
      <c r="N19" s="6" t="s">
        <v>45</v>
      </c>
      <c r="O19" s="6" t="s">
        <v>23</v>
      </c>
      <c r="P19" s="6" t="s">
        <v>84</v>
      </c>
      <c r="Q19" s="6" t="s">
        <v>86</v>
      </c>
      <c r="R19" s="6">
        <v>900</v>
      </c>
      <c r="S19" s="6" t="s">
        <v>39</v>
      </c>
      <c r="T19" s="6">
        <v>635</v>
      </c>
      <c r="U19" s="6" t="s">
        <v>45</v>
      </c>
      <c r="V19" s="6" t="s">
        <v>84</v>
      </c>
      <c r="W19" s="6" t="s">
        <v>86</v>
      </c>
      <c r="X19" s="6" t="s">
        <v>60</v>
      </c>
      <c r="Y19" s="6" t="s">
        <v>87</v>
      </c>
      <c r="Z19" s="6" t="s">
        <v>565</v>
      </c>
      <c r="AA19" s="6" t="s">
        <v>39</v>
      </c>
      <c r="AB19" s="6" t="s">
        <v>88</v>
      </c>
      <c r="AC19" s="16" t="s">
        <v>45</v>
      </c>
      <c r="AD19" s="16" t="s">
        <v>23</v>
      </c>
      <c r="AE19" s="16" t="s">
        <v>50</v>
      </c>
      <c r="AF19" s="16" t="s">
        <v>50</v>
      </c>
      <c r="AG19" s="17" t="s">
        <v>60</v>
      </c>
      <c r="AH19" s="17" t="s">
        <v>62</v>
      </c>
      <c r="AI19" s="17" t="s">
        <v>23</v>
      </c>
      <c r="AJ19" s="17" t="s">
        <v>45</v>
      </c>
      <c r="AK19" s="17" t="s">
        <v>23</v>
      </c>
      <c r="AL19" s="78" t="s">
        <v>138</v>
      </c>
      <c r="AM19" s="79"/>
      <c r="AN19" s="79"/>
      <c r="AO19" s="79"/>
      <c r="AP19" s="80"/>
    </row>
    <row r="20" spans="1:43" s="14" customFormat="1" ht="31.5" customHeight="1" x14ac:dyDescent="0.4">
      <c r="A20" s="11">
        <v>1</v>
      </c>
      <c r="B20" s="11">
        <v>104</v>
      </c>
      <c r="C20" s="11" t="s">
        <v>78</v>
      </c>
      <c r="D20" s="13" t="s">
        <v>144</v>
      </c>
      <c r="E20" s="33" t="s">
        <v>18</v>
      </c>
      <c r="F20" s="45" t="s">
        <v>145</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c r="Z20" s="40"/>
      <c r="AA20" s="40" t="s">
        <v>39</v>
      </c>
      <c r="AB20" s="40" t="s">
        <v>88</v>
      </c>
      <c r="AC20" s="11" t="s">
        <v>45</v>
      </c>
      <c r="AD20" s="11" t="s">
        <v>23</v>
      </c>
      <c r="AE20" s="11" t="s">
        <v>50</v>
      </c>
      <c r="AF20" s="11" t="s">
        <v>50</v>
      </c>
      <c r="AG20" s="13" t="s">
        <v>60</v>
      </c>
      <c r="AH20" s="13" t="s">
        <v>62</v>
      </c>
      <c r="AI20" s="13" t="s">
        <v>23</v>
      </c>
      <c r="AJ20" s="13" t="s">
        <v>23</v>
      </c>
      <c r="AK20" s="13" t="s">
        <v>45</v>
      </c>
      <c r="AL20" s="94" t="s">
        <v>146</v>
      </c>
      <c r="AM20" s="95"/>
      <c r="AN20" s="95"/>
      <c r="AO20" s="95"/>
      <c r="AP20" s="96"/>
    </row>
    <row r="21" spans="1:43" s="10" customFormat="1" ht="31.5" customHeight="1" x14ac:dyDescent="0.4">
      <c r="A21" s="6">
        <v>1</v>
      </c>
      <c r="B21" s="6">
        <v>204</v>
      </c>
      <c r="C21" s="6" t="s">
        <v>78</v>
      </c>
      <c r="D21" s="18" t="s">
        <v>310</v>
      </c>
      <c r="E21" s="34" t="s">
        <v>18</v>
      </c>
      <c r="F21" s="46" t="s">
        <v>311</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566</v>
      </c>
      <c r="AA21" s="6" t="s">
        <v>39</v>
      </c>
      <c r="AB21" s="6" t="s">
        <v>88</v>
      </c>
      <c r="AC21" s="16" t="s">
        <v>45</v>
      </c>
      <c r="AD21" s="16" t="s">
        <v>45</v>
      </c>
      <c r="AE21" s="16" t="s">
        <v>50</v>
      </c>
      <c r="AF21" s="16" t="s">
        <v>50</v>
      </c>
      <c r="AG21" s="17" t="s">
        <v>60</v>
      </c>
      <c r="AH21" s="17" t="s">
        <v>62</v>
      </c>
      <c r="AI21" s="17" t="s">
        <v>45</v>
      </c>
      <c r="AJ21" s="17" t="s">
        <v>23</v>
      </c>
      <c r="AK21" s="17" t="s">
        <v>45</v>
      </c>
      <c r="AL21" s="78" t="s">
        <v>1400</v>
      </c>
      <c r="AM21" s="79"/>
      <c r="AN21" s="79"/>
      <c r="AO21" s="79"/>
      <c r="AP21" s="80"/>
    </row>
    <row r="22" spans="1:43" s="14" customFormat="1" ht="15" customHeight="1" x14ac:dyDescent="0.4">
      <c r="A22" s="11">
        <v>1</v>
      </c>
      <c r="B22" s="11">
        <v>304</v>
      </c>
      <c r="C22" s="11" t="s">
        <v>78</v>
      </c>
      <c r="D22" s="13" t="s">
        <v>126</v>
      </c>
      <c r="E22" s="33" t="s">
        <v>18</v>
      </c>
      <c r="F22" s="11" t="s">
        <v>127</v>
      </c>
      <c r="G22" s="11" t="s">
        <v>43</v>
      </c>
      <c r="H22" s="11" t="s">
        <v>52</v>
      </c>
      <c r="I22" s="11" t="s">
        <v>84</v>
      </c>
      <c r="J22" s="11" t="s">
        <v>85</v>
      </c>
      <c r="K22" s="11" t="s">
        <v>19</v>
      </c>
      <c r="L22" s="11" t="s">
        <v>92</v>
      </c>
      <c r="M22" s="11" t="s">
        <v>45</v>
      </c>
      <c r="N22" s="11" t="s">
        <v>45</v>
      </c>
      <c r="O22" s="11" t="s">
        <v>23</v>
      </c>
      <c r="P22" s="11" t="s">
        <v>84</v>
      </c>
      <c r="Q22" s="11" t="s">
        <v>86</v>
      </c>
      <c r="R22" s="11">
        <v>750</v>
      </c>
      <c r="S22" s="40" t="s">
        <v>39</v>
      </c>
      <c r="T22" s="11">
        <v>900</v>
      </c>
      <c r="U22" s="11" t="s">
        <v>45</v>
      </c>
      <c r="V22" s="11" t="s">
        <v>84</v>
      </c>
      <c r="W22" s="11" t="s">
        <v>86</v>
      </c>
      <c r="X22" s="40" t="s">
        <v>19</v>
      </c>
      <c r="Y22" s="40" t="s">
        <v>93</v>
      </c>
      <c r="Z22" s="40"/>
      <c r="AA22" s="40" t="s">
        <v>39</v>
      </c>
      <c r="AB22" s="40" t="s">
        <v>19</v>
      </c>
      <c r="AC22" s="11" t="s">
        <v>45</v>
      </c>
      <c r="AD22" s="11" t="s">
        <v>45</v>
      </c>
      <c r="AE22" s="11" t="s">
        <v>50</v>
      </c>
      <c r="AF22" s="11" t="s">
        <v>50</v>
      </c>
      <c r="AG22" s="13" t="s">
        <v>60</v>
      </c>
      <c r="AH22" s="13" t="s">
        <v>62</v>
      </c>
      <c r="AI22" s="13" t="s">
        <v>23</v>
      </c>
      <c r="AJ22" s="13" t="s">
        <v>45</v>
      </c>
      <c r="AK22" s="13" t="s">
        <v>23</v>
      </c>
      <c r="AL22" s="94" t="s">
        <v>128</v>
      </c>
      <c r="AM22" s="95"/>
      <c r="AN22" s="95"/>
      <c r="AO22" s="95"/>
      <c r="AP22" s="96"/>
    </row>
    <row r="23" spans="1:43" s="10" customFormat="1" ht="31.5" customHeight="1" x14ac:dyDescent="0.4">
      <c r="A23" s="6">
        <v>1</v>
      </c>
      <c r="B23" s="6">
        <v>404</v>
      </c>
      <c r="C23" s="6" t="s">
        <v>78</v>
      </c>
      <c r="D23" s="18" t="s">
        <v>355</v>
      </c>
      <c r="E23" s="34" t="s">
        <v>18</v>
      </c>
      <c r="F23" s="46" t="s">
        <v>356</v>
      </c>
      <c r="G23" s="6" t="s">
        <v>43</v>
      </c>
      <c r="H23" s="6" t="s">
        <v>52</v>
      </c>
      <c r="I23" s="6" t="s">
        <v>84</v>
      </c>
      <c r="J23" s="6" t="s">
        <v>85</v>
      </c>
      <c r="K23" s="6" t="s">
        <v>60</v>
      </c>
      <c r="L23" s="6" t="s">
        <v>92</v>
      </c>
      <c r="M23" s="6" t="s">
        <v>45</v>
      </c>
      <c r="N23" s="6" t="s">
        <v>45</v>
      </c>
      <c r="O23" s="6" t="s">
        <v>45</v>
      </c>
      <c r="P23" s="6" t="s">
        <v>84</v>
      </c>
      <c r="Q23" s="6" t="s">
        <v>86</v>
      </c>
      <c r="R23" s="6">
        <v>750</v>
      </c>
      <c r="S23" s="6" t="s">
        <v>39</v>
      </c>
      <c r="T23" s="6">
        <v>900</v>
      </c>
      <c r="U23" s="6" t="s">
        <v>45</v>
      </c>
      <c r="V23" s="6" t="s">
        <v>84</v>
      </c>
      <c r="W23" s="6" t="s">
        <v>86</v>
      </c>
      <c r="X23" s="6" t="s">
        <v>60</v>
      </c>
      <c r="Y23" s="6" t="s">
        <v>357</v>
      </c>
      <c r="Z23" s="6"/>
      <c r="AA23" s="6" t="s">
        <v>39</v>
      </c>
      <c r="AB23" s="6" t="s">
        <v>19</v>
      </c>
      <c r="AC23" s="16" t="s">
        <v>45</v>
      </c>
      <c r="AD23" s="16" t="s">
        <v>45</v>
      </c>
      <c r="AE23" s="16" t="s">
        <v>50</v>
      </c>
      <c r="AF23" s="16" t="s">
        <v>50</v>
      </c>
      <c r="AG23" s="17" t="s">
        <v>60</v>
      </c>
      <c r="AH23" s="17" t="s">
        <v>62</v>
      </c>
      <c r="AI23" s="17" t="s">
        <v>45</v>
      </c>
      <c r="AJ23" s="17" t="s">
        <v>23</v>
      </c>
      <c r="AK23" s="17" t="s">
        <v>23</v>
      </c>
      <c r="AL23" s="78" t="s">
        <v>358</v>
      </c>
      <c r="AM23" s="79"/>
      <c r="AN23" s="79"/>
      <c r="AO23" s="79"/>
      <c r="AP23" s="80"/>
    </row>
    <row r="24" spans="1:43" s="14" customFormat="1" ht="31.5" customHeight="1" x14ac:dyDescent="0.4">
      <c r="A24" s="11">
        <v>1</v>
      </c>
      <c r="B24" s="11">
        <v>504</v>
      </c>
      <c r="C24" s="11" t="s">
        <v>78</v>
      </c>
      <c r="D24" s="13" t="s">
        <v>139</v>
      </c>
      <c r="E24" s="33" t="s">
        <v>18</v>
      </c>
      <c r="F24" s="45" t="s">
        <v>140</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141</v>
      </c>
      <c r="Z24" s="40" t="s">
        <v>142</v>
      </c>
      <c r="AA24" s="40" t="s">
        <v>39</v>
      </c>
      <c r="AB24" s="40" t="s">
        <v>88</v>
      </c>
      <c r="AC24" s="11" t="s">
        <v>45</v>
      </c>
      <c r="AD24" s="11" t="s">
        <v>45</v>
      </c>
      <c r="AE24" s="11" t="s">
        <v>50</v>
      </c>
      <c r="AF24" s="11" t="s">
        <v>50</v>
      </c>
      <c r="AG24" s="13" t="s">
        <v>60</v>
      </c>
      <c r="AH24" s="13" t="s">
        <v>62</v>
      </c>
      <c r="AI24" s="13" t="s">
        <v>241</v>
      </c>
      <c r="AJ24" s="13" t="s">
        <v>45</v>
      </c>
      <c r="AK24" s="13" t="s">
        <v>45</v>
      </c>
      <c r="AL24" s="94" t="s">
        <v>143</v>
      </c>
      <c r="AM24" s="95"/>
      <c r="AN24" s="95"/>
      <c r="AO24" s="95"/>
      <c r="AP24" s="96"/>
    </row>
    <row r="25" spans="1:43" s="10" customFormat="1" ht="15" customHeight="1" x14ac:dyDescent="0.4">
      <c r="A25" s="6">
        <v>1</v>
      </c>
      <c r="B25" s="6">
        <v>105</v>
      </c>
      <c r="C25" s="6" t="s">
        <v>78</v>
      </c>
      <c r="D25" s="18" t="s">
        <v>161</v>
      </c>
      <c r="E25" s="34" t="s">
        <v>18</v>
      </c>
      <c r="F25" s="18" t="s">
        <v>162</v>
      </c>
      <c r="G25" s="6" t="s">
        <v>43</v>
      </c>
      <c r="H25" s="6" t="s">
        <v>52</v>
      </c>
      <c r="I25" s="6" t="s">
        <v>84</v>
      </c>
      <c r="J25" s="6" t="s">
        <v>85</v>
      </c>
      <c r="K25" s="6" t="s">
        <v>60</v>
      </c>
      <c r="L25" s="6" t="s">
        <v>92</v>
      </c>
      <c r="M25" s="6" t="s">
        <v>45</v>
      </c>
      <c r="N25" s="6" t="s">
        <v>45</v>
      </c>
      <c r="O25" s="6" t="s">
        <v>23</v>
      </c>
      <c r="P25" s="6" t="s">
        <v>84</v>
      </c>
      <c r="Q25" s="6" t="s">
        <v>86</v>
      </c>
      <c r="R25" s="6">
        <v>750</v>
      </c>
      <c r="S25" s="6" t="s">
        <v>39</v>
      </c>
      <c r="T25" s="6">
        <v>640</v>
      </c>
      <c r="U25" s="6" t="s">
        <v>45</v>
      </c>
      <c r="V25" s="6" t="s">
        <v>84</v>
      </c>
      <c r="W25" s="6" t="s">
        <v>86</v>
      </c>
      <c r="X25" s="6" t="s">
        <v>60</v>
      </c>
      <c r="Y25" s="6" t="s">
        <v>163</v>
      </c>
      <c r="Z25" s="6" t="s">
        <v>164</v>
      </c>
      <c r="AA25" s="6" t="s">
        <v>39</v>
      </c>
      <c r="AB25" s="6" t="s">
        <v>88</v>
      </c>
      <c r="AC25" s="16" t="s">
        <v>45</v>
      </c>
      <c r="AD25" s="16" t="s">
        <v>23</v>
      </c>
      <c r="AE25" s="16" t="s">
        <v>50</v>
      </c>
      <c r="AF25" s="16" t="s">
        <v>50</v>
      </c>
      <c r="AG25" s="17" t="s">
        <v>60</v>
      </c>
      <c r="AH25" s="17" t="s">
        <v>96</v>
      </c>
      <c r="AI25" s="17" t="s">
        <v>45</v>
      </c>
      <c r="AJ25" s="17" t="s">
        <v>23</v>
      </c>
      <c r="AK25" s="17" t="s">
        <v>45</v>
      </c>
      <c r="AL25" s="78" t="s">
        <v>682</v>
      </c>
      <c r="AM25" s="79"/>
      <c r="AN25" s="79"/>
      <c r="AO25" s="79"/>
      <c r="AP25" s="80"/>
    </row>
    <row r="26" spans="1:43" s="14" customFormat="1" ht="15" customHeight="1" x14ac:dyDescent="0.4">
      <c r="A26" s="11">
        <v>1</v>
      </c>
      <c r="B26" s="11">
        <v>205</v>
      </c>
      <c r="C26" s="11" t="s">
        <v>78</v>
      </c>
      <c r="D26" s="13" t="s">
        <v>147</v>
      </c>
      <c r="E26" s="33" t="s">
        <v>18</v>
      </c>
      <c r="F26" s="11" t="s">
        <v>148</v>
      </c>
      <c r="G26" s="11" t="s">
        <v>43</v>
      </c>
      <c r="H26" s="11" t="s">
        <v>52</v>
      </c>
      <c r="I26" s="11" t="s">
        <v>84</v>
      </c>
      <c r="J26" s="11" t="s">
        <v>85</v>
      </c>
      <c r="K26" s="11" t="s">
        <v>60</v>
      </c>
      <c r="L26" s="11" t="s">
        <v>92</v>
      </c>
      <c r="M26" s="11" t="s">
        <v>45</v>
      </c>
      <c r="N26" s="11" t="s">
        <v>45</v>
      </c>
      <c r="O26" s="11" t="s">
        <v>23</v>
      </c>
      <c r="P26" s="11" t="s">
        <v>84</v>
      </c>
      <c r="Q26" s="11" t="s">
        <v>86</v>
      </c>
      <c r="R26" s="11">
        <v>740</v>
      </c>
      <c r="S26" s="40" t="s">
        <v>39</v>
      </c>
      <c r="T26" s="11">
        <v>900</v>
      </c>
      <c r="U26" s="11" t="s">
        <v>45</v>
      </c>
      <c r="V26" s="11" t="s">
        <v>84</v>
      </c>
      <c r="W26" s="11" t="s">
        <v>86</v>
      </c>
      <c r="X26" s="40" t="s">
        <v>60</v>
      </c>
      <c r="Y26" s="40" t="s">
        <v>87</v>
      </c>
      <c r="Z26" s="40" t="s">
        <v>567</v>
      </c>
      <c r="AA26" s="40" t="s">
        <v>39</v>
      </c>
      <c r="AB26" s="40" t="s">
        <v>88</v>
      </c>
      <c r="AC26" s="11" t="s">
        <v>45</v>
      </c>
      <c r="AD26" s="11" t="s">
        <v>23</v>
      </c>
      <c r="AE26" s="11" t="s">
        <v>50</v>
      </c>
      <c r="AF26" s="11" t="s">
        <v>50</v>
      </c>
      <c r="AG26" s="13" t="s">
        <v>60</v>
      </c>
      <c r="AH26" s="13" t="s">
        <v>96</v>
      </c>
      <c r="AI26" s="13" t="s">
        <v>241</v>
      </c>
      <c r="AJ26" s="13" t="s">
        <v>23</v>
      </c>
      <c r="AK26" s="13" t="s">
        <v>23</v>
      </c>
      <c r="AL26" s="94" t="s">
        <v>149</v>
      </c>
      <c r="AM26" s="95"/>
      <c r="AN26" s="95"/>
      <c r="AO26" s="95"/>
      <c r="AP26" s="96"/>
    </row>
    <row r="27" spans="1:43" s="10" customFormat="1" ht="34.5" customHeight="1" x14ac:dyDescent="0.4">
      <c r="A27" s="6">
        <v>1</v>
      </c>
      <c r="B27" s="6">
        <v>305</v>
      </c>
      <c r="C27" s="6" t="s">
        <v>78</v>
      </c>
      <c r="D27" s="18" t="s">
        <v>1826</v>
      </c>
      <c r="E27" s="34" t="s">
        <v>18</v>
      </c>
      <c r="F27" s="6" t="s">
        <v>1827</v>
      </c>
      <c r="G27" s="6" t="s">
        <v>43</v>
      </c>
      <c r="H27" s="6" t="s">
        <v>52</v>
      </c>
      <c r="I27" s="6" t="s">
        <v>84</v>
      </c>
      <c r="J27" s="6" t="s">
        <v>85</v>
      </c>
      <c r="K27" s="6" t="s">
        <v>60</v>
      </c>
      <c r="L27" s="6" t="s">
        <v>92</v>
      </c>
      <c r="M27" s="6" t="s">
        <v>45</v>
      </c>
      <c r="N27" s="6" t="s">
        <v>45</v>
      </c>
      <c r="O27" s="6" t="s">
        <v>23</v>
      </c>
      <c r="P27" s="6" t="s">
        <v>84</v>
      </c>
      <c r="Q27" s="6" t="s">
        <v>86</v>
      </c>
      <c r="R27" s="6">
        <v>750</v>
      </c>
      <c r="S27" s="6" t="s">
        <v>39</v>
      </c>
      <c r="T27" s="6">
        <v>900</v>
      </c>
      <c r="U27" s="6" t="s">
        <v>45</v>
      </c>
      <c r="V27" s="6" t="s">
        <v>84</v>
      </c>
      <c r="W27" s="6" t="s">
        <v>86</v>
      </c>
      <c r="X27" s="6" t="s">
        <v>60</v>
      </c>
      <c r="Y27" s="6" t="s">
        <v>87</v>
      </c>
      <c r="Z27" s="6" t="s">
        <v>1828</v>
      </c>
      <c r="AA27" s="6" t="s">
        <v>39</v>
      </c>
      <c r="AB27" s="6" t="s">
        <v>88</v>
      </c>
      <c r="AC27" s="16" t="s">
        <v>45</v>
      </c>
      <c r="AD27" s="16" t="s">
        <v>45</v>
      </c>
      <c r="AE27" s="16" t="s">
        <v>116</v>
      </c>
      <c r="AF27" s="16" t="s">
        <v>50</v>
      </c>
      <c r="AG27" s="17" t="s">
        <v>19</v>
      </c>
      <c r="AH27" s="17" t="s">
        <v>62</v>
      </c>
      <c r="AI27" s="17" t="s">
        <v>45</v>
      </c>
      <c r="AJ27" s="17" t="s">
        <v>23</v>
      </c>
      <c r="AK27" s="17" t="s">
        <v>45</v>
      </c>
      <c r="AL27" s="78" t="s">
        <v>1829</v>
      </c>
      <c r="AM27" s="79"/>
      <c r="AN27" s="79"/>
      <c r="AO27" s="79"/>
      <c r="AP27" s="80"/>
    </row>
    <row r="28" spans="1:43" s="14" customFormat="1" ht="15" customHeight="1" x14ac:dyDescent="0.4">
      <c r="A28" s="11">
        <v>1</v>
      </c>
      <c r="B28" s="11">
        <v>405</v>
      </c>
      <c r="C28" s="11" t="s">
        <v>78</v>
      </c>
      <c r="D28" s="13" t="s">
        <v>165</v>
      </c>
      <c r="E28" s="33" t="s">
        <v>18</v>
      </c>
      <c r="F28" s="11" t="s">
        <v>166</v>
      </c>
      <c r="G28" s="11" t="s">
        <v>43</v>
      </c>
      <c r="H28" s="11" t="s">
        <v>52</v>
      </c>
      <c r="I28" s="11" t="s">
        <v>84</v>
      </c>
      <c r="J28" s="11" t="s">
        <v>85</v>
      </c>
      <c r="K28" s="11" t="s">
        <v>60</v>
      </c>
      <c r="L28" s="11" t="s">
        <v>92</v>
      </c>
      <c r="M28" s="11" t="s">
        <v>45</v>
      </c>
      <c r="N28" s="11" t="s">
        <v>45</v>
      </c>
      <c r="O28" s="11" t="s">
        <v>45</v>
      </c>
      <c r="P28" s="11" t="s">
        <v>84</v>
      </c>
      <c r="Q28" s="11" t="s">
        <v>86</v>
      </c>
      <c r="R28" s="11">
        <v>740</v>
      </c>
      <c r="S28" s="40" t="s">
        <v>39</v>
      </c>
      <c r="T28" s="11">
        <v>740</v>
      </c>
      <c r="U28" s="11" t="s">
        <v>45</v>
      </c>
      <c r="V28" s="11" t="s">
        <v>84</v>
      </c>
      <c r="W28" s="11" t="s">
        <v>86</v>
      </c>
      <c r="X28" s="40" t="s">
        <v>60</v>
      </c>
      <c r="Y28" s="40" t="s">
        <v>87</v>
      </c>
      <c r="Z28" s="40" t="s">
        <v>568</v>
      </c>
      <c r="AA28" s="40" t="s">
        <v>39</v>
      </c>
      <c r="AB28" s="40" t="s">
        <v>88</v>
      </c>
      <c r="AC28" s="11" t="s">
        <v>45</v>
      </c>
      <c r="AD28" s="11" t="s">
        <v>23</v>
      </c>
      <c r="AE28" s="11" t="s">
        <v>116</v>
      </c>
      <c r="AF28" s="11" t="s">
        <v>116</v>
      </c>
      <c r="AG28" s="13" t="s">
        <v>19</v>
      </c>
      <c r="AH28" s="13" t="s">
        <v>62</v>
      </c>
      <c r="AI28" s="13" t="s">
        <v>45</v>
      </c>
      <c r="AJ28" s="13" t="s">
        <v>23</v>
      </c>
      <c r="AK28" s="13" t="s">
        <v>23</v>
      </c>
      <c r="AL28" s="94" t="s">
        <v>167</v>
      </c>
      <c r="AM28" s="95"/>
      <c r="AN28" s="95"/>
      <c r="AO28" s="95"/>
      <c r="AP28" s="96"/>
      <c r="AQ28" s="14" t="s">
        <v>1214</v>
      </c>
    </row>
    <row r="29" spans="1:43" s="10" customFormat="1" ht="15" customHeight="1" x14ac:dyDescent="0.4">
      <c r="A29" s="6">
        <v>1</v>
      </c>
      <c r="B29" s="6">
        <v>505</v>
      </c>
      <c r="C29" s="6" t="s">
        <v>78</v>
      </c>
      <c r="D29" s="18" t="s">
        <v>156</v>
      </c>
      <c r="E29" s="34" t="s">
        <v>18</v>
      </c>
      <c r="F29" s="6" t="s">
        <v>157</v>
      </c>
      <c r="G29" s="6" t="s">
        <v>43</v>
      </c>
      <c r="H29" s="6" t="s">
        <v>52</v>
      </c>
      <c r="I29" s="6" t="s">
        <v>84</v>
      </c>
      <c r="J29" s="6" t="s">
        <v>85</v>
      </c>
      <c r="K29" s="6" t="s">
        <v>60</v>
      </c>
      <c r="L29" s="6" t="s">
        <v>92</v>
      </c>
      <c r="M29" s="6" t="s">
        <v>45</v>
      </c>
      <c r="N29" s="6" t="s">
        <v>45</v>
      </c>
      <c r="O29" s="6" t="s">
        <v>23</v>
      </c>
      <c r="P29" s="6" t="s">
        <v>84</v>
      </c>
      <c r="Q29" s="6" t="s">
        <v>86</v>
      </c>
      <c r="R29" s="6">
        <v>730</v>
      </c>
      <c r="S29" s="6" t="s">
        <v>39</v>
      </c>
      <c r="T29" s="6">
        <v>900</v>
      </c>
      <c r="U29" s="6" t="s">
        <v>45</v>
      </c>
      <c r="V29" s="6" t="s">
        <v>84</v>
      </c>
      <c r="W29" s="6" t="s">
        <v>86</v>
      </c>
      <c r="X29" s="6" t="s">
        <v>60</v>
      </c>
      <c r="Y29" s="6" t="s">
        <v>87</v>
      </c>
      <c r="Z29" s="6" t="s">
        <v>569</v>
      </c>
      <c r="AA29" s="6" t="s">
        <v>39</v>
      </c>
      <c r="AB29" s="6" t="s">
        <v>19</v>
      </c>
      <c r="AC29" s="16" t="s">
        <v>45</v>
      </c>
      <c r="AD29" s="16" t="s">
        <v>45</v>
      </c>
      <c r="AE29" s="16" t="s">
        <v>116</v>
      </c>
      <c r="AF29" s="16" t="s">
        <v>50</v>
      </c>
      <c r="AG29" s="17" t="s">
        <v>60</v>
      </c>
      <c r="AH29" s="17" t="s">
        <v>62</v>
      </c>
      <c r="AI29" s="17" t="s">
        <v>45</v>
      </c>
      <c r="AJ29" s="17" t="s">
        <v>45</v>
      </c>
      <c r="AK29" s="17" t="s">
        <v>23</v>
      </c>
      <c r="AL29" s="78" t="s">
        <v>1401</v>
      </c>
      <c r="AM29" s="79"/>
      <c r="AN29" s="79"/>
      <c r="AO29" s="79"/>
      <c r="AP29" s="80"/>
    </row>
    <row r="30" spans="1:43" s="14" customFormat="1" ht="30.75" customHeight="1" x14ac:dyDescent="0.4">
      <c r="A30" s="11">
        <v>1</v>
      </c>
      <c r="B30" s="11">
        <v>106</v>
      </c>
      <c r="C30" s="11" t="s">
        <v>78</v>
      </c>
      <c r="D30" s="13" t="s">
        <v>168</v>
      </c>
      <c r="E30" s="33" t="s">
        <v>18</v>
      </c>
      <c r="F30" s="11" t="s">
        <v>169</v>
      </c>
      <c r="G30" s="11" t="s">
        <v>22</v>
      </c>
      <c r="H30" s="11" t="s">
        <v>52</v>
      </c>
      <c r="I30" s="11" t="s">
        <v>84</v>
      </c>
      <c r="J30" s="11" t="s">
        <v>85</v>
      </c>
      <c r="K30" s="11" t="s">
        <v>60</v>
      </c>
      <c r="L30" s="11" t="s">
        <v>92</v>
      </c>
      <c r="M30" s="11" t="s">
        <v>45</v>
      </c>
      <c r="N30" s="11" t="s">
        <v>23</v>
      </c>
      <c r="O30" s="11" t="s">
        <v>45</v>
      </c>
      <c r="P30" s="11" t="s">
        <v>84</v>
      </c>
      <c r="Q30" s="11" t="s">
        <v>86</v>
      </c>
      <c r="R30" s="11">
        <v>740</v>
      </c>
      <c r="S30" s="40" t="s">
        <v>39</v>
      </c>
      <c r="T30" s="11">
        <v>900</v>
      </c>
      <c r="U30" s="11" t="s">
        <v>45</v>
      </c>
      <c r="V30" s="11" t="s">
        <v>84</v>
      </c>
      <c r="W30" s="11" t="s">
        <v>86</v>
      </c>
      <c r="X30" s="40" t="s">
        <v>60</v>
      </c>
      <c r="Y30" s="40" t="s">
        <v>104</v>
      </c>
      <c r="Z30" s="53" t="s">
        <v>593</v>
      </c>
      <c r="AA30" s="40" t="s">
        <v>39</v>
      </c>
      <c r="AB30" s="40" t="s">
        <v>88</v>
      </c>
      <c r="AC30" s="11" t="s">
        <v>45</v>
      </c>
      <c r="AD30" s="11" t="s">
        <v>45</v>
      </c>
      <c r="AE30" s="11" t="s">
        <v>50</v>
      </c>
      <c r="AF30" s="11" t="s">
        <v>50</v>
      </c>
      <c r="AG30" s="13" t="s">
        <v>60</v>
      </c>
      <c r="AH30" s="13" t="s">
        <v>96</v>
      </c>
      <c r="AI30" s="13" t="s">
        <v>45</v>
      </c>
      <c r="AJ30" s="13" t="s">
        <v>45</v>
      </c>
      <c r="AK30" s="13" t="s">
        <v>45</v>
      </c>
      <c r="AL30" s="94" t="s">
        <v>170</v>
      </c>
      <c r="AM30" s="95"/>
      <c r="AN30" s="95"/>
      <c r="AO30" s="95"/>
      <c r="AP30" s="96"/>
    </row>
    <row r="31" spans="1:43" s="10" customFormat="1" ht="15" customHeight="1" x14ac:dyDescent="0.4">
      <c r="A31" s="6">
        <v>1</v>
      </c>
      <c r="B31" s="6">
        <v>206</v>
      </c>
      <c r="C31" s="6" t="s">
        <v>78</v>
      </c>
      <c r="D31" s="18" t="s">
        <v>171</v>
      </c>
      <c r="E31" s="34" t="s">
        <v>18</v>
      </c>
      <c r="F31" s="6" t="s">
        <v>172</v>
      </c>
      <c r="G31" s="6" t="s">
        <v>43</v>
      </c>
      <c r="H31" s="6" t="s">
        <v>52</v>
      </c>
      <c r="I31" s="6" t="s">
        <v>84</v>
      </c>
      <c r="J31" s="6" t="s">
        <v>46</v>
      </c>
      <c r="K31" s="6" t="s">
        <v>60</v>
      </c>
      <c r="L31" s="6" t="s">
        <v>92</v>
      </c>
      <c r="M31" s="6" t="s">
        <v>45</v>
      </c>
      <c r="N31" s="6" t="s">
        <v>45</v>
      </c>
      <c r="O31" s="6" t="s">
        <v>45</v>
      </c>
      <c r="P31" s="6" t="s">
        <v>84</v>
      </c>
      <c r="Q31" s="6" t="s">
        <v>86</v>
      </c>
      <c r="R31" s="6">
        <v>740</v>
      </c>
      <c r="S31" s="6" t="s">
        <v>39</v>
      </c>
      <c r="T31" s="6">
        <v>900</v>
      </c>
      <c r="U31" s="6" t="s">
        <v>45</v>
      </c>
      <c r="V31" s="6" t="s">
        <v>84</v>
      </c>
      <c r="W31" s="6" t="s">
        <v>86</v>
      </c>
      <c r="X31" s="6" t="s">
        <v>60</v>
      </c>
      <c r="Y31" s="6" t="s">
        <v>173</v>
      </c>
      <c r="Z31" s="6" t="s">
        <v>174</v>
      </c>
      <c r="AA31" s="6" t="s">
        <v>39</v>
      </c>
      <c r="AB31" s="6" t="s">
        <v>88</v>
      </c>
      <c r="AC31" s="16" t="s">
        <v>45</v>
      </c>
      <c r="AD31" s="16" t="s">
        <v>23</v>
      </c>
      <c r="AE31" s="16" t="s">
        <v>50</v>
      </c>
      <c r="AF31" s="16" t="s">
        <v>50</v>
      </c>
      <c r="AG31" s="17" t="s">
        <v>60</v>
      </c>
      <c r="AH31" s="17" t="s">
        <v>96</v>
      </c>
      <c r="AI31" s="17" t="s">
        <v>45</v>
      </c>
      <c r="AJ31" s="17" t="s">
        <v>45</v>
      </c>
      <c r="AK31" s="17" t="s">
        <v>45</v>
      </c>
      <c r="AL31" s="78" t="s">
        <v>175</v>
      </c>
      <c r="AM31" s="79"/>
      <c r="AN31" s="79"/>
      <c r="AO31" s="79"/>
      <c r="AP31" s="80"/>
    </row>
    <row r="32" spans="1:43" s="14" customFormat="1" ht="15" customHeight="1" x14ac:dyDescent="0.4">
      <c r="A32" s="11">
        <v>1</v>
      </c>
      <c r="B32" s="11">
        <v>306</v>
      </c>
      <c r="C32" s="11" t="s">
        <v>78</v>
      </c>
      <c r="D32" s="13" t="s">
        <v>197</v>
      </c>
      <c r="E32" s="33" t="s">
        <v>18</v>
      </c>
      <c r="F32" s="11" t="s">
        <v>198</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630</v>
      </c>
      <c r="U32" s="11" t="s">
        <v>45</v>
      </c>
      <c r="V32" s="11" t="s">
        <v>84</v>
      </c>
      <c r="W32" s="11" t="s">
        <v>86</v>
      </c>
      <c r="X32" s="40" t="s">
        <v>60</v>
      </c>
      <c r="Y32" s="40" t="s">
        <v>199</v>
      </c>
      <c r="Z32" s="40"/>
      <c r="AA32" s="40" t="s">
        <v>39</v>
      </c>
      <c r="AB32" s="40" t="s">
        <v>88</v>
      </c>
      <c r="AC32" s="11" t="s">
        <v>45</v>
      </c>
      <c r="AD32" s="11" t="s">
        <v>45</v>
      </c>
      <c r="AE32" s="11" t="s">
        <v>50</v>
      </c>
      <c r="AF32" s="11" t="s">
        <v>50</v>
      </c>
      <c r="AG32" s="13" t="s">
        <v>60</v>
      </c>
      <c r="AH32" s="13" t="s">
        <v>96</v>
      </c>
      <c r="AI32" s="13" t="s">
        <v>45</v>
      </c>
      <c r="AJ32" s="13" t="s">
        <v>23</v>
      </c>
      <c r="AK32" s="13" t="s">
        <v>45</v>
      </c>
      <c r="AL32" s="94" t="s">
        <v>200</v>
      </c>
      <c r="AM32" s="95"/>
      <c r="AN32" s="95"/>
      <c r="AO32" s="95"/>
      <c r="AP32" s="96"/>
    </row>
    <row r="33" spans="1:43" s="10" customFormat="1" ht="31.5" customHeight="1" x14ac:dyDescent="0.4">
      <c r="A33" s="6">
        <v>1</v>
      </c>
      <c r="B33" s="6">
        <v>406</v>
      </c>
      <c r="C33" s="6" t="s">
        <v>78</v>
      </c>
      <c r="D33" s="18" t="s">
        <v>150</v>
      </c>
      <c r="E33" s="34" t="s">
        <v>18</v>
      </c>
      <c r="F33" s="46" t="s">
        <v>151</v>
      </c>
      <c r="G33" s="6" t="s">
        <v>43</v>
      </c>
      <c r="H33" s="6" t="s">
        <v>52</v>
      </c>
      <c r="I33" s="6" t="s">
        <v>84</v>
      </c>
      <c r="J33" s="6" t="s">
        <v>85</v>
      </c>
      <c r="K33" s="6" t="s">
        <v>60</v>
      </c>
      <c r="L33" s="6" t="s">
        <v>92</v>
      </c>
      <c r="M33" s="6" t="s">
        <v>45</v>
      </c>
      <c r="N33" s="6" t="s">
        <v>45</v>
      </c>
      <c r="O33" s="6" t="s">
        <v>45</v>
      </c>
      <c r="P33" s="6" t="s">
        <v>84</v>
      </c>
      <c r="Q33" s="6" t="s">
        <v>86</v>
      </c>
      <c r="R33" s="6">
        <v>750</v>
      </c>
      <c r="S33" s="6" t="s">
        <v>39</v>
      </c>
      <c r="T33" s="6">
        <v>900</v>
      </c>
      <c r="U33" s="6" t="s">
        <v>45</v>
      </c>
      <c r="V33" s="6" t="s">
        <v>84</v>
      </c>
      <c r="W33" s="6" t="s">
        <v>86</v>
      </c>
      <c r="X33" s="6" t="s">
        <v>60</v>
      </c>
      <c r="Y33" s="6" t="s">
        <v>87</v>
      </c>
      <c r="Z33" s="6" t="s">
        <v>594</v>
      </c>
      <c r="AA33" s="6" t="s">
        <v>39</v>
      </c>
      <c r="AB33" s="6" t="s">
        <v>88</v>
      </c>
      <c r="AC33" s="16" t="s">
        <v>45</v>
      </c>
      <c r="AD33" s="16" t="s">
        <v>23</v>
      </c>
      <c r="AE33" s="16" t="s">
        <v>50</v>
      </c>
      <c r="AF33" s="16" t="s">
        <v>50</v>
      </c>
      <c r="AG33" s="17" t="s">
        <v>60</v>
      </c>
      <c r="AH33" s="17" t="s">
        <v>62</v>
      </c>
      <c r="AI33" s="17" t="s">
        <v>45</v>
      </c>
      <c r="AJ33" s="17" t="s">
        <v>45</v>
      </c>
      <c r="AK33" s="17" t="s">
        <v>23</v>
      </c>
      <c r="AL33" s="78" t="s">
        <v>152</v>
      </c>
      <c r="AM33" s="79"/>
      <c r="AN33" s="79"/>
      <c r="AO33" s="79"/>
      <c r="AP33" s="80"/>
    </row>
    <row r="34" spans="1:43" s="14" customFormat="1" ht="15" customHeight="1" x14ac:dyDescent="0.4">
      <c r="A34" s="11">
        <v>1</v>
      </c>
      <c r="B34" s="11">
        <v>506</v>
      </c>
      <c r="C34" s="11" t="s">
        <v>78</v>
      </c>
      <c r="D34" s="13" t="s">
        <v>153</v>
      </c>
      <c r="E34" s="33" t="s">
        <v>18</v>
      </c>
      <c r="F34" s="11" t="s">
        <v>154</v>
      </c>
      <c r="G34" s="11" t="s">
        <v>43</v>
      </c>
      <c r="H34" s="11" t="s">
        <v>52</v>
      </c>
      <c r="I34" s="11" t="s">
        <v>84</v>
      </c>
      <c r="J34" s="11" t="s">
        <v>85</v>
      </c>
      <c r="K34" s="11" t="s">
        <v>60</v>
      </c>
      <c r="L34" s="11" t="s">
        <v>92</v>
      </c>
      <c r="M34" s="11" t="s">
        <v>45</v>
      </c>
      <c r="N34" s="11" t="s">
        <v>45</v>
      </c>
      <c r="O34" s="11" t="s">
        <v>23</v>
      </c>
      <c r="P34" s="11" t="s">
        <v>84</v>
      </c>
      <c r="Q34" s="11" t="s">
        <v>86</v>
      </c>
      <c r="R34" s="11">
        <v>745</v>
      </c>
      <c r="S34" s="40" t="s">
        <v>39</v>
      </c>
      <c r="T34" s="40">
        <v>900</v>
      </c>
      <c r="U34" s="11" t="s">
        <v>45</v>
      </c>
      <c r="V34" s="11" t="s">
        <v>84</v>
      </c>
      <c r="W34" s="11" t="s">
        <v>86</v>
      </c>
      <c r="X34" s="40" t="s">
        <v>60</v>
      </c>
      <c r="Y34" s="40" t="s">
        <v>87</v>
      </c>
      <c r="Z34" s="40" t="s">
        <v>595</v>
      </c>
      <c r="AA34" s="40" t="s">
        <v>39</v>
      </c>
      <c r="AB34" s="40" t="s">
        <v>19</v>
      </c>
      <c r="AC34" s="11" t="s">
        <v>45</v>
      </c>
      <c r="AD34" s="11" t="s">
        <v>45</v>
      </c>
      <c r="AE34" s="11" t="s">
        <v>50</v>
      </c>
      <c r="AF34" s="11" t="s">
        <v>50</v>
      </c>
      <c r="AG34" s="13" t="s">
        <v>60</v>
      </c>
      <c r="AH34" s="13" t="s">
        <v>62</v>
      </c>
      <c r="AI34" s="13" t="s">
        <v>45</v>
      </c>
      <c r="AJ34" s="13" t="s">
        <v>45</v>
      </c>
      <c r="AK34" s="13" t="s">
        <v>45</v>
      </c>
      <c r="AL34" s="94" t="s">
        <v>155</v>
      </c>
      <c r="AM34" s="95"/>
      <c r="AN34" s="95"/>
      <c r="AO34" s="95"/>
      <c r="AP34" s="96"/>
    </row>
    <row r="35" spans="1:43" s="2" customFormat="1" ht="11.25" customHeight="1" x14ac:dyDescent="0.4">
      <c r="A35" s="118" t="s">
        <v>81</v>
      </c>
      <c r="B35" s="119"/>
      <c r="C35" s="119"/>
      <c r="D35" s="119"/>
      <c r="E35" s="120"/>
      <c r="F35" s="127">
        <f>COUNTA(D5:D34)</f>
        <v>30</v>
      </c>
      <c r="G35" s="20" t="str">
        <f>"所有→"&amp;COUNTIF(G5:G34,"所有")&amp;"戸"</f>
        <v>所有→29戸</v>
      </c>
      <c r="H35" s="20" t="str">
        <f>"未更新→"&amp;COUNTIF(H5:H34,"未更新")&amp;"戸"</f>
        <v>未更新→30戸</v>
      </c>
      <c r="I35" s="20" t="str">
        <f>"クロス→"&amp;COUNTIF(I5:I34,"クロス")&amp;"戸"</f>
        <v>クロス→29戸</v>
      </c>
      <c r="J35" s="20" t="str">
        <f>"ベニヤ→"&amp;COUNTIF(J5:J34,"ベニヤ")&amp;"戸"</f>
        <v>ベニヤ→27戸</v>
      </c>
      <c r="K35" s="20" t="str">
        <f>"既存→"&amp;COUNTIF(K5:K34,"既存")&amp;"戸"</f>
        <v>既存→3戸</v>
      </c>
      <c r="L35" s="20" t="str">
        <f>"普通便座→"&amp;COUNTIF(L5:L34,"普通便座")&amp;"戸"</f>
        <v>普通便座→1戸</v>
      </c>
      <c r="M35" s="20" t="str">
        <f>"有→"&amp;COUNTIF(M5:M34,"有")&amp;"戸"</f>
        <v>有→0戸</v>
      </c>
      <c r="N35" s="20" t="str">
        <f>"有→"&amp;COUNTIF(N5:N34,"有")&amp;"戸"</f>
        <v>有→3戸</v>
      </c>
      <c r="O35" s="20" t="str">
        <f>"有→"&amp;COUNTIF(O5:O34,"有")&amp;"戸"</f>
        <v>有→20戸</v>
      </c>
      <c r="P35" s="20" t="str">
        <f>"クロス→"&amp;COUNTIF(P5:P34,"クロス")&amp;"戸"</f>
        <v>クロス→30戸</v>
      </c>
      <c r="Q35" s="20" t="str">
        <f>"CF→"&amp;COUNTIF(Q5:Q34,"CF")&amp;"戸"</f>
        <v>CF→30戸</v>
      </c>
      <c r="R35" s="54" t="str">
        <f>"750→"&amp;COUNTIF(R5:R34,"750")&amp;"戸"</f>
        <v>750→14戸</v>
      </c>
      <c r="S35" s="20" t="str">
        <f>"可→"&amp;COUNTIF(S5:S34,"可")&amp;"戸"</f>
        <v>可→30戸</v>
      </c>
      <c r="T35" s="20" t="str">
        <f>"900→"&amp;COUNTIF(T5:T34,"900")&amp;"戸"</f>
        <v>900→25戸</v>
      </c>
      <c r="U35" s="20" t="str">
        <f>"有→"&amp;COUNTIF(U5:U34,"有")&amp;"戸"</f>
        <v>有→0戸</v>
      </c>
      <c r="V35" s="20" t="str">
        <f>"クロス→"&amp;COUNTIF(V5:V34,"クロス")&amp;"戸"</f>
        <v>クロス→30戸</v>
      </c>
      <c r="W35" s="20" t="str">
        <f>"CF→"&amp;COUNTIF(W5:W34,"CF")&amp;"戸"</f>
        <v>CF→30戸</v>
      </c>
      <c r="X35" s="20" t="str">
        <f>"既存→"&amp;COUNTIF(X5:X34,"既存")&amp;"戸"</f>
        <v>既存→4戸</v>
      </c>
      <c r="Y35" s="20" t="str">
        <f>"TOTO→"&amp;COUNTIF(Y5:Y34,"TOTO")&amp;"戸"</f>
        <v>TOTO→16戸</v>
      </c>
      <c r="Z35" s="130">
        <f>COUNTA(Z5:Z34)</f>
        <v>23</v>
      </c>
      <c r="AA35" s="20" t="str">
        <f>"可→"&amp;COUNTIF(AA5:AA34,"可")&amp;"戸"</f>
        <v>可→30戸</v>
      </c>
      <c r="AB35" s="20" t="str">
        <f>"既存→"&amp;COUNTIF(AB5:AB34,"既存")&amp;"戸"</f>
        <v>既存→9戸</v>
      </c>
      <c r="AC35" s="130">
        <f>COUNTIF(AC5:AC34,"有")</f>
        <v>1</v>
      </c>
      <c r="AD35" s="130">
        <f>COUNTIF(AD5:AD34,"有")</f>
        <v>16</v>
      </c>
      <c r="AE35" s="20" t="str">
        <f>"ポリ板→"&amp;COUNTIF(AE5:AE34,"ポリ板")&amp;"戸"</f>
        <v>ポリ板→23戸</v>
      </c>
      <c r="AF35" s="20" t="str">
        <f>"ポリ板→"&amp;COUNTIF(AF5:AF34,"ポリ板")&amp;"戸"</f>
        <v>ポリ板→28戸</v>
      </c>
      <c r="AG35" s="20" t="str">
        <f>"既存→"&amp;COUNTIF(AG5:AG34,"既存")&amp;"戸"</f>
        <v>既存→4戸</v>
      </c>
      <c r="AH35" s="20" t="str">
        <f>"洗面所→"&amp;COUNTIF(AH5:AH34,"洗面所")&amp;"戸"</f>
        <v>洗面所→22戸</v>
      </c>
      <c r="AI35" s="130">
        <f>COUNTIF(AI5:AI34,"有")</f>
        <v>5</v>
      </c>
      <c r="AJ35" s="130">
        <f>COUNTIF(AJ5:AJ34,"有")</f>
        <v>12</v>
      </c>
      <c r="AK35" s="130">
        <f>COUNTIF(AK5:AK34,"有")</f>
        <v>12</v>
      </c>
      <c r="AL35" s="109"/>
      <c r="AM35" s="110"/>
      <c r="AN35" s="110"/>
      <c r="AO35" s="110"/>
      <c r="AP35" s="111"/>
      <c r="AQ35" s="41"/>
    </row>
    <row r="36" spans="1:43" s="2" customFormat="1" ht="11.25" customHeight="1" x14ac:dyDescent="0.4">
      <c r="A36" s="121"/>
      <c r="B36" s="122"/>
      <c r="C36" s="122"/>
      <c r="D36" s="122"/>
      <c r="E36" s="123"/>
      <c r="F36" s="128"/>
      <c r="G36" s="35" t="str">
        <f>"賃貸→"&amp;COUNTIF(G5:G34,"賃貸")&amp;"戸"</f>
        <v>賃貸→1戸</v>
      </c>
      <c r="H36" s="35" t="str">
        <f>"更新済み→"&amp;COUNTIF(H5:H34,"更新済み")&amp;"戸"</f>
        <v>更新済み→0戸</v>
      </c>
      <c r="I36" s="35" t="str">
        <f>"珪藻土→"&amp;COUNTIF(I5:I34,"珪藻土")&amp;"戸"</f>
        <v>珪藻土→0戸</v>
      </c>
      <c r="J36" s="35" t="str">
        <f>"クロス→"&amp;COUNTIF(J5:J34,"クロス")&amp;"戸"</f>
        <v>クロス→1戸</v>
      </c>
      <c r="K36" s="35" t="str">
        <f>"リフォーム済み→"&amp;COUNTIF(K5:K34,"リフォーム済み")&amp;"戸"</f>
        <v>リフォーム済み→27戸</v>
      </c>
      <c r="L36" s="35" t="str">
        <f>"暖房便座→"&amp;COUNTIF(L5:L34,"暖房便座")&amp;"戸"</f>
        <v>暖房便座→0戸</v>
      </c>
      <c r="M36" s="35" t="str">
        <f>"無→"&amp;COUNTIF(M5:M34,"無")&amp;"戸"</f>
        <v>無→30戸</v>
      </c>
      <c r="N36" s="35" t="str">
        <f>"無→"&amp;COUNTIF(N5:N34,"無")&amp;"戸"</f>
        <v>無→27戸</v>
      </c>
      <c r="O36" s="35" t="str">
        <f>"無→"&amp;COUNTIF(O5:O34,"無")&amp;"戸"</f>
        <v>無→10戸</v>
      </c>
      <c r="P36" s="35" t="str">
        <f>"珪藻土→"&amp;COUNTIF(P5:P34,"珪藻土")&amp;"戸"</f>
        <v>珪藻土→0戸</v>
      </c>
      <c r="Q36" s="35" t="str">
        <f>"塩ビタイル→"&amp;COUNTIF(Q5:Q34,"塩ビタイル")&amp;"戸"</f>
        <v>塩ビタイル→0戸</v>
      </c>
      <c r="R36" s="35" t="str">
        <f>"740→"&amp;COUNTIF(R5:R34,"740")&amp;"戸"</f>
        <v>740→5戸</v>
      </c>
      <c r="S36" s="35" t="str">
        <f>"不可→"&amp;COUNTIF(S5:S34,"不可")&amp;"戸"</f>
        <v>不可→0戸</v>
      </c>
      <c r="T36" s="35" t="str">
        <f>"800→"&amp;COUNTIF(T5:T34,"800")&amp;"戸"</f>
        <v>800→0戸</v>
      </c>
      <c r="U36" s="35" t="str">
        <f>"無→"&amp;COUNTIF(U5:U34,"無")&amp;"戸"</f>
        <v>無→30戸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リフォーム済み→26戸</v>
      </c>
      <c r="Y36" s="35" t="str">
        <f>"LIXIL→"&amp;COUNTIF(Y5:Y34,"LIXIL")&amp;"戸"</f>
        <v>LIXIL→0戸</v>
      </c>
      <c r="Z36" s="131"/>
      <c r="AA36" s="35" t="str">
        <f>"不可→"&amp;COUNTIF(AA5:AA34,"不可")&amp;"戸"</f>
        <v>不可→0戸</v>
      </c>
      <c r="AB36" s="36" t="str">
        <f>"システム→"&amp;COUNTIF(AB5:AB34,"システム")&amp;"戸"</f>
        <v>システム→21戸</v>
      </c>
      <c r="AC36" s="131"/>
      <c r="AD36" s="131"/>
      <c r="AE36" s="35" t="str">
        <f>"SUS→"&amp;COUNTIF(AE5:AE34,"SUS")&amp;"戸"</f>
        <v>SUS→7戸</v>
      </c>
      <c r="AF36" s="35" t="str">
        <f>"SUS→"&amp;COUNTIF(AF5:AF34,"SUS")&amp;"戸"</f>
        <v>SUS→2戸</v>
      </c>
      <c r="AG36" s="35" t="str">
        <f>"リフォーム済み→"&amp;COUNTIF(AG5:AG34,"リフォーム済み")&amp;"戸"</f>
        <v>リフォーム済み→26戸</v>
      </c>
      <c r="AH36" s="35" t="str">
        <f>"ベランダ→"&amp;COUNTIF(AH5:AH34,"ベランダ")&amp;"戸"</f>
        <v>ベランダ→8戸</v>
      </c>
      <c r="AI36" s="131"/>
      <c r="AJ36" s="131"/>
      <c r="AK36" s="131"/>
      <c r="AL36" s="112"/>
      <c r="AM36" s="113"/>
      <c r="AN36" s="113"/>
      <c r="AO36" s="113"/>
      <c r="AP36" s="114"/>
      <c r="AQ36" s="41"/>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塗装→1戸</v>
      </c>
      <c r="J37" s="35" t="str">
        <f>"その他→"&amp;COUNTIF(J5:J34,"その他")&amp;"戸"</f>
        <v>その他→2戸</v>
      </c>
      <c r="K37" s="35"/>
      <c r="L37" s="35" t="str">
        <f>"WL→"&amp;COUNTIF(L5:L34,"WL")&amp;"戸"</f>
        <v>WL→29戸</v>
      </c>
      <c r="M37" s="23"/>
      <c r="N37" s="23"/>
      <c r="O37" s="23"/>
      <c r="P37" s="35" t="str">
        <f>"塗装→"&amp;COUNTIF(P5:P34,"塗装")&amp;"戸"</f>
        <v>塗装→0戸</v>
      </c>
      <c r="Q37" s="35" t="str">
        <f>"フローリング→"&amp;COUNTIF(Q5:Q34,"フローリング")&amp;"戸"</f>
        <v>フローリング→0戸</v>
      </c>
      <c r="R37" s="35"/>
      <c r="S37" s="35"/>
      <c r="T37" s="35" t="str">
        <f>"740→"&amp;COUNTIF(T5:T34,"740")&amp;"戸"</f>
        <v>740→2戸</v>
      </c>
      <c r="U37" s="42"/>
      <c r="V37" s="35" t="str">
        <f>"塗装→"&amp;COUNTIF(V5:V34,"塗装")&amp;"戸"</f>
        <v>塗装→0戸</v>
      </c>
      <c r="W37" s="35" t="str">
        <f>"フローリング→"&amp;COUNTIF(W5:W34,"フローリング")&amp;"戸"</f>
        <v>フローリング→0戸</v>
      </c>
      <c r="X37" s="35"/>
      <c r="Y37" s="35" t="str">
        <f>"Panasonic→"&amp;COUNTIF(Y6:Y35,"Panasonic")&amp;"戸"</f>
        <v>Panasonic→1戸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1"/>
    </row>
    <row r="38" spans="1:43" s="2" customFormat="1" ht="11.25" customHeight="1" x14ac:dyDescent="0.4">
      <c r="A38" s="124"/>
      <c r="B38" s="125"/>
      <c r="C38" s="125"/>
      <c r="D38" s="125"/>
      <c r="E38" s="126"/>
      <c r="F38" s="129"/>
      <c r="G38" s="35" t="str">
        <f>"空家→"&amp;COUNTIF(G5:G34,"空家")&amp;"戸"</f>
        <v>空家→0戸</v>
      </c>
      <c r="H38" s="39"/>
      <c r="I38" s="28"/>
      <c r="J38" s="27"/>
      <c r="K38" s="35"/>
      <c r="L38" s="28"/>
      <c r="M38" s="28"/>
      <c r="N38" s="28"/>
      <c r="O38" s="28"/>
      <c r="P38" s="28"/>
      <c r="Q38" s="28"/>
      <c r="R38" s="35"/>
      <c r="S38" s="27"/>
      <c r="T38" s="35" t="str">
        <f>"640→"&amp;COUNTIF(T5:T34,"640")&amp;"戸"</f>
        <v>640→1戸</v>
      </c>
      <c r="U38" s="43"/>
      <c r="V38" s="27"/>
      <c r="W38" s="27"/>
      <c r="X38" s="27"/>
      <c r="Y38" s="35" t="str">
        <f>"INAX→"&amp;COUNTIF(Y7:Y36,"INAX")&amp;"戸"</f>
        <v>INAX→2戸</v>
      </c>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1"/>
    </row>
    <row r="39" spans="1:43" s="2" customFormat="1" x14ac:dyDescent="0.4">
      <c r="A39" s="31"/>
      <c r="AI39" s="37"/>
      <c r="AJ39" s="37"/>
      <c r="AQ39" s="1"/>
    </row>
  </sheetData>
  <autoFilter ref="AG3:AK38" xr:uid="{345FAC99-E4AD-4914-AE9F-C26D0270B1F4}">
    <filterColumn colId="0" showButton="0"/>
  </autoFilter>
  <mergeCells count="57">
    <mergeCell ref="Z35:Z38"/>
    <mergeCell ref="AC35:AC38"/>
    <mergeCell ref="AI35:AI38"/>
    <mergeCell ref="AJ35:AJ38"/>
    <mergeCell ref="AK35:AK38"/>
    <mergeCell ref="AD35:AD38"/>
    <mergeCell ref="AL35:AP38"/>
    <mergeCell ref="AG3:AH3"/>
    <mergeCell ref="X3:AA3"/>
    <mergeCell ref="A35:E38"/>
    <mergeCell ref="F35:F38"/>
    <mergeCell ref="AL31:AP31"/>
    <mergeCell ref="AL32:AP32"/>
    <mergeCell ref="AL33:AP33"/>
    <mergeCell ref="AL34:AP34"/>
    <mergeCell ref="AL24:AP24"/>
    <mergeCell ref="AL26:AP26"/>
    <mergeCell ref="AL27:AP27"/>
    <mergeCell ref="AL28:AP28"/>
    <mergeCell ref="AL29:AP29"/>
    <mergeCell ref="AL30:AP30"/>
    <mergeCell ref="AL23:AP23"/>
    <mergeCell ref="AL18:AP18"/>
    <mergeCell ref="AL19:AP19"/>
    <mergeCell ref="AL20:AP20"/>
    <mergeCell ref="AL21:AP21"/>
    <mergeCell ref="AL12:AP12"/>
    <mergeCell ref="AL13:AP13"/>
    <mergeCell ref="AL14:AP14"/>
    <mergeCell ref="AL15:AP15"/>
    <mergeCell ref="AL16:AP16"/>
    <mergeCell ref="AL7:AP7"/>
    <mergeCell ref="AL8:AP8"/>
    <mergeCell ref="AL9:AP9"/>
    <mergeCell ref="AL10:AP10"/>
    <mergeCell ref="AL17:AP17"/>
    <mergeCell ref="AJ3:AJ4"/>
    <mergeCell ref="AK3:AK4"/>
    <mergeCell ref="AL3:AP4"/>
    <mergeCell ref="AL5:AP5"/>
    <mergeCell ref="AL6:AP6"/>
    <mergeCell ref="AL25:AP25"/>
    <mergeCell ref="A1:AP2"/>
    <mergeCell ref="A3:A4"/>
    <mergeCell ref="B3:B4"/>
    <mergeCell ref="C3:C4"/>
    <mergeCell ref="D3:E4"/>
    <mergeCell ref="F3:F4"/>
    <mergeCell ref="G3:G4"/>
    <mergeCell ref="I3:J3"/>
    <mergeCell ref="K3:Q3"/>
    <mergeCell ref="R3:W3"/>
    <mergeCell ref="H3:H4"/>
    <mergeCell ref="AL22:AP22"/>
    <mergeCell ref="AL11:AP11"/>
    <mergeCell ref="AB3:AF3"/>
    <mergeCell ref="AI3:AI4"/>
  </mergeCells>
  <phoneticPr fontId="1"/>
  <dataValidations count="1">
    <dataValidation imeMode="off" allowBlank="1" showInputMessage="1" showErrorMessage="1" sqref="C1:C3 A39:C1048576 A1:A35 B1:B34 C5:C34" xr:uid="{40CFF8ED-5E05-4FB4-BB18-E77CCBB56BC4}"/>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56" man="1"/>
  </colBreaks>
  <extLst>
    <ext xmlns:x14="http://schemas.microsoft.com/office/spreadsheetml/2009/9/main" uri="{CCE6A557-97BC-4b89-ADB6-D9C93CAAB3DF}">
      <x14:dataValidations xmlns:xm="http://schemas.microsoft.com/office/excel/2006/main" count="17">
        <x14:dataValidation type="list" allowBlank="1" showInputMessage="1" showErrorMessage="1" xr:uid="{DA4AC22C-105C-4894-ACBA-575E62E2E931}">
          <x14:formula1>
            <xm:f>Sheet1!$C$9:$C$11</xm:f>
          </x14:formula1>
          <xm:sqref>Q5:Q34 W5:W34</xm:sqref>
        </x14:dataValidation>
        <x14:dataValidation type="list" allowBlank="1" showInputMessage="1" showErrorMessage="1" xr:uid="{7FE7E169-B5A9-4206-9C12-917E8F2C63D6}">
          <x14:formula1>
            <xm:f>Sheet1!$A$1:$A$4</xm:f>
          </x14:formula1>
          <xm:sqref>G5:G34</xm:sqref>
        </x14:dataValidation>
        <x14:dataValidation type="list" allowBlank="1" showInputMessage="1" showErrorMessage="1" xr:uid="{44AFA0BB-6C95-47B0-A07A-F03E28D005F7}">
          <x14:formula1>
            <xm:f>Sheet1!$A$6:$A$7</xm:f>
          </x14:formula1>
          <xm:sqref>H5:H34</xm:sqref>
        </x14:dataValidation>
        <x14:dataValidation type="list" allowBlank="1" showInputMessage="1" showErrorMessage="1" xr:uid="{66C5C404-7D1F-4364-8A2E-F067F473DBA2}">
          <x14:formula1>
            <xm:f>Sheet1!$A$9:$A$11</xm:f>
          </x14:formula1>
          <xm:sqref>V5:V34 P5:P34 I5:I34</xm:sqref>
        </x14:dataValidation>
        <x14:dataValidation type="list" allowBlank="1" showInputMessage="1" showErrorMessage="1" xr:uid="{A9388B96-AB7C-4F4E-8E05-D77331DC5E4E}">
          <x14:formula1>
            <xm:f>Sheet1!$D$1:$D$3</xm:f>
          </x14:formula1>
          <xm:sqref>J5:J34</xm:sqref>
        </x14:dataValidation>
        <x14:dataValidation type="list" allowBlank="1" showInputMessage="1" showErrorMessage="1" xr:uid="{A70E646C-B26F-46CA-9DBB-654C292C9DBD}">
          <x14:formula1>
            <xm:f>Sheet1!$G$9:$G$10</xm:f>
          </x14:formula1>
          <xm:sqref>K5:K34</xm:sqref>
        </x14:dataValidation>
        <x14:dataValidation type="list" allowBlank="1" showInputMessage="1" showErrorMessage="1" xr:uid="{E526287C-B0FD-4DBA-B765-B5C0DD487C83}">
          <x14:formula1>
            <xm:f>Sheet1!$E$9:$E$11</xm:f>
          </x14:formula1>
          <xm:sqref>L5:L34</xm:sqref>
        </x14:dataValidation>
        <x14:dataValidation type="list" allowBlank="1" showInputMessage="1" showErrorMessage="1" xr:uid="{BAF2603F-4FBA-4C4A-9B5B-ACCB251748A9}">
          <x14:formula1>
            <xm:f>Sheet1!$C$6:$C$7</xm:f>
          </x14:formula1>
          <xm:sqref>AI27:AI34 AC5:AD34 U5:U34 AJ5:AK34 AI5:AI23 AI25 M5:O34</xm:sqref>
        </x14:dataValidation>
        <x14:dataValidation type="list" allowBlank="1" showInputMessage="1" showErrorMessage="1" xr:uid="{9B510DAD-B7DF-499D-9210-4CF749D9DA78}">
          <x14:formula1>
            <xm:f>Sheet1!$A$17:$A$20</xm:f>
          </x14:formula1>
          <xm:sqref>R27 R8 R32:R33 R6 R18:R25 R12 R14 R16</xm:sqref>
        </x14:dataValidation>
        <x14:dataValidation type="list" allowBlank="1" showInputMessage="1" showErrorMessage="1" xr:uid="{5935C985-7B0E-4DFA-9BBB-DFC32D9C0E63}">
          <x14:formula1>
            <xm:f>Sheet1!$C$17:$C$20</xm:f>
          </x14:formula1>
          <xm:sqref>T33:T34 T20:T31 T5:T18</xm:sqref>
        </x14:dataValidation>
        <x14:dataValidation type="list" allowBlank="1" showInputMessage="1" showErrorMessage="1" xr:uid="{8C7F454F-CE6C-4317-94E3-4EE113DB3A3B}">
          <x14:formula1>
            <xm:f>Sheet1!$A$13:$A$15</xm:f>
          </x14:formula1>
          <xm:sqref>AB5:AB34</xm:sqref>
        </x14:dataValidation>
        <x14:dataValidation type="list" allowBlank="1" showInputMessage="1" showErrorMessage="1" xr:uid="{281B1669-786B-4201-8F61-74BE4C77FC8A}">
          <x14:formula1>
            <xm:f>Sheet1!$G$1:$G$4</xm:f>
          </x14:formula1>
          <xm:sqref>AE5:AF34</xm:sqref>
        </x14:dataValidation>
        <x14:dataValidation type="list" allowBlank="1" showInputMessage="1" showErrorMessage="1" xr:uid="{FDDD1AFD-BF26-46D2-977A-1936C0599BAE}">
          <x14:formula1>
            <xm:f>Sheet1!$E$17:$E$18</xm:f>
          </x14:formula1>
          <xm:sqref>AG5:AG34</xm:sqref>
        </x14:dataValidation>
        <x14:dataValidation type="list" allowBlank="1" showInputMessage="1" showErrorMessage="1" xr:uid="{F176EE2F-A93E-4F4A-8241-2862A52ECEC9}">
          <x14:formula1>
            <xm:f>Sheet1!$G$17:$G$18</xm:f>
          </x14:formula1>
          <xm:sqref>AH5:AH34</xm:sqref>
        </x14:dataValidation>
        <x14:dataValidation type="list" allowBlank="1" showInputMessage="1" showErrorMessage="1" xr:uid="{6A75E5A9-B79E-4A9F-AA3B-B5945E28D15D}">
          <x14:formula1>
            <xm:f>Sheet1!$I$1:$I$2</xm:f>
          </x14:formula1>
          <xm:sqref>X5:X34</xm:sqref>
        </x14:dataValidation>
        <x14:dataValidation type="list" allowBlank="1" showInputMessage="1" showErrorMessage="1" xr:uid="{E2D34D8B-B6FA-44A1-8554-71EFFAFF2C55}">
          <x14:formula1>
            <xm:f>Sheet1!$G$6:$G$7</xm:f>
          </x14:formula1>
          <xm:sqref>S5:S34 AA5:AA34</xm:sqref>
        </x14:dataValidation>
        <x14:dataValidation type="list" allowBlank="1" showInputMessage="1" showErrorMessage="1" xr:uid="{7C81DA29-2BF0-4165-8387-FA44428F7D5E}">
          <x14:formula1>
            <xm:f>Sheet1!$I$9:$I$14</xm:f>
          </x14:formula1>
          <xm:sqref>Y5:Y6 Y8:Y34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45D2E-E232-446A-BFB2-81B2DCD12278}">
  <sheetPr codeName="Sheet2">
    <tabColor rgb="FF92D050"/>
  </sheetPr>
  <dimension ref="A1:AT29"/>
  <sheetViews>
    <sheetView view="pageBreakPreview" zoomScale="90" zoomScaleNormal="40" zoomScaleSheetLayoutView="90" workbookViewId="0">
      <pane xSplit="5" ySplit="4" topLeftCell="AI5" activePane="bottomRight" state="frozen"/>
      <selection activeCell="N11" sqref="N11"/>
      <selection pane="topRight" activeCell="N11" sqref="N11"/>
      <selection pane="bottomLeft" activeCell="N11" sqref="N11"/>
      <selection pane="bottomRight" activeCell="AJ17" sqref="AJ17"/>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985</v>
      </c>
      <c r="P4" s="5" t="s">
        <v>16</v>
      </c>
      <c r="Q4" s="5" t="s">
        <v>15</v>
      </c>
      <c r="R4" s="5" t="s">
        <v>9</v>
      </c>
      <c r="S4" s="5" t="s">
        <v>66</v>
      </c>
      <c r="T4" s="5" t="s">
        <v>10</v>
      </c>
      <c r="U4" s="5" t="s">
        <v>17</v>
      </c>
      <c r="V4" s="5" t="s">
        <v>16</v>
      </c>
      <c r="W4" s="5" t="s">
        <v>15</v>
      </c>
      <c r="X4" s="5" t="s">
        <v>68</v>
      </c>
      <c r="Y4" s="5" t="s">
        <v>73</v>
      </c>
      <c r="Z4" s="5" t="s">
        <v>74</v>
      </c>
      <c r="AA4" s="5" t="s">
        <v>64</v>
      </c>
      <c r="AB4" s="4" t="s">
        <v>2</v>
      </c>
      <c r="AC4" s="3" t="s">
        <v>11</v>
      </c>
      <c r="AD4" s="3" t="s">
        <v>2667</v>
      </c>
      <c r="AE4" s="3" t="s">
        <v>55</v>
      </c>
      <c r="AF4" s="3" t="s">
        <v>56</v>
      </c>
      <c r="AG4" s="3" t="s">
        <v>2</v>
      </c>
      <c r="AH4" s="3" t="s">
        <v>61</v>
      </c>
      <c r="AI4" s="98"/>
      <c r="AJ4" s="100"/>
      <c r="AK4" s="100"/>
      <c r="AL4" s="89"/>
      <c r="AM4" s="102"/>
      <c r="AN4" s="102"/>
      <c r="AO4" s="102"/>
      <c r="AP4" s="90"/>
    </row>
    <row r="5" spans="1:46" s="10" customFormat="1" ht="15" customHeight="1" x14ac:dyDescent="0.4">
      <c r="A5" s="6">
        <v>2</v>
      </c>
      <c r="B5" s="6">
        <v>101</v>
      </c>
      <c r="C5" s="6" t="s">
        <v>79</v>
      </c>
      <c r="D5" s="18" t="s">
        <v>201</v>
      </c>
      <c r="E5" s="32" t="s">
        <v>18</v>
      </c>
      <c r="F5" s="6" t="s">
        <v>202</v>
      </c>
      <c r="G5" s="6" t="s">
        <v>43</v>
      </c>
      <c r="H5" s="6" t="s">
        <v>52</v>
      </c>
      <c r="I5" s="6" t="s">
        <v>84</v>
      </c>
      <c r="J5" s="6" t="s">
        <v>85</v>
      </c>
      <c r="K5" s="6" t="s">
        <v>60</v>
      </c>
      <c r="L5" s="6" t="s">
        <v>92</v>
      </c>
      <c r="M5" s="6" t="s">
        <v>45</v>
      </c>
      <c r="N5" s="6" t="s">
        <v>45</v>
      </c>
      <c r="O5" s="6" t="s">
        <v>23</v>
      </c>
      <c r="P5" s="6" t="s">
        <v>84</v>
      </c>
      <c r="Q5" s="6" t="s">
        <v>86</v>
      </c>
      <c r="R5" s="6">
        <v>740</v>
      </c>
      <c r="S5" s="16" t="s">
        <v>39</v>
      </c>
      <c r="T5" s="6">
        <v>900</v>
      </c>
      <c r="U5" s="6" t="s">
        <v>45</v>
      </c>
      <c r="V5" s="6" t="s">
        <v>84</v>
      </c>
      <c r="W5" s="6" t="s">
        <v>86</v>
      </c>
      <c r="X5" s="16" t="s">
        <v>60</v>
      </c>
      <c r="Y5" s="16" t="s">
        <v>203</v>
      </c>
      <c r="Z5" s="16" t="s">
        <v>204</v>
      </c>
      <c r="AA5" s="16" t="s">
        <v>39</v>
      </c>
      <c r="AB5" s="8" t="s">
        <v>19</v>
      </c>
      <c r="AC5" s="8" t="s">
        <v>45</v>
      </c>
      <c r="AD5" s="8" t="s">
        <v>45</v>
      </c>
      <c r="AE5" s="8" t="s">
        <v>50</v>
      </c>
      <c r="AF5" s="16" t="s">
        <v>50</v>
      </c>
      <c r="AG5" s="17" t="s">
        <v>60</v>
      </c>
      <c r="AH5" s="17" t="s">
        <v>62</v>
      </c>
      <c r="AI5" s="17" t="s">
        <v>45</v>
      </c>
      <c r="AJ5" s="17" t="s">
        <v>23</v>
      </c>
      <c r="AK5" s="9" t="s">
        <v>45</v>
      </c>
      <c r="AL5" s="103" t="s">
        <v>205</v>
      </c>
      <c r="AM5" s="104"/>
      <c r="AN5" s="104"/>
      <c r="AO5" s="104"/>
      <c r="AP5" s="105"/>
      <c r="AQ5" s="10" t="s">
        <v>1214</v>
      </c>
    </row>
    <row r="6" spans="1:46" s="14" customFormat="1" ht="56.25" customHeight="1" x14ac:dyDescent="0.4">
      <c r="A6" s="11">
        <v>2</v>
      </c>
      <c r="B6" s="11">
        <v>201</v>
      </c>
      <c r="C6" s="11" t="s">
        <v>79</v>
      </c>
      <c r="D6" s="13" t="s">
        <v>1054</v>
      </c>
      <c r="E6" s="33" t="s">
        <v>18</v>
      </c>
      <c r="F6" s="11" t="s">
        <v>1055</v>
      </c>
      <c r="G6" s="11" t="s">
        <v>43</v>
      </c>
      <c r="H6" s="11" t="s">
        <v>52</v>
      </c>
      <c r="I6" s="11" t="s">
        <v>84</v>
      </c>
      <c r="J6" s="11" t="s">
        <v>85</v>
      </c>
      <c r="K6" s="11" t="s">
        <v>60</v>
      </c>
      <c r="L6" s="11" t="s">
        <v>92</v>
      </c>
      <c r="M6" s="11" t="s">
        <v>45</v>
      </c>
      <c r="N6" s="11" t="s">
        <v>45</v>
      </c>
      <c r="O6" s="11" t="s">
        <v>23</v>
      </c>
      <c r="P6" s="11" t="s">
        <v>84</v>
      </c>
      <c r="Q6" s="11" t="s">
        <v>86</v>
      </c>
      <c r="R6" s="11">
        <v>730</v>
      </c>
      <c r="S6" s="40" t="s">
        <v>39</v>
      </c>
      <c r="T6" s="11">
        <v>900</v>
      </c>
      <c r="U6" s="11" t="s">
        <v>45</v>
      </c>
      <c r="V6" s="11" t="s">
        <v>84</v>
      </c>
      <c r="W6" s="11" t="s">
        <v>86</v>
      </c>
      <c r="X6" s="40" t="s">
        <v>60</v>
      </c>
      <c r="Y6" s="40" t="s">
        <v>87</v>
      </c>
      <c r="Z6" s="40" t="s">
        <v>1056</v>
      </c>
      <c r="AA6" s="40" t="s">
        <v>65</v>
      </c>
      <c r="AB6" s="40" t="s">
        <v>88</v>
      </c>
      <c r="AC6" s="11" t="s">
        <v>45</v>
      </c>
      <c r="AD6" s="11" t="s">
        <v>23</v>
      </c>
      <c r="AE6" s="11" t="s">
        <v>50</v>
      </c>
      <c r="AF6" s="11" t="s">
        <v>50</v>
      </c>
      <c r="AG6" s="13" t="s">
        <v>60</v>
      </c>
      <c r="AH6" s="13" t="s">
        <v>96</v>
      </c>
      <c r="AI6" s="13" t="s">
        <v>45</v>
      </c>
      <c r="AJ6" s="13" t="s">
        <v>23</v>
      </c>
      <c r="AK6" s="13" t="s">
        <v>23</v>
      </c>
      <c r="AL6" s="133" t="s">
        <v>1057</v>
      </c>
      <c r="AM6" s="134"/>
      <c r="AN6" s="134"/>
      <c r="AO6" s="134"/>
      <c r="AP6" s="135"/>
    </row>
    <row r="7" spans="1:46" s="10" customFormat="1" ht="15" customHeight="1" x14ac:dyDescent="0.4">
      <c r="A7" s="6">
        <v>2</v>
      </c>
      <c r="B7" s="6">
        <v>301</v>
      </c>
      <c r="C7" s="6" t="s">
        <v>79</v>
      </c>
      <c r="D7" s="18" t="s">
        <v>186</v>
      </c>
      <c r="E7" s="34" t="s">
        <v>18</v>
      </c>
      <c r="F7" s="6" t="s">
        <v>187</v>
      </c>
      <c r="G7" s="6" t="s">
        <v>43</v>
      </c>
      <c r="H7" s="6" t="s">
        <v>52</v>
      </c>
      <c r="I7" s="6" t="s">
        <v>84</v>
      </c>
      <c r="J7" s="6" t="s">
        <v>85</v>
      </c>
      <c r="K7" s="6" t="s">
        <v>60</v>
      </c>
      <c r="L7" s="6" t="s">
        <v>92</v>
      </c>
      <c r="M7" s="6" t="s">
        <v>45</v>
      </c>
      <c r="N7" s="6" t="s">
        <v>45</v>
      </c>
      <c r="O7" s="6" t="s">
        <v>23</v>
      </c>
      <c r="P7" s="6" t="s">
        <v>84</v>
      </c>
      <c r="Q7" s="6" t="s">
        <v>86</v>
      </c>
      <c r="R7" s="6">
        <v>740</v>
      </c>
      <c r="S7" s="6" t="s">
        <v>39</v>
      </c>
      <c r="T7" s="6">
        <v>900</v>
      </c>
      <c r="U7" s="6" t="s">
        <v>45</v>
      </c>
      <c r="V7" s="6" t="s">
        <v>84</v>
      </c>
      <c r="W7" s="6" t="s">
        <v>86</v>
      </c>
      <c r="X7" s="6" t="s">
        <v>19</v>
      </c>
      <c r="Y7" s="6" t="s">
        <v>93</v>
      </c>
      <c r="Z7" s="6"/>
      <c r="AA7" s="6" t="s">
        <v>39</v>
      </c>
      <c r="AB7" s="6" t="s">
        <v>88</v>
      </c>
      <c r="AC7" s="16" t="s">
        <v>45</v>
      </c>
      <c r="AD7" s="16" t="s">
        <v>45</v>
      </c>
      <c r="AE7" s="16" t="s">
        <v>116</v>
      </c>
      <c r="AF7" s="16" t="s">
        <v>50</v>
      </c>
      <c r="AG7" s="17" t="s">
        <v>60</v>
      </c>
      <c r="AH7" s="17" t="s">
        <v>62</v>
      </c>
      <c r="AI7" s="17" t="s">
        <v>23</v>
      </c>
      <c r="AJ7" s="17" t="s">
        <v>45</v>
      </c>
      <c r="AK7" s="17" t="s">
        <v>45</v>
      </c>
      <c r="AL7" s="78" t="s">
        <v>188</v>
      </c>
      <c r="AM7" s="79"/>
      <c r="AN7" s="79"/>
      <c r="AO7" s="79"/>
      <c r="AP7" s="80"/>
    </row>
    <row r="8" spans="1:46" s="14" customFormat="1" ht="31.5" customHeight="1" x14ac:dyDescent="0.4">
      <c r="A8" s="11">
        <v>2</v>
      </c>
      <c r="B8" s="11">
        <v>401</v>
      </c>
      <c r="C8" s="11" t="s">
        <v>79</v>
      </c>
      <c r="D8" s="13" t="s">
        <v>254</v>
      </c>
      <c r="E8" s="33" t="s">
        <v>18</v>
      </c>
      <c r="F8" s="45" t="s">
        <v>255</v>
      </c>
      <c r="G8" s="11" t="s">
        <v>43</v>
      </c>
      <c r="H8" s="11" t="s">
        <v>52</v>
      </c>
      <c r="I8" s="11" t="s">
        <v>84</v>
      </c>
      <c r="J8" s="11" t="s">
        <v>85</v>
      </c>
      <c r="K8" s="11" t="s">
        <v>60</v>
      </c>
      <c r="L8" s="11" t="s">
        <v>92</v>
      </c>
      <c r="M8" s="11" t="s">
        <v>45</v>
      </c>
      <c r="N8" s="11" t="s">
        <v>45</v>
      </c>
      <c r="O8" s="11" t="s">
        <v>23</v>
      </c>
      <c r="P8" s="11" t="s">
        <v>84</v>
      </c>
      <c r="Q8" s="11" t="s">
        <v>86</v>
      </c>
      <c r="R8" s="11">
        <v>740</v>
      </c>
      <c r="S8" s="40" t="s">
        <v>39</v>
      </c>
      <c r="T8" s="11">
        <v>900</v>
      </c>
      <c r="U8" s="11" t="s">
        <v>45</v>
      </c>
      <c r="V8" s="11" t="s">
        <v>84</v>
      </c>
      <c r="W8" s="11" t="s">
        <v>86</v>
      </c>
      <c r="X8" s="40" t="s">
        <v>60</v>
      </c>
      <c r="Y8" s="40" t="s">
        <v>87</v>
      </c>
      <c r="Z8" s="40" t="s">
        <v>510</v>
      </c>
      <c r="AA8" s="40" t="s">
        <v>39</v>
      </c>
      <c r="AB8" s="40" t="s">
        <v>88</v>
      </c>
      <c r="AC8" s="11" t="s">
        <v>45</v>
      </c>
      <c r="AD8" s="11" t="s">
        <v>45</v>
      </c>
      <c r="AE8" s="11" t="s">
        <v>50</v>
      </c>
      <c r="AF8" s="11" t="s">
        <v>50</v>
      </c>
      <c r="AG8" s="13" t="s">
        <v>60</v>
      </c>
      <c r="AH8" s="13" t="s">
        <v>62</v>
      </c>
      <c r="AI8" s="13" t="s">
        <v>45</v>
      </c>
      <c r="AJ8" s="13" t="s">
        <v>23</v>
      </c>
      <c r="AK8" s="13" t="s">
        <v>45</v>
      </c>
      <c r="AL8" s="94" t="s">
        <v>1402</v>
      </c>
      <c r="AM8" s="95"/>
      <c r="AN8" s="95"/>
      <c r="AO8" s="95"/>
      <c r="AP8" s="96"/>
    </row>
    <row r="9" spans="1:46" s="10" customFormat="1" ht="15" customHeight="1" x14ac:dyDescent="0.4">
      <c r="A9" s="6">
        <v>2</v>
      </c>
      <c r="B9" s="6">
        <v>501</v>
      </c>
      <c r="C9" s="6" t="s">
        <v>79</v>
      </c>
      <c r="D9" s="18" t="s">
        <v>179</v>
      </c>
      <c r="E9" s="34" t="s">
        <v>18</v>
      </c>
      <c r="F9" s="6" t="s">
        <v>180</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19</v>
      </c>
      <c r="Y9" s="6" t="s">
        <v>93</v>
      </c>
      <c r="Z9" s="6"/>
      <c r="AA9" s="6" t="s">
        <v>39</v>
      </c>
      <c r="AB9" s="6" t="s">
        <v>19</v>
      </c>
      <c r="AC9" s="16" t="s">
        <v>45</v>
      </c>
      <c r="AD9" s="16" t="s">
        <v>45</v>
      </c>
      <c r="AE9" s="16" t="s">
        <v>116</v>
      </c>
      <c r="AF9" s="16" t="s">
        <v>50</v>
      </c>
      <c r="AG9" s="17" t="s">
        <v>60</v>
      </c>
      <c r="AH9" s="17" t="s">
        <v>62</v>
      </c>
      <c r="AI9" s="17" t="s">
        <v>23</v>
      </c>
      <c r="AJ9" s="17" t="s">
        <v>45</v>
      </c>
      <c r="AK9" s="17" t="s">
        <v>45</v>
      </c>
      <c r="AL9" s="78" t="s">
        <v>1403</v>
      </c>
      <c r="AM9" s="79"/>
      <c r="AN9" s="79"/>
      <c r="AO9" s="79"/>
      <c r="AP9" s="80"/>
    </row>
    <row r="10" spans="1:46" s="14" customFormat="1" ht="31.5" customHeight="1" x14ac:dyDescent="0.4">
      <c r="A10" s="11">
        <v>2</v>
      </c>
      <c r="B10" s="11">
        <v>102</v>
      </c>
      <c r="C10" s="11" t="s">
        <v>79</v>
      </c>
      <c r="D10" s="13" t="s">
        <v>193</v>
      </c>
      <c r="E10" s="33" t="s">
        <v>18</v>
      </c>
      <c r="F10" s="45" t="s">
        <v>194</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740</v>
      </c>
      <c r="U10" s="11" t="s">
        <v>45</v>
      </c>
      <c r="V10" s="11" t="s">
        <v>84</v>
      </c>
      <c r="W10" s="11" t="s">
        <v>86</v>
      </c>
      <c r="X10" s="40" t="s">
        <v>60</v>
      </c>
      <c r="Y10" s="40" t="s">
        <v>344</v>
      </c>
      <c r="Z10" s="40"/>
      <c r="AA10" s="40" t="s">
        <v>39</v>
      </c>
      <c r="AB10" s="40" t="s">
        <v>88</v>
      </c>
      <c r="AC10" s="11" t="s">
        <v>45</v>
      </c>
      <c r="AD10" s="11" t="s">
        <v>23</v>
      </c>
      <c r="AE10" s="11" t="s">
        <v>50</v>
      </c>
      <c r="AF10" s="11" t="s">
        <v>50</v>
      </c>
      <c r="AG10" s="13" t="s">
        <v>60</v>
      </c>
      <c r="AH10" s="13" t="s">
        <v>62</v>
      </c>
      <c r="AI10" s="13" t="s">
        <v>45</v>
      </c>
      <c r="AJ10" s="13" t="s">
        <v>23</v>
      </c>
      <c r="AK10" s="13" t="s">
        <v>45</v>
      </c>
      <c r="AL10" s="133" t="s">
        <v>831</v>
      </c>
      <c r="AM10" s="95"/>
      <c r="AN10" s="95"/>
      <c r="AO10" s="95"/>
      <c r="AP10" s="96"/>
      <c r="AQ10" s="14" t="s">
        <v>1214</v>
      </c>
    </row>
    <row r="11" spans="1:46" s="10" customFormat="1" ht="15" customHeight="1" x14ac:dyDescent="0.4">
      <c r="A11" s="6">
        <v>2</v>
      </c>
      <c r="B11" s="6">
        <v>202</v>
      </c>
      <c r="C11" s="6" t="s">
        <v>79</v>
      </c>
      <c r="D11" s="18" t="s">
        <v>191</v>
      </c>
      <c r="E11" s="34" t="s">
        <v>18</v>
      </c>
      <c r="F11" s="6" t="s">
        <v>192</v>
      </c>
      <c r="G11" s="6" t="s">
        <v>43</v>
      </c>
      <c r="H11" s="6" t="s">
        <v>52</v>
      </c>
      <c r="I11" s="6" t="s">
        <v>84</v>
      </c>
      <c r="J11" s="6" t="s">
        <v>85</v>
      </c>
      <c r="K11" s="6" t="s">
        <v>60</v>
      </c>
      <c r="L11" s="6" t="s">
        <v>92</v>
      </c>
      <c r="M11" s="6" t="s">
        <v>45</v>
      </c>
      <c r="N11" s="6" t="s">
        <v>23</v>
      </c>
      <c r="O11" s="6" t="s">
        <v>23</v>
      </c>
      <c r="P11" s="6" t="s">
        <v>84</v>
      </c>
      <c r="Q11" s="6" t="s">
        <v>86</v>
      </c>
      <c r="R11" s="6">
        <v>740</v>
      </c>
      <c r="S11" s="6" t="s">
        <v>39</v>
      </c>
      <c r="T11" s="6">
        <v>900</v>
      </c>
      <c r="U11" s="6" t="s">
        <v>45</v>
      </c>
      <c r="V11" s="6" t="s">
        <v>84</v>
      </c>
      <c r="W11" s="6" t="s">
        <v>86</v>
      </c>
      <c r="X11" s="6" t="s">
        <v>60</v>
      </c>
      <c r="Y11" s="6" t="s">
        <v>344</v>
      </c>
      <c r="Z11" s="6"/>
      <c r="AA11" s="6" t="s">
        <v>39</v>
      </c>
      <c r="AB11" s="6" t="s">
        <v>88</v>
      </c>
      <c r="AC11" s="16" t="s">
        <v>23</v>
      </c>
      <c r="AD11" s="16" t="s">
        <v>23</v>
      </c>
      <c r="AE11" s="16" t="s">
        <v>50</v>
      </c>
      <c r="AF11" s="16" t="s">
        <v>50</v>
      </c>
      <c r="AG11" s="17" t="s">
        <v>60</v>
      </c>
      <c r="AH11" s="17" t="s">
        <v>62</v>
      </c>
      <c r="AI11" s="17" t="s">
        <v>45</v>
      </c>
      <c r="AJ11" s="17" t="s">
        <v>45</v>
      </c>
      <c r="AK11" s="17" t="s">
        <v>23</v>
      </c>
      <c r="AL11" s="78" t="s">
        <v>1404</v>
      </c>
      <c r="AM11" s="79"/>
      <c r="AN11" s="79"/>
      <c r="AO11" s="79"/>
      <c r="AP11" s="80"/>
    </row>
    <row r="12" spans="1:46" s="14" customFormat="1" ht="15" customHeight="1" x14ac:dyDescent="0.4">
      <c r="A12" s="11">
        <v>2</v>
      </c>
      <c r="B12" s="11">
        <v>302</v>
      </c>
      <c r="C12" s="11" t="s">
        <v>79</v>
      </c>
      <c r="D12" s="13" t="s">
        <v>189</v>
      </c>
      <c r="E12" s="33" t="s">
        <v>18</v>
      </c>
      <c r="F12" s="11" t="s">
        <v>190</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511</v>
      </c>
      <c r="AA12" s="40" t="s">
        <v>39</v>
      </c>
      <c r="AB12" s="40" t="s">
        <v>88</v>
      </c>
      <c r="AC12" s="11" t="s">
        <v>45</v>
      </c>
      <c r="AD12" s="11" t="s">
        <v>23</v>
      </c>
      <c r="AE12" s="11" t="s">
        <v>50</v>
      </c>
      <c r="AF12" s="11" t="s">
        <v>50</v>
      </c>
      <c r="AG12" s="13" t="s">
        <v>60</v>
      </c>
      <c r="AH12" s="13" t="s">
        <v>62</v>
      </c>
      <c r="AI12" s="13" t="s">
        <v>45</v>
      </c>
      <c r="AJ12" s="13" t="s">
        <v>45</v>
      </c>
      <c r="AK12" s="13" t="s">
        <v>45</v>
      </c>
      <c r="AL12" s="94" t="s">
        <v>312</v>
      </c>
      <c r="AM12" s="95"/>
      <c r="AN12" s="95"/>
      <c r="AO12" s="95"/>
      <c r="AP12" s="96"/>
    </row>
    <row r="13" spans="1:46" s="10" customFormat="1" ht="31.5" customHeight="1" x14ac:dyDescent="0.4">
      <c r="A13" s="6">
        <v>2</v>
      </c>
      <c r="B13" s="6">
        <v>402</v>
      </c>
      <c r="C13" s="6" t="s">
        <v>79</v>
      </c>
      <c r="D13" s="18" t="s">
        <v>184</v>
      </c>
      <c r="E13" s="34" t="s">
        <v>18</v>
      </c>
      <c r="F13" s="6" t="s">
        <v>185</v>
      </c>
      <c r="G13" s="6" t="s">
        <v>43</v>
      </c>
      <c r="H13" s="6" t="s">
        <v>52</v>
      </c>
      <c r="I13" s="6" t="s">
        <v>84</v>
      </c>
      <c r="J13" s="6" t="s">
        <v>85</v>
      </c>
      <c r="K13" s="6" t="s">
        <v>60</v>
      </c>
      <c r="L13" s="6" t="s">
        <v>92</v>
      </c>
      <c r="M13" s="6" t="s">
        <v>45</v>
      </c>
      <c r="N13" s="6" t="s">
        <v>45</v>
      </c>
      <c r="O13" s="6" t="s">
        <v>23</v>
      </c>
      <c r="P13" s="6" t="s">
        <v>84</v>
      </c>
      <c r="Q13" s="6" t="s">
        <v>86</v>
      </c>
      <c r="R13" s="6">
        <v>900</v>
      </c>
      <c r="S13" s="6" t="s">
        <v>39</v>
      </c>
      <c r="T13" s="6">
        <v>800</v>
      </c>
      <c r="U13" s="6" t="s">
        <v>45</v>
      </c>
      <c r="V13" s="6" t="s">
        <v>84</v>
      </c>
      <c r="W13" s="6" t="s">
        <v>86</v>
      </c>
      <c r="X13" s="6" t="s">
        <v>60</v>
      </c>
      <c r="Y13" s="6" t="s">
        <v>87</v>
      </c>
      <c r="Z13" s="6" t="s">
        <v>512</v>
      </c>
      <c r="AA13" s="6" t="s">
        <v>39</v>
      </c>
      <c r="AB13" s="6" t="s">
        <v>19</v>
      </c>
      <c r="AC13" s="16" t="s">
        <v>45</v>
      </c>
      <c r="AD13" s="16" t="s">
        <v>45</v>
      </c>
      <c r="AE13" s="16" t="s">
        <v>50</v>
      </c>
      <c r="AF13" s="16" t="s">
        <v>50</v>
      </c>
      <c r="AG13" s="17" t="s">
        <v>60</v>
      </c>
      <c r="AH13" s="17" t="s">
        <v>96</v>
      </c>
      <c r="AI13" s="17" t="s">
        <v>45</v>
      </c>
      <c r="AJ13" s="17" t="s">
        <v>45</v>
      </c>
      <c r="AK13" s="17" t="s">
        <v>23</v>
      </c>
      <c r="AL13" s="106" t="s">
        <v>831</v>
      </c>
      <c r="AM13" s="79"/>
      <c r="AN13" s="79"/>
      <c r="AO13" s="79"/>
      <c r="AP13" s="80"/>
      <c r="AQ13" s="10" t="s">
        <v>1214</v>
      </c>
    </row>
    <row r="14" spans="1:46" s="14" customFormat="1" ht="15" customHeight="1" x14ac:dyDescent="0.4">
      <c r="A14" s="11">
        <v>2</v>
      </c>
      <c r="B14" s="11">
        <v>502</v>
      </c>
      <c r="C14" s="11" t="s">
        <v>79</v>
      </c>
      <c r="D14" s="13" t="s">
        <v>1295</v>
      </c>
      <c r="E14" s="33" t="s">
        <v>18</v>
      </c>
      <c r="F14" s="11" t="s">
        <v>1296</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60</v>
      </c>
      <c r="Y14" s="40" t="s">
        <v>87</v>
      </c>
      <c r="Z14" s="40" t="s">
        <v>1297</v>
      </c>
      <c r="AA14" s="40" t="s">
        <v>65</v>
      </c>
      <c r="AB14" s="40" t="s">
        <v>88</v>
      </c>
      <c r="AC14" s="11" t="s">
        <v>45</v>
      </c>
      <c r="AD14" s="11" t="s">
        <v>45</v>
      </c>
      <c r="AE14" s="11" t="s">
        <v>50</v>
      </c>
      <c r="AF14" s="11" t="s">
        <v>50</v>
      </c>
      <c r="AG14" s="13" t="s">
        <v>60</v>
      </c>
      <c r="AH14" s="13" t="s">
        <v>62</v>
      </c>
      <c r="AI14" s="13" t="s">
        <v>45</v>
      </c>
      <c r="AJ14" s="13" t="s">
        <v>23</v>
      </c>
      <c r="AK14" s="13" t="s">
        <v>45</v>
      </c>
      <c r="AL14" s="94" t="s">
        <v>1298</v>
      </c>
      <c r="AM14" s="95"/>
      <c r="AN14" s="95"/>
      <c r="AO14" s="95"/>
      <c r="AP14" s="96"/>
    </row>
    <row r="15" spans="1:46" s="10" customFormat="1" ht="15" customHeight="1" x14ac:dyDescent="0.4">
      <c r="A15" s="6">
        <v>2</v>
      </c>
      <c r="B15" s="6">
        <v>103</v>
      </c>
      <c r="C15" s="6" t="s">
        <v>79</v>
      </c>
      <c r="D15" s="18" t="s">
        <v>209</v>
      </c>
      <c r="E15" s="34" t="s">
        <v>18</v>
      </c>
      <c r="F15" s="6" t="s">
        <v>210</v>
      </c>
      <c r="G15" s="6" t="s">
        <v>43</v>
      </c>
      <c r="H15" s="6" t="s">
        <v>52</v>
      </c>
      <c r="I15" s="6" t="s">
        <v>84</v>
      </c>
      <c r="J15" s="6" t="s">
        <v>85</v>
      </c>
      <c r="K15" s="6" t="s">
        <v>60</v>
      </c>
      <c r="L15" s="6" t="s">
        <v>92</v>
      </c>
      <c r="M15" s="6" t="s">
        <v>23</v>
      </c>
      <c r="N15" s="6" t="s">
        <v>45</v>
      </c>
      <c r="O15" s="6" t="s">
        <v>23</v>
      </c>
      <c r="P15" s="6" t="s">
        <v>84</v>
      </c>
      <c r="Q15" s="6" t="s">
        <v>86</v>
      </c>
      <c r="R15" s="6">
        <v>750</v>
      </c>
      <c r="S15" s="6" t="s">
        <v>39</v>
      </c>
      <c r="T15" s="6">
        <v>900</v>
      </c>
      <c r="U15" s="6" t="s">
        <v>45</v>
      </c>
      <c r="V15" s="6" t="s">
        <v>84</v>
      </c>
      <c r="W15" s="6" t="s">
        <v>86</v>
      </c>
      <c r="X15" s="6" t="s">
        <v>60</v>
      </c>
      <c r="Y15" s="6" t="s">
        <v>87</v>
      </c>
      <c r="Z15" s="6" t="s">
        <v>513</v>
      </c>
      <c r="AA15" s="6" t="s">
        <v>39</v>
      </c>
      <c r="AB15" s="6" t="s">
        <v>88</v>
      </c>
      <c r="AC15" s="16" t="s">
        <v>45</v>
      </c>
      <c r="AD15" s="16" t="s">
        <v>45</v>
      </c>
      <c r="AE15" s="16" t="s">
        <v>50</v>
      </c>
      <c r="AF15" s="16" t="s">
        <v>50</v>
      </c>
      <c r="AG15" s="17" t="s">
        <v>60</v>
      </c>
      <c r="AH15" s="17" t="s">
        <v>211</v>
      </c>
      <c r="AI15" s="17" t="s">
        <v>241</v>
      </c>
      <c r="AJ15" s="17" t="s">
        <v>45</v>
      </c>
      <c r="AK15" s="17" t="s">
        <v>45</v>
      </c>
      <c r="AL15" s="78" t="s">
        <v>212</v>
      </c>
      <c r="AM15" s="79"/>
      <c r="AN15" s="79"/>
      <c r="AO15" s="79"/>
      <c r="AP15" s="80"/>
    </row>
    <row r="16" spans="1:46" s="14" customFormat="1" ht="15" customHeight="1" x14ac:dyDescent="0.4">
      <c r="A16" s="11">
        <v>2</v>
      </c>
      <c r="B16" s="11">
        <v>203</v>
      </c>
      <c r="C16" s="11" t="s">
        <v>79</v>
      </c>
      <c r="D16" s="13" t="s">
        <v>263</v>
      </c>
      <c r="E16" s="33" t="s">
        <v>18</v>
      </c>
      <c r="F16" s="11" t="s">
        <v>264</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514</v>
      </c>
      <c r="AA16" s="40" t="s">
        <v>39</v>
      </c>
      <c r="AB16" s="40" t="s">
        <v>88</v>
      </c>
      <c r="AC16" s="11" t="s">
        <v>45</v>
      </c>
      <c r="AD16" s="11" t="s">
        <v>45</v>
      </c>
      <c r="AE16" s="11" t="s">
        <v>116</v>
      </c>
      <c r="AF16" s="11" t="s">
        <v>50</v>
      </c>
      <c r="AG16" s="13" t="s">
        <v>60</v>
      </c>
      <c r="AH16" s="13" t="s">
        <v>62</v>
      </c>
      <c r="AI16" s="13" t="s">
        <v>23</v>
      </c>
      <c r="AJ16" s="13" t="s">
        <v>23</v>
      </c>
      <c r="AK16" s="13" t="s">
        <v>45</v>
      </c>
      <c r="AL16" s="94" t="s">
        <v>265</v>
      </c>
      <c r="AM16" s="95"/>
      <c r="AN16" s="95"/>
      <c r="AO16" s="95"/>
      <c r="AP16" s="96"/>
    </row>
    <row r="17" spans="1:43" s="10" customFormat="1" ht="15" customHeight="1" x14ac:dyDescent="0.4">
      <c r="A17" s="6">
        <v>2</v>
      </c>
      <c r="B17" s="6">
        <v>303</v>
      </c>
      <c r="C17" s="6" t="s">
        <v>79</v>
      </c>
      <c r="D17" s="18" t="s">
        <v>213</v>
      </c>
      <c r="E17" s="34" t="s">
        <v>18</v>
      </c>
      <c r="F17" s="6" t="s">
        <v>214</v>
      </c>
      <c r="G17" s="6" t="s">
        <v>43</v>
      </c>
      <c r="H17" s="6" t="s">
        <v>52</v>
      </c>
      <c r="I17" s="6" t="s">
        <v>84</v>
      </c>
      <c r="J17" s="6" t="s">
        <v>85</v>
      </c>
      <c r="K17" s="6" t="s">
        <v>60</v>
      </c>
      <c r="L17" s="6" t="s">
        <v>92</v>
      </c>
      <c r="M17" s="6" t="s">
        <v>45</v>
      </c>
      <c r="N17" s="6" t="s">
        <v>45</v>
      </c>
      <c r="O17" s="6" t="s">
        <v>23</v>
      </c>
      <c r="P17" s="6" t="s">
        <v>84</v>
      </c>
      <c r="Q17" s="6" t="s">
        <v>86</v>
      </c>
      <c r="R17" s="6">
        <v>600</v>
      </c>
      <c r="S17" s="6" t="s">
        <v>39</v>
      </c>
      <c r="T17" s="6">
        <v>900</v>
      </c>
      <c r="U17" s="6" t="s">
        <v>45</v>
      </c>
      <c r="V17" s="6" t="s">
        <v>84</v>
      </c>
      <c r="W17" s="6" t="s">
        <v>86</v>
      </c>
      <c r="X17" s="6" t="s">
        <v>60</v>
      </c>
      <c r="Y17" s="6" t="s">
        <v>87</v>
      </c>
      <c r="Z17" s="6" t="s">
        <v>515</v>
      </c>
      <c r="AA17" s="6" t="s">
        <v>39</v>
      </c>
      <c r="AB17" s="6" t="s">
        <v>88</v>
      </c>
      <c r="AC17" s="16" t="s">
        <v>45</v>
      </c>
      <c r="AD17" s="16" t="s">
        <v>45</v>
      </c>
      <c r="AE17" s="16" t="s">
        <v>116</v>
      </c>
      <c r="AF17" s="16" t="s">
        <v>50</v>
      </c>
      <c r="AG17" s="17" t="s">
        <v>60</v>
      </c>
      <c r="AH17" s="17" t="s">
        <v>62</v>
      </c>
      <c r="AI17" s="17" t="s">
        <v>45</v>
      </c>
      <c r="AJ17" s="17" t="s">
        <v>23</v>
      </c>
      <c r="AK17" s="17" t="s">
        <v>45</v>
      </c>
      <c r="AL17" s="78" t="s">
        <v>1405</v>
      </c>
      <c r="AM17" s="79"/>
      <c r="AN17" s="79"/>
      <c r="AO17" s="79"/>
      <c r="AP17" s="80"/>
    </row>
    <row r="18" spans="1:43" s="14" customFormat="1" ht="15" customHeight="1" x14ac:dyDescent="0.4">
      <c r="A18" s="11">
        <v>2</v>
      </c>
      <c r="B18" s="11">
        <v>403</v>
      </c>
      <c r="C18" s="11" t="s">
        <v>79</v>
      </c>
      <c r="D18" s="13" t="s">
        <v>206</v>
      </c>
      <c r="E18" s="33" t="s">
        <v>18</v>
      </c>
      <c r="F18" s="11" t="s">
        <v>207</v>
      </c>
      <c r="G18" s="11" t="s">
        <v>22</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516</v>
      </c>
      <c r="Z18" s="40"/>
      <c r="AA18" s="40" t="s">
        <v>39</v>
      </c>
      <c r="AB18" s="40" t="s">
        <v>19</v>
      </c>
      <c r="AC18" s="11" t="s">
        <v>45</v>
      </c>
      <c r="AD18" s="11" t="s">
        <v>45</v>
      </c>
      <c r="AE18" s="11" t="s">
        <v>50</v>
      </c>
      <c r="AF18" s="11" t="s">
        <v>50</v>
      </c>
      <c r="AG18" s="13" t="s">
        <v>60</v>
      </c>
      <c r="AH18" s="13" t="s">
        <v>62</v>
      </c>
      <c r="AI18" s="13" t="s">
        <v>45</v>
      </c>
      <c r="AJ18" s="13" t="s">
        <v>23</v>
      </c>
      <c r="AK18" s="13" t="s">
        <v>45</v>
      </c>
      <c r="AL18" s="94" t="s">
        <v>208</v>
      </c>
      <c r="AM18" s="95"/>
      <c r="AN18" s="95"/>
      <c r="AO18" s="95"/>
      <c r="AP18" s="96"/>
    </row>
    <row r="19" spans="1:43" s="10" customFormat="1" ht="31.5" customHeight="1" x14ac:dyDescent="0.4">
      <c r="A19" s="6">
        <v>2</v>
      </c>
      <c r="B19" s="6">
        <v>503</v>
      </c>
      <c r="C19" s="6" t="s">
        <v>79</v>
      </c>
      <c r="D19" s="18" t="s">
        <v>232</v>
      </c>
      <c r="E19" s="34" t="s">
        <v>18</v>
      </c>
      <c r="F19" s="6" t="s">
        <v>233</v>
      </c>
      <c r="G19" s="6" t="s">
        <v>22</v>
      </c>
      <c r="H19" s="6" t="s">
        <v>52</v>
      </c>
      <c r="I19" s="6" t="s">
        <v>84</v>
      </c>
      <c r="J19" s="6" t="s">
        <v>85</v>
      </c>
      <c r="K19" s="6" t="s">
        <v>60</v>
      </c>
      <c r="L19" s="6" t="s">
        <v>92</v>
      </c>
      <c r="M19" s="6" t="s">
        <v>23</v>
      </c>
      <c r="N19" s="6" t="s">
        <v>45</v>
      </c>
      <c r="O19" s="6" t="s">
        <v>23</v>
      </c>
      <c r="P19" s="6" t="s">
        <v>84</v>
      </c>
      <c r="Q19" s="6" t="s">
        <v>86</v>
      </c>
      <c r="R19" s="6">
        <v>740</v>
      </c>
      <c r="S19" s="6" t="s">
        <v>39</v>
      </c>
      <c r="T19" s="6">
        <v>900</v>
      </c>
      <c r="U19" s="6" t="s">
        <v>45</v>
      </c>
      <c r="V19" s="6" t="s">
        <v>84</v>
      </c>
      <c r="W19" s="6" t="s">
        <v>86</v>
      </c>
      <c r="X19" s="6" t="s">
        <v>60</v>
      </c>
      <c r="Y19" s="6" t="s">
        <v>87</v>
      </c>
      <c r="Z19" s="6" t="s">
        <v>517</v>
      </c>
      <c r="AA19" s="6" t="s">
        <v>39</v>
      </c>
      <c r="AB19" s="6" t="s">
        <v>19</v>
      </c>
      <c r="AC19" s="16" t="s">
        <v>45</v>
      </c>
      <c r="AD19" s="16" t="s">
        <v>45</v>
      </c>
      <c r="AE19" s="16" t="s">
        <v>116</v>
      </c>
      <c r="AF19" s="16" t="s">
        <v>50</v>
      </c>
      <c r="AG19" s="17" t="s">
        <v>60</v>
      </c>
      <c r="AH19" s="17" t="s">
        <v>62</v>
      </c>
      <c r="AI19" s="17" t="s">
        <v>45</v>
      </c>
      <c r="AJ19" s="17" t="s">
        <v>45</v>
      </c>
      <c r="AK19" s="17" t="s">
        <v>45</v>
      </c>
      <c r="AL19" s="106" t="s">
        <v>832</v>
      </c>
      <c r="AM19" s="79"/>
      <c r="AN19" s="79"/>
      <c r="AO19" s="79"/>
      <c r="AP19" s="80"/>
    </row>
    <row r="20" spans="1:43" s="14" customFormat="1" ht="15" customHeight="1" x14ac:dyDescent="0.4">
      <c r="A20" s="11">
        <v>2</v>
      </c>
      <c r="B20" s="11">
        <v>104</v>
      </c>
      <c r="C20" s="11" t="s">
        <v>79</v>
      </c>
      <c r="D20" s="13" t="s">
        <v>215</v>
      </c>
      <c r="E20" s="33" t="s">
        <v>18</v>
      </c>
      <c r="F20" s="11" t="s">
        <v>216</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87</v>
      </c>
      <c r="Z20" s="40" t="s">
        <v>518</v>
      </c>
      <c r="AA20" s="40" t="s">
        <v>39</v>
      </c>
      <c r="AB20" s="40" t="s">
        <v>19</v>
      </c>
      <c r="AC20" s="11" t="s">
        <v>45</v>
      </c>
      <c r="AD20" s="11" t="s">
        <v>45</v>
      </c>
      <c r="AE20" s="11" t="s">
        <v>50</v>
      </c>
      <c r="AF20" s="11" t="s">
        <v>50</v>
      </c>
      <c r="AG20" s="13" t="s">
        <v>60</v>
      </c>
      <c r="AH20" s="13" t="s">
        <v>62</v>
      </c>
      <c r="AI20" s="13" t="s">
        <v>23</v>
      </c>
      <c r="AJ20" s="13" t="s">
        <v>45</v>
      </c>
      <c r="AK20" s="13" t="s">
        <v>45</v>
      </c>
      <c r="AL20" s="94" t="s">
        <v>217</v>
      </c>
      <c r="AM20" s="95"/>
      <c r="AN20" s="95"/>
      <c r="AO20" s="95"/>
      <c r="AP20" s="96"/>
    </row>
    <row r="21" spans="1:43" s="10" customFormat="1" ht="15" customHeight="1" x14ac:dyDescent="0.4">
      <c r="A21" s="6">
        <v>2</v>
      </c>
      <c r="B21" s="6">
        <v>204</v>
      </c>
      <c r="C21" s="6" t="s">
        <v>79</v>
      </c>
      <c r="D21" s="18" t="s">
        <v>218</v>
      </c>
      <c r="E21" s="34" t="s">
        <v>18</v>
      </c>
      <c r="F21" s="6" t="s">
        <v>219</v>
      </c>
      <c r="G21" s="6" t="s">
        <v>22</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220</v>
      </c>
      <c r="Z21" s="6"/>
      <c r="AA21" s="6" t="s">
        <v>65</v>
      </c>
      <c r="AB21" s="6" t="s">
        <v>19</v>
      </c>
      <c r="AC21" s="16" t="s">
        <v>45</v>
      </c>
      <c r="AD21" s="16" t="s">
        <v>45</v>
      </c>
      <c r="AE21" s="16" t="s">
        <v>50</v>
      </c>
      <c r="AF21" s="16" t="s">
        <v>50</v>
      </c>
      <c r="AG21" s="17" t="s">
        <v>60</v>
      </c>
      <c r="AH21" s="17" t="s">
        <v>62</v>
      </c>
      <c r="AI21" s="17" t="s">
        <v>45</v>
      </c>
      <c r="AJ21" s="17" t="s">
        <v>45</v>
      </c>
      <c r="AK21" s="17" t="s">
        <v>45</v>
      </c>
      <c r="AL21" s="78" t="s">
        <v>221</v>
      </c>
      <c r="AM21" s="79"/>
      <c r="AN21" s="79"/>
      <c r="AO21" s="79"/>
      <c r="AP21" s="80"/>
    </row>
    <row r="22" spans="1:43" s="14" customFormat="1" ht="15" customHeight="1" x14ac:dyDescent="0.4">
      <c r="A22" s="11">
        <v>2</v>
      </c>
      <c r="B22" s="11">
        <v>304</v>
      </c>
      <c r="C22" s="11" t="s">
        <v>79</v>
      </c>
      <c r="D22" s="13" t="s">
        <v>506</v>
      </c>
      <c r="E22" s="33" t="s">
        <v>18</v>
      </c>
      <c r="F22" s="11" t="s">
        <v>222</v>
      </c>
      <c r="G22" s="11" t="s">
        <v>43</v>
      </c>
      <c r="H22" s="11" t="s">
        <v>52</v>
      </c>
      <c r="I22" s="11" t="s">
        <v>84</v>
      </c>
      <c r="J22" s="11" t="s">
        <v>85</v>
      </c>
      <c r="K22" s="11" t="s">
        <v>19</v>
      </c>
      <c r="L22" s="11" t="s">
        <v>92</v>
      </c>
      <c r="M22" s="11" t="s">
        <v>45</v>
      </c>
      <c r="N22" s="11" t="s">
        <v>45</v>
      </c>
      <c r="O22" s="11" t="s">
        <v>23</v>
      </c>
      <c r="P22" s="11" t="s">
        <v>84</v>
      </c>
      <c r="Q22" s="11" t="s">
        <v>86</v>
      </c>
      <c r="R22" s="11">
        <v>750</v>
      </c>
      <c r="S22" s="40" t="s">
        <v>39</v>
      </c>
      <c r="T22" s="11">
        <v>900</v>
      </c>
      <c r="U22" s="11" t="s">
        <v>45</v>
      </c>
      <c r="V22" s="11" t="s">
        <v>84</v>
      </c>
      <c r="W22" s="11" t="s">
        <v>86</v>
      </c>
      <c r="X22" s="40" t="s">
        <v>19</v>
      </c>
      <c r="Y22" s="40" t="s">
        <v>93</v>
      </c>
      <c r="Z22" s="40"/>
      <c r="AA22" s="40" t="s">
        <v>39</v>
      </c>
      <c r="AB22" s="40" t="s">
        <v>19</v>
      </c>
      <c r="AC22" s="11" t="s">
        <v>45</v>
      </c>
      <c r="AD22" s="11" t="s">
        <v>45</v>
      </c>
      <c r="AE22" s="11" t="s">
        <v>50</v>
      </c>
      <c r="AF22" s="11" t="s">
        <v>50</v>
      </c>
      <c r="AG22" s="13" t="s">
        <v>60</v>
      </c>
      <c r="AH22" s="13" t="s">
        <v>62</v>
      </c>
      <c r="AI22" s="13" t="s">
        <v>23</v>
      </c>
      <c r="AJ22" s="13" t="s">
        <v>23</v>
      </c>
      <c r="AK22" s="13" t="s">
        <v>23</v>
      </c>
      <c r="AL22" s="94" t="s">
        <v>223</v>
      </c>
      <c r="AM22" s="95"/>
      <c r="AN22" s="95"/>
      <c r="AO22" s="95"/>
      <c r="AP22" s="96"/>
    </row>
    <row r="23" spans="1:43" s="10" customFormat="1" ht="15" customHeight="1" x14ac:dyDescent="0.4">
      <c r="A23" s="6">
        <v>2</v>
      </c>
      <c r="B23" s="6">
        <v>404</v>
      </c>
      <c r="C23" s="6" t="s">
        <v>79</v>
      </c>
      <c r="D23" s="18" t="s">
        <v>224</v>
      </c>
      <c r="E23" s="34" t="s">
        <v>18</v>
      </c>
      <c r="F23" s="6" t="s">
        <v>225</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87</v>
      </c>
      <c r="Z23" s="6" t="s">
        <v>226</v>
      </c>
      <c r="AA23" s="6" t="s">
        <v>39</v>
      </c>
      <c r="AB23" s="6" t="s">
        <v>88</v>
      </c>
      <c r="AC23" s="16" t="s">
        <v>45</v>
      </c>
      <c r="AD23" s="16" t="s">
        <v>45</v>
      </c>
      <c r="AE23" s="16" t="s">
        <v>50</v>
      </c>
      <c r="AF23" s="16" t="s">
        <v>50</v>
      </c>
      <c r="AG23" s="17" t="s">
        <v>60</v>
      </c>
      <c r="AH23" s="17" t="s">
        <v>62</v>
      </c>
      <c r="AI23" s="17" t="s">
        <v>45</v>
      </c>
      <c r="AJ23" s="17" t="s">
        <v>23</v>
      </c>
      <c r="AK23" s="17" t="s">
        <v>45</v>
      </c>
      <c r="AL23" s="78" t="s">
        <v>1210</v>
      </c>
      <c r="AM23" s="79"/>
      <c r="AN23" s="79"/>
      <c r="AO23" s="79"/>
      <c r="AP23" s="80"/>
    </row>
    <row r="24" spans="1:43" s="14" customFormat="1" ht="15" customHeight="1" x14ac:dyDescent="0.4">
      <c r="A24" s="11">
        <v>2</v>
      </c>
      <c r="B24" s="11">
        <v>504</v>
      </c>
      <c r="C24" s="11" t="s">
        <v>79</v>
      </c>
      <c r="D24" s="13" t="s">
        <v>227</v>
      </c>
      <c r="E24" s="33" t="s">
        <v>18</v>
      </c>
      <c r="F24" s="11" t="s">
        <v>228</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56">
        <v>900</v>
      </c>
      <c r="U24" s="11" t="s">
        <v>45</v>
      </c>
      <c r="V24" s="11" t="s">
        <v>84</v>
      </c>
      <c r="W24" s="11" t="s">
        <v>86</v>
      </c>
      <c r="X24" s="40" t="s">
        <v>60</v>
      </c>
      <c r="Y24" s="40" t="s">
        <v>229</v>
      </c>
      <c r="Z24" s="40"/>
      <c r="AA24" s="40" t="s">
        <v>39</v>
      </c>
      <c r="AB24" s="40" t="s">
        <v>19</v>
      </c>
      <c r="AC24" s="11" t="s">
        <v>45</v>
      </c>
      <c r="AD24" s="11" t="s">
        <v>45</v>
      </c>
      <c r="AE24" s="11" t="s">
        <v>116</v>
      </c>
      <c r="AF24" s="11" t="s">
        <v>50</v>
      </c>
      <c r="AG24" s="13" t="s">
        <v>60</v>
      </c>
      <c r="AH24" s="13" t="s">
        <v>62</v>
      </c>
      <c r="AI24" s="13" t="s">
        <v>45</v>
      </c>
      <c r="AJ24" s="13" t="s">
        <v>45</v>
      </c>
      <c r="AK24" s="13" t="s">
        <v>45</v>
      </c>
      <c r="AL24" s="94" t="s">
        <v>1211</v>
      </c>
      <c r="AM24" s="95"/>
      <c r="AN24" s="95"/>
      <c r="AO24" s="95"/>
      <c r="AP24" s="96"/>
    </row>
    <row r="25" spans="1:43" s="2" customFormat="1" ht="11.25" customHeight="1" x14ac:dyDescent="0.4">
      <c r="A25" s="118" t="s">
        <v>12</v>
      </c>
      <c r="B25" s="119"/>
      <c r="C25" s="119"/>
      <c r="D25" s="119"/>
      <c r="E25" s="120"/>
      <c r="F25" s="136">
        <f>COUNTA(D5:D24)</f>
        <v>20</v>
      </c>
      <c r="G25" s="20" t="str">
        <f>"所有→"&amp;COUNTIF(G5:G24,"所有")&amp;"戸"</f>
        <v>所有→17戸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既存→1戸</v>
      </c>
      <c r="L25" s="20" t="str">
        <f>"普通便座→"&amp;COUNTIF(L5:L24,"普通便座")&amp;"戸"</f>
        <v>普通便座→0戸</v>
      </c>
      <c r="M25" s="20" t="str">
        <f>"有→"&amp;COUNTIF(M5:M24,"有")&amp;"戸"</f>
        <v>有→2戸</v>
      </c>
      <c r="N25" s="20" t="str">
        <f>"有→"&amp;COUNTIF(N5:N24,"有")&amp;"戸"</f>
        <v>有→1戸</v>
      </c>
      <c r="O25" s="20" t="str">
        <f>"有→"&amp;COUNTIF(O5:O24,"有")&amp;"戸"</f>
        <v>有→19戸</v>
      </c>
      <c r="P25" s="20" t="str">
        <f>"クロス→"&amp;COUNTIF(P5:P24,"クロス")&amp;"戸"</f>
        <v>クロス→20戸</v>
      </c>
      <c r="Q25" s="20" t="str">
        <f>"CF→"&amp;COUNTIF(Q5:Q24,"CF")&amp;"戸"</f>
        <v>CF→20戸</v>
      </c>
      <c r="R25" s="20" t="str">
        <f>"1000→"&amp;COUNTIF(R5:R24,"1000")&amp;"戸"</f>
        <v>1000→0戸</v>
      </c>
      <c r="S25" s="20" t="str">
        <f>"可→"&amp;COUNTIF(S5:S24,"可")&amp;"戸"</f>
        <v>可→20戸</v>
      </c>
      <c r="T25" s="36" t="str">
        <f>"900→"&amp;COUNTIF(T5:T24,"900")&amp;"戸"</f>
        <v>900→18戸</v>
      </c>
      <c r="U25" s="20" t="str">
        <f>"有→"&amp;COUNTIF(U5:U24,"有")&amp;"戸"</f>
        <v>有→0戸</v>
      </c>
      <c r="V25" s="20" t="str">
        <f>"クロス→"&amp;COUNTIF(V5:V24,"クロス")&amp;"戸"</f>
        <v>クロス→20戸</v>
      </c>
      <c r="W25" s="20" t="str">
        <f>"CF→"&amp;COUNTIF(W5:W24,"CF")&amp;"戸"</f>
        <v>CF→20戸</v>
      </c>
      <c r="X25" s="20" t="str">
        <f>"既存→"&amp;COUNTIF(X5:X24,"既存")&amp;"戸"</f>
        <v>既存→3戸</v>
      </c>
      <c r="Y25" s="20" t="str">
        <f>"TOTO→"&amp;COUNTIF(Y5:Y24,"TOTO")&amp;"戸"</f>
        <v>TOTO→11戸</v>
      </c>
      <c r="Z25" s="130">
        <f>COUNTA(Z5:Z24)</f>
        <v>12</v>
      </c>
      <c r="AA25" s="20" t="str">
        <f>"可→"&amp;COUNTIF(AA5:AA24,"可")&amp;"戸"</f>
        <v>可→17戸</v>
      </c>
      <c r="AB25" s="20" t="str">
        <f>"既存→"&amp;COUNTIF(AB5:AB24,"既存")&amp;"戸"</f>
        <v>既存→9戸</v>
      </c>
      <c r="AC25" s="130">
        <f>COUNTIF(AC5:AC24,"有")</f>
        <v>1</v>
      </c>
      <c r="AD25" s="130">
        <f>COUNTIF(AD5:AD24,"有")</f>
        <v>4</v>
      </c>
      <c r="AE25" s="20" t="str">
        <f>"ポリ板→"&amp;COUNTIF(AE5:AE24,"ポリ板")&amp;"戸"</f>
        <v>ポリ板→14戸</v>
      </c>
      <c r="AF25" s="20" t="str">
        <f>"ポリ板→"&amp;COUNTIF(AF5:AF24,"ポリ板")&amp;"戸"</f>
        <v>ポリ板→20戸</v>
      </c>
      <c r="AG25" s="20" t="str">
        <f>"既存→"&amp;COUNTIF(AG5:AG24,"既存")&amp;"戸"</f>
        <v>既存→0戸</v>
      </c>
      <c r="AH25" s="20" t="str">
        <f>"洗面所→"&amp;COUNTIF(AH5:AH24,"洗面所")&amp;"戸"</f>
        <v>洗面所→18戸</v>
      </c>
      <c r="AI25" s="130">
        <f>COUNTIF(AI5:AI24,"有")</f>
        <v>5</v>
      </c>
      <c r="AJ25" s="130">
        <f>COUNTIF(AJ5:AJ24,"有")</f>
        <v>10</v>
      </c>
      <c r="AK25" s="130">
        <f>COUNTIF(AK5:AK24,"有")</f>
        <v>4</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賃貸→3戸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無→18戸</v>
      </c>
      <c r="N26" s="35" t="str">
        <f>"無→"&amp;COUNTIF(N5:N24,"無")&amp;"戸"</f>
        <v>無→19戸</v>
      </c>
      <c r="O26" s="35" t="str">
        <f>"無→"&amp;COUNTIF(O5:O24,"無")&amp;"戸"</f>
        <v>無→1戸</v>
      </c>
      <c r="P26" s="35" t="str">
        <f>"珪藻土→"&amp;COUNTIF(P5:P24,"珪藻土")&amp;"戸"</f>
        <v>珪藻土→0戸</v>
      </c>
      <c r="Q26" s="35" t="str">
        <f>"塩ビタイル→"&amp;COUNTIF(Q5:Q24,"塩ビタイル")&amp;"戸"</f>
        <v>塩ビタイル→0戸</v>
      </c>
      <c r="R26" s="35" t="str">
        <f>"900→"&amp;COUNTIF(R5:R24,"900")&amp;"戸"</f>
        <v>900→1戸</v>
      </c>
      <c r="S26" s="35" t="str">
        <f>"不可→"&amp;COUNTIF(S5:S24,"不可")&amp;"戸"</f>
        <v>不可→0戸</v>
      </c>
      <c r="T26" s="35" t="str">
        <f>"800→"&amp;COUNTIF(T5:T24,"800")&amp;"戸"</f>
        <v>800→1戸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リフォーム済み→17戸</v>
      </c>
      <c r="Y26" s="35" t="str">
        <f>"LIXIL→"&amp;COUNTIF(Y5:Y24,"LIXIL")&amp;"戸"</f>
        <v>LIXIL→2戸</v>
      </c>
      <c r="Z26" s="131"/>
      <c r="AA26" s="35" t="str">
        <f>"不可→"&amp;COUNTIF(AA5:AA24,"不可")&amp;"戸"</f>
        <v>不可→3戸</v>
      </c>
      <c r="AB26" s="36" t="str">
        <f>"システム→"&amp;COUNTIF(AB5:AB24,"システム")&amp;"戸"</f>
        <v>システム→11戸</v>
      </c>
      <c r="AC26" s="131"/>
      <c r="AD26" s="131"/>
      <c r="AE26" s="35" t="str">
        <f>"SUS→"&amp;COUNTIF(AE5:AE24,"SUS")&amp;"戸"</f>
        <v>SUS→6戸</v>
      </c>
      <c r="AF26" s="35" t="str">
        <f>"SUS→"&amp;COUNTIF(AF5:AF24,"SUS")&amp;"戸"</f>
        <v>SUS→0戸</v>
      </c>
      <c r="AG26" s="35" t="str">
        <f>"リフォーム済み→"&amp;COUNTIF(AG5:AG24,"リフォーム済み")&amp;"戸"</f>
        <v>リフォーム済み→20戸</v>
      </c>
      <c r="AH26" s="35" t="str">
        <f>"ベランダ→"&amp;COUNTIF(AH5:AH24,"ベランダ")&amp;"戸"</f>
        <v>ベランダ→2戸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WL→20戸</v>
      </c>
      <c r="M27" s="23"/>
      <c r="N27" s="23"/>
      <c r="O27" s="23"/>
      <c r="P27" s="35" t="str">
        <f>"塗装→"&amp;COUNTIF(P5:P24,"塗装")&amp;"戸"</f>
        <v>塗装→0戸</v>
      </c>
      <c r="Q27" s="35" t="str">
        <f>"フローリング→"&amp;COUNTIF(Q5:Q24,"フローリング")&amp;"戸"</f>
        <v>フローリング→0戸</v>
      </c>
      <c r="R27" s="35" t="str">
        <f>"750→"&amp;COUNTIF(R5:R24,"750")&amp;"戸"</f>
        <v>750→12戸</v>
      </c>
      <c r="S27" s="35"/>
      <c r="T27" s="35" t="str">
        <f>"740→"&amp;COUNTIF(T5:T24,"740")&amp;"戸"</f>
        <v>740→1戸</v>
      </c>
      <c r="U27" s="23"/>
      <c r="V27" s="35" t="str">
        <f>"塗装→"&amp;COUNTIF(V5:V24,"塗装")&amp;"戸"</f>
        <v>塗装→0戸</v>
      </c>
      <c r="W27" s="35" t="str">
        <f>"フローリング→"&amp;COUNTIF(W5:W24,"フローリング")&amp;"戸"</f>
        <v>フローリング→0戸</v>
      </c>
      <c r="X27" s="35"/>
      <c r="Y27" s="35" t="str">
        <f>"日立→"&amp;COUNTIF(Y5:Y24,"日立")&amp;"戸"</f>
        <v>日立→2戸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35" t="str">
        <f>"空家→"&amp;COUNTIF(G5:G24,"空家")&amp;"戸"</f>
        <v>空家→0戸</v>
      </c>
      <c r="H28" s="39"/>
      <c r="I28" s="28"/>
      <c r="J28" s="27"/>
      <c r="K28" s="35" t="str">
        <f>"一体型→"&amp;COUNTIF(K5:K24,"一体型")&amp;"戸"</f>
        <v>一体型→0戸</v>
      </c>
      <c r="L28" s="28"/>
      <c r="M28" s="28"/>
      <c r="N28" s="28"/>
      <c r="O28" s="28"/>
      <c r="P28" s="28"/>
      <c r="Q28" s="28"/>
      <c r="R28" s="35" t="str">
        <f>"600→"&amp;COUNTIF(R5:R24,"600")&amp;"戸"</f>
        <v>600→1戸</v>
      </c>
      <c r="S28" s="27"/>
      <c r="T28" s="35" t="str">
        <f>"640→"&amp;COUNTIF(T5:T24,"640")&amp;"戸"</f>
        <v>640→0戸</v>
      </c>
      <c r="U28" s="28"/>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1"/>
    </row>
    <row r="29" spans="1:43" s="2" customFormat="1" x14ac:dyDescent="0.4">
      <c r="A29" s="31"/>
      <c r="AI29" s="37"/>
      <c r="AJ29" s="37"/>
      <c r="AQ29" s="1"/>
    </row>
  </sheetData>
  <autoFilter ref="AI3:AK28" xr:uid="{68445D2E-E232-446A-BFB2-81B2DCD12278}"/>
  <mergeCells count="47">
    <mergeCell ref="A25:E28"/>
    <mergeCell ref="F25:F28"/>
    <mergeCell ref="AL25:AP28"/>
    <mergeCell ref="AL21:AP21"/>
    <mergeCell ref="AL22:AP22"/>
    <mergeCell ref="AL23:AP23"/>
    <mergeCell ref="AL24:AP24"/>
    <mergeCell ref="Z25:Z28"/>
    <mergeCell ref="AC25:AC28"/>
    <mergeCell ref="AI25:AI28"/>
    <mergeCell ref="AJ25:AJ28"/>
    <mergeCell ref="AK25:AK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017929D2-D421-42B9-8C53-51537B8A1F47}"/>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56" man="1"/>
  </colBreaks>
  <extLst>
    <ext xmlns:x14="http://schemas.microsoft.com/office/spreadsheetml/2009/9/main" uri="{CCE6A557-97BC-4b89-ADB6-D9C93CAAB3DF}">
      <x14:dataValidations xmlns:xm="http://schemas.microsoft.com/office/excel/2006/main" count="17">
        <x14:dataValidation type="list" allowBlank="1" showInputMessage="1" showErrorMessage="1" xr:uid="{41F64441-48CA-4D7F-80F0-02EA6B20C9B6}">
          <x14:formula1>
            <xm:f>Sheet1!$G$6:$G$7</xm:f>
          </x14:formula1>
          <xm:sqref>S5:S24 AA5:AA24</xm:sqref>
        </x14:dataValidation>
        <x14:dataValidation type="list" allowBlank="1" showInputMessage="1" showErrorMessage="1" xr:uid="{9E2258D2-10FD-4257-99CB-74301EA03794}">
          <x14:formula1>
            <xm:f>Sheet1!$I$1:$I$2</xm:f>
          </x14:formula1>
          <xm:sqref>X5:X24</xm:sqref>
        </x14:dataValidation>
        <x14:dataValidation type="list" allowBlank="1" showInputMessage="1" showErrorMessage="1" xr:uid="{F1FBD733-3172-463E-8EF0-CC4A539D7C47}">
          <x14:formula1>
            <xm:f>Sheet1!$G$17:$G$18</xm:f>
          </x14:formula1>
          <xm:sqref>AH5:AH24</xm:sqref>
        </x14:dataValidation>
        <x14:dataValidation type="list" allowBlank="1" showInputMessage="1" showErrorMessage="1" xr:uid="{6B1A71B9-08CA-40BB-9400-E3ADB4D132C8}">
          <x14:formula1>
            <xm:f>Sheet1!$E$17:$E$18</xm:f>
          </x14:formula1>
          <xm:sqref>AG5:AG24</xm:sqref>
        </x14:dataValidation>
        <x14:dataValidation type="list" allowBlank="1" showInputMessage="1" showErrorMessage="1" xr:uid="{F18FCA5C-1FBB-4A26-B182-2B5C6E329E37}">
          <x14:formula1>
            <xm:f>Sheet1!$G$1:$G$4</xm:f>
          </x14:formula1>
          <xm:sqref>AE5:AF24</xm:sqref>
        </x14:dataValidation>
        <x14:dataValidation type="list" allowBlank="1" showInputMessage="1" showErrorMessage="1" xr:uid="{ED9B9871-B731-4CC1-88DA-8EC215E42048}">
          <x14:formula1>
            <xm:f>Sheet1!$A$13:$A$15</xm:f>
          </x14:formula1>
          <xm:sqref>AB5:AB24</xm:sqref>
        </x14:dataValidation>
        <x14:dataValidation type="list" allowBlank="1" showInputMessage="1" showErrorMessage="1" xr:uid="{DDCAECDC-3E07-4F96-ABEA-6AA600BEF421}">
          <x14:formula1>
            <xm:f>Sheet1!$C$17:$C$20</xm:f>
          </x14:formula1>
          <xm:sqref>T5:T24</xm:sqref>
        </x14:dataValidation>
        <x14:dataValidation type="list" allowBlank="1" showInputMessage="1" showErrorMessage="1" xr:uid="{A2129707-4889-43AD-B288-AEB641B9243B}">
          <x14:formula1>
            <xm:f>Sheet1!$A$17:$A$20</xm:f>
          </x14:formula1>
          <xm:sqref>R9:R10 R20:R24 R12:R18</xm:sqref>
        </x14:dataValidation>
        <x14:dataValidation type="list" allowBlank="1" showInputMessage="1" showErrorMessage="1" xr:uid="{A074BA52-BD03-4701-99D1-41DD43AF4B1C}">
          <x14:formula1>
            <xm:f>Sheet1!$C$6:$C$7</xm:f>
          </x14:formula1>
          <xm:sqref>M5:O24 AC5:AD24 U5:U24 AJ5:AK24 AI5:AI14 AI16:AI24</xm:sqref>
        </x14:dataValidation>
        <x14:dataValidation type="list" allowBlank="1" showInputMessage="1" showErrorMessage="1" xr:uid="{295B70F9-1787-4D10-8A50-38B1DAF3DD0B}">
          <x14:formula1>
            <xm:f>Sheet1!$E$9:$E$11</xm:f>
          </x14:formula1>
          <xm:sqref>L5:L24</xm:sqref>
        </x14:dataValidation>
        <x14:dataValidation type="list" allowBlank="1" showInputMessage="1" showErrorMessage="1" xr:uid="{6737E3A3-6F7A-49B2-A366-5FD8FF646110}">
          <x14:formula1>
            <xm:f>Sheet1!$G$9:$G$12</xm:f>
          </x14:formula1>
          <xm:sqref>K5:K24</xm:sqref>
        </x14:dataValidation>
        <x14:dataValidation type="list" allowBlank="1" showInputMessage="1" showErrorMessage="1" xr:uid="{843323C2-115D-4D5E-8CB2-C5B84BE9F7F3}">
          <x14:formula1>
            <xm:f>Sheet1!$D$1:$D$3</xm:f>
          </x14:formula1>
          <xm:sqref>J5:J24</xm:sqref>
        </x14:dataValidation>
        <x14:dataValidation type="list" allowBlank="1" showInputMessage="1" showErrorMessage="1" xr:uid="{9340DFD0-4157-47BF-A368-CB7C3ACA1421}">
          <x14:formula1>
            <xm:f>Sheet1!$A$9:$A$11</xm:f>
          </x14:formula1>
          <xm:sqref>V5:V24 P5:P24 I5:I24</xm:sqref>
        </x14:dataValidation>
        <x14:dataValidation type="list" allowBlank="1" showInputMessage="1" showErrorMessage="1" xr:uid="{232A1264-5E38-4AAB-868B-1F6FB94B8B98}">
          <x14:formula1>
            <xm:f>Sheet1!$A$6:$A$7</xm:f>
          </x14:formula1>
          <xm:sqref>H5:H24</xm:sqref>
        </x14:dataValidation>
        <x14:dataValidation type="list" allowBlank="1" showInputMessage="1" showErrorMessage="1" xr:uid="{D2DF020D-6D8C-45D8-BE22-D005065FF15A}">
          <x14:formula1>
            <xm:f>Sheet1!$A$1:$A$4</xm:f>
          </x14:formula1>
          <xm:sqref>G5:G24</xm:sqref>
        </x14:dataValidation>
        <x14:dataValidation type="list" allowBlank="1" showInputMessage="1" showErrorMessage="1" xr:uid="{13C6FB34-E29E-4616-A4A5-6D0DECC628DC}">
          <x14:formula1>
            <xm:f>Sheet1!$C$9:$C$11</xm:f>
          </x14:formula1>
          <xm:sqref>Q5:Q24 W5:W24</xm:sqref>
        </x14:dataValidation>
        <x14:dataValidation type="list" allowBlank="1" showInputMessage="1" showErrorMessage="1" xr:uid="{3F38AC95-9B3F-4691-BC29-70FE5A56E522}">
          <x14:formula1>
            <xm:f>Sheet1!$I$9:$I$14</xm:f>
          </x14:formula1>
          <xm:sqref>Y5:Y24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E25DF-4D98-44A6-BE2D-EAAB731D59EF}">
  <sheetPr codeName="Sheet3">
    <tabColor rgb="FF92D050"/>
  </sheetPr>
  <dimension ref="A1:AT29"/>
  <sheetViews>
    <sheetView view="pageBreakPreview" zoomScale="112" zoomScaleNormal="40" zoomScaleSheetLayoutView="112" workbookViewId="0">
      <pane xSplit="5" ySplit="4" topLeftCell="F20" activePane="bottomRight" state="frozen"/>
      <selection activeCell="N11" sqref="N11"/>
      <selection pane="topRight" activeCell="N11" sqref="N11"/>
      <selection pane="bottomLeft" activeCell="N11" sqref="N11"/>
      <selection pane="bottomRight" activeCell="AI10" sqref="AI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39" t="s">
        <v>1214</v>
      </c>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988</v>
      </c>
      <c r="P4" s="5" t="s">
        <v>16</v>
      </c>
      <c r="Q4" s="5" t="s">
        <v>15</v>
      </c>
      <c r="R4" s="5" t="s">
        <v>9</v>
      </c>
      <c r="S4" s="5" t="s">
        <v>66</v>
      </c>
      <c r="T4" s="5" t="s">
        <v>10</v>
      </c>
      <c r="U4" s="5" t="s">
        <v>17</v>
      </c>
      <c r="V4" s="5" t="s">
        <v>16</v>
      </c>
      <c r="W4" s="5" t="s">
        <v>15</v>
      </c>
      <c r="X4" s="5" t="s">
        <v>68</v>
      </c>
      <c r="Y4" s="5" t="s">
        <v>73</v>
      </c>
      <c r="Z4" s="5" t="s">
        <v>74</v>
      </c>
      <c r="AA4" s="5" t="s">
        <v>64</v>
      </c>
      <c r="AB4" s="4" t="s">
        <v>2</v>
      </c>
      <c r="AC4" s="3" t="s">
        <v>11</v>
      </c>
      <c r="AD4" s="3" t="s">
        <v>2664</v>
      </c>
      <c r="AE4" s="3" t="s">
        <v>55</v>
      </c>
      <c r="AF4" s="3" t="s">
        <v>56</v>
      </c>
      <c r="AG4" s="3" t="s">
        <v>2</v>
      </c>
      <c r="AH4" s="3" t="s">
        <v>61</v>
      </c>
      <c r="AI4" s="98"/>
      <c r="AJ4" s="100"/>
      <c r="AK4" s="100"/>
      <c r="AL4" s="89"/>
      <c r="AM4" s="102"/>
      <c r="AN4" s="102"/>
      <c r="AO4" s="102"/>
      <c r="AP4" s="90"/>
      <c r="AQ4" s="139"/>
    </row>
    <row r="5" spans="1:46" s="10" customFormat="1" ht="31.5" customHeight="1" x14ac:dyDescent="0.4">
      <c r="A5" s="6">
        <v>3</v>
      </c>
      <c r="B5" s="6">
        <v>101</v>
      </c>
      <c r="C5" s="6" t="s">
        <v>79</v>
      </c>
      <c r="D5" s="18" t="s">
        <v>256</v>
      </c>
      <c r="E5" s="32" t="s">
        <v>235</v>
      </c>
      <c r="F5" s="46" t="s">
        <v>257</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84</v>
      </c>
      <c r="W5" s="6" t="s">
        <v>86</v>
      </c>
      <c r="X5" s="16" t="s">
        <v>60</v>
      </c>
      <c r="Y5" s="16" t="s">
        <v>87</v>
      </c>
      <c r="Z5" s="6" t="s">
        <v>519</v>
      </c>
      <c r="AA5" s="16" t="s">
        <v>39</v>
      </c>
      <c r="AB5" s="7" t="s">
        <v>88</v>
      </c>
      <c r="AC5" s="8" t="s">
        <v>45</v>
      </c>
      <c r="AD5" s="8" t="s">
        <v>23</v>
      </c>
      <c r="AE5" s="8" t="s">
        <v>116</v>
      </c>
      <c r="AF5" s="16" t="s">
        <v>116</v>
      </c>
      <c r="AG5" s="17" t="s">
        <v>19</v>
      </c>
      <c r="AH5" s="17" t="s">
        <v>62</v>
      </c>
      <c r="AI5" s="17" t="s">
        <v>45</v>
      </c>
      <c r="AJ5" s="17" t="s">
        <v>45</v>
      </c>
      <c r="AK5" s="9" t="s">
        <v>23</v>
      </c>
      <c r="AL5" s="103" t="s">
        <v>258</v>
      </c>
      <c r="AM5" s="104"/>
      <c r="AN5" s="104"/>
      <c r="AO5" s="104"/>
      <c r="AP5" s="105"/>
    </row>
    <row r="6" spans="1:46" s="14" customFormat="1" ht="15" customHeight="1" x14ac:dyDescent="0.4">
      <c r="A6" s="11">
        <v>3</v>
      </c>
      <c r="B6" s="11">
        <v>201</v>
      </c>
      <c r="C6" s="11" t="s">
        <v>79</v>
      </c>
      <c r="D6" s="13" t="s">
        <v>234</v>
      </c>
      <c r="E6" s="33" t="s">
        <v>18</v>
      </c>
      <c r="F6" s="11" t="s">
        <v>236</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520</v>
      </c>
      <c r="AA6" s="40" t="s">
        <v>39</v>
      </c>
      <c r="AB6" s="12" t="s">
        <v>88</v>
      </c>
      <c r="AC6" s="11" t="s">
        <v>45</v>
      </c>
      <c r="AD6" s="11" t="s">
        <v>23</v>
      </c>
      <c r="AE6" s="11" t="s">
        <v>50</v>
      </c>
      <c r="AF6" s="11" t="s">
        <v>50</v>
      </c>
      <c r="AG6" s="13" t="s">
        <v>60</v>
      </c>
      <c r="AH6" s="13" t="s">
        <v>62</v>
      </c>
      <c r="AI6" s="13" t="s">
        <v>45</v>
      </c>
      <c r="AJ6" s="13" t="s">
        <v>45</v>
      </c>
      <c r="AK6" s="13" t="s">
        <v>45</v>
      </c>
      <c r="AL6" s="94" t="s">
        <v>237</v>
      </c>
      <c r="AM6" s="95"/>
      <c r="AN6" s="95"/>
      <c r="AO6" s="95"/>
      <c r="AP6" s="96"/>
    </row>
    <row r="7" spans="1:46" s="10" customFormat="1" ht="15" customHeight="1" x14ac:dyDescent="0.4">
      <c r="A7" s="6">
        <v>3</v>
      </c>
      <c r="B7" s="6">
        <v>301</v>
      </c>
      <c r="C7" s="6" t="s">
        <v>79</v>
      </c>
      <c r="D7" s="18" t="s">
        <v>238</v>
      </c>
      <c r="E7" s="34" t="s">
        <v>239</v>
      </c>
      <c r="F7" s="6" t="s">
        <v>240</v>
      </c>
      <c r="G7" s="6" t="s">
        <v>43</v>
      </c>
      <c r="H7" s="6" t="s">
        <v>52</v>
      </c>
      <c r="I7" s="6" t="s">
        <v>84</v>
      </c>
      <c r="J7" s="6" t="s">
        <v>85</v>
      </c>
      <c r="K7" s="6" t="s">
        <v>60</v>
      </c>
      <c r="L7" s="6" t="s">
        <v>92</v>
      </c>
      <c r="M7" s="6" t="s">
        <v>45</v>
      </c>
      <c r="N7" s="6" t="s">
        <v>45</v>
      </c>
      <c r="O7" s="6" t="s">
        <v>23</v>
      </c>
      <c r="P7" s="6" t="s">
        <v>84</v>
      </c>
      <c r="Q7" s="6" t="s">
        <v>86</v>
      </c>
      <c r="R7" s="6">
        <v>740</v>
      </c>
      <c r="S7" s="6" t="s">
        <v>39</v>
      </c>
      <c r="T7" s="6">
        <v>900</v>
      </c>
      <c r="U7" s="6" t="s">
        <v>45</v>
      </c>
      <c r="V7" s="6" t="s">
        <v>84</v>
      </c>
      <c r="W7" s="6" t="s">
        <v>86</v>
      </c>
      <c r="X7" s="6" t="s">
        <v>60</v>
      </c>
      <c r="Y7" s="6" t="s">
        <v>261</v>
      </c>
      <c r="Z7" s="6"/>
      <c r="AA7" s="6" t="s">
        <v>39</v>
      </c>
      <c r="AB7" s="15" t="s">
        <v>88</v>
      </c>
      <c r="AC7" s="16" t="s">
        <v>23</v>
      </c>
      <c r="AD7" s="16" t="s">
        <v>23</v>
      </c>
      <c r="AE7" s="16" t="s">
        <v>50</v>
      </c>
      <c r="AF7" s="16" t="s">
        <v>50</v>
      </c>
      <c r="AG7" s="17" t="s">
        <v>60</v>
      </c>
      <c r="AH7" s="17" t="s">
        <v>62</v>
      </c>
      <c r="AI7" s="17" t="s">
        <v>241</v>
      </c>
      <c r="AJ7" s="17" t="s">
        <v>45</v>
      </c>
      <c r="AK7" s="17" t="s">
        <v>45</v>
      </c>
      <c r="AL7" s="78" t="s">
        <v>1212</v>
      </c>
      <c r="AM7" s="79"/>
      <c r="AN7" s="79"/>
      <c r="AO7" s="79"/>
      <c r="AP7" s="80"/>
    </row>
    <row r="8" spans="1:46" s="14" customFormat="1" ht="15" customHeight="1" x14ac:dyDescent="0.4">
      <c r="A8" s="11">
        <v>3</v>
      </c>
      <c r="B8" s="11">
        <v>401</v>
      </c>
      <c r="C8" s="11" t="s">
        <v>79</v>
      </c>
      <c r="D8" s="13" t="s">
        <v>242</v>
      </c>
      <c r="E8" s="33" t="s">
        <v>18</v>
      </c>
      <c r="F8" s="11" t="s">
        <v>243</v>
      </c>
      <c r="G8" s="11" t="s">
        <v>43</v>
      </c>
      <c r="H8" s="11" t="s">
        <v>52</v>
      </c>
      <c r="I8" s="11" t="s">
        <v>84</v>
      </c>
      <c r="J8" s="11" t="s">
        <v>85</v>
      </c>
      <c r="K8" s="11" t="s">
        <v>60</v>
      </c>
      <c r="L8" s="11" t="s">
        <v>92</v>
      </c>
      <c r="M8" s="11" t="s">
        <v>45</v>
      </c>
      <c r="N8" s="11" t="s">
        <v>23</v>
      </c>
      <c r="O8" s="11" t="s">
        <v>23</v>
      </c>
      <c r="P8" s="11" t="s">
        <v>84</v>
      </c>
      <c r="Q8" s="11" t="s">
        <v>86</v>
      </c>
      <c r="R8" s="11">
        <v>740</v>
      </c>
      <c r="S8" s="40" t="s">
        <v>39</v>
      </c>
      <c r="T8" s="11">
        <v>640</v>
      </c>
      <c r="U8" s="11" t="s">
        <v>45</v>
      </c>
      <c r="V8" s="11" t="s">
        <v>84</v>
      </c>
      <c r="W8" s="11" t="s">
        <v>86</v>
      </c>
      <c r="X8" s="40" t="s">
        <v>60</v>
      </c>
      <c r="Y8" s="40" t="s">
        <v>87</v>
      </c>
      <c r="Z8" s="40" t="s">
        <v>521</v>
      </c>
      <c r="AA8" s="40" t="s">
        <v>39</v>
      </c>
      <c r="AB8" s="12" t="s">
        <v>88</v>
      </c>
      <c r="AC8" s="11" t="s">
        <v>45</v>
      </c>
      <c r="AD8" s="11" t="s">
        <v>45</v>
      </c>
      <c r="AE8" s="11" t="s">
        <v>50</v>
      </c>
      <c r="AF8" s="11" t="s">
        <v>50</v>
      </c>
      <c r="AG8" s="13" t="s">
        <v>60</v>
      </c>
      <c r="AH8" s="13" t="s">
        <v>62</v>
      </c>
      <c r="AI8" s="13" t="s">
        <v>45</v>
      </c>
      <c r="AJ8" s="13" t="s">
        <v>45</v>
      </c>
      <c r="AK8" s="13" t="s">
        <v>45</v>
      </c>
      <c r="AL8" s="94" t="s">
        <v>244</v>
      </c>
      <c r="AM8" s="95"/>
      <c r="AN8" s="95"/>
      <c r="AO8" s="95"/>
      <c r="AP8" s="96"/>
    </row>
    <row r="9" spans="1:46" s="10" customFormat="1" ht="15" customHeight="1" x14ac:dyDescent="0.4">
      <c r="A9" s="6">
        <v>3</v>
      </c>
      <c r="B9" s="6">
        <v>501</v>
      </c>
      <c r="C9" s="6" t="s">
        <v>79</v>
      </c>
      <c r="D9" s="18" t="s">
        <v>230</v>
      </c>
      <c r="E9" s="34" t="s">
        <v>18</v>
      </c>
      <c r="F9" s="6" t="s">
        <v>231</v>
      </c>
      <c r="G9" s="6" t="s">
        <v>43</v>
      </c>
      <c r="H9" s="6" t="s">
        <v>52</v>
      </c>
      <c r="I9" s="6" t="s">
        <v>84</v>
      </c>
      <c r="J9" s="6" t="s">
        <v>85</v>
      </c>
      <c r="K9" s="6" t="s">
        <v>60</v>
      </c>
      <c r="L9" s="6" t="s">
        <v>92</v>
      </c>
      <c r="M9" s="6" t="s">
        <v>45</v>
      </c>
      <c r="N9" s="6" t="s">
        <v>45</v>
      </c>
      <c r="O9" s="6" t="s">
        <v>23</v>
      </c>
      <c r="P9" s="6" t="s">
        <v>84</v>
      </c>
      <c r="Q9" s="6" t="s">
        <v>86</v>
      </c>
      <c r="R9" s="6">
        <v>740</v>
      </c>
      <c r="S9" s="6" t="s">
        <v>39</v>
      </c>
      <c r="T9" s="6">
        <v>900</v>
      </c>
      <c r="U9" s="6" t="s">
        <v>45</v>
      </c>
      <c r="V9" s="6" t="s">
        <v>84</v>
      </c>
      <c r="W9" s="6" t="s">
        <v>86</v>
      </c>
      <c r="X9" s="6" t="s">
        <v>60</v>
      </c>
      <c r="Y9" s="6" t="s">
        <v>87</v>
      </c>
      <c r="Z9" s="6" t="s">
        <v>522</v>
      </c>
      <c r="AA9" s="6" t="s">
        <v>39</v>
      </c>
      <c r="AB9" s="15" t="s">
        <v>88</v>
      </c>
      <c r="AC9" s="16" t="s">
        <v>45</v>
      </c>
      <c r="AD9" s="16" t="s">
        <v>23</v>
      </c>
      <c r="AE9" s="16" t="s">
        <v>116</v>
      </c>
      <c r="AF9" s="16" t="s">
        <v>116</v>
      </c>
      <c r="AG9" s="17" t="s">
        <v>60</v>
      </c>
      <c r="AH9" s="17" t="s">
        <v>62</v>
      </c>
      <c r="AI9" s="17" t="s">
        <v>45</v>
      </c>
      <c r="AJ9" s="17" t="s">
        <v>45</v>
      </c>
      <c r="AK9" s="17" t="s">
        <v>45</v>
      </c>
      <c r="AL9" s="78" t="s">
        <v>262</v>
      </c>
      <c r="AM9" s="79"/>
      <c r="AN9" s="79"/>
      <c r="AO9" s="79"/>
      <c r="AP9" s="80"/>
    </row>
    <row r="10" spans="1:46" s="14" customFormat="1" ht="15" customHeight="1" x14ac:dyDescent="0.4">
      <c r="A10" s="11">
        <v>3</v>
      </c>
      <c r="B10" s="11">
        <v>102</v>
      </c>
      <c r="C10" s="11" t="s">
        <v>79</v>
      </c>
      <c r="D10" s="13" t="s">
        <v>259</v>
      </c>
      <c r="E10" s="33" t="s">
        <v>18</v>
      </c>
      <c r="F10" s="11" t="s">
        <v>260</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7" t="s">
        <v>261</v>
      </c>
      <c r="Z10" s="40"/>
      <c r="AA10" s="40" t="s">
        <v>39</v>
      </c>
      <c r="AB10" s="12" t="s">
        <v>88</v>
      </c>
      <c r="AC10" s="11" t="s">
        <v>45</v>
      </c>
      <c r="AD10" s="11" t="s">
        <v>45</v>
      </c>
      <c r="AE10" s="11" t="s">
        <v>50</v>
      </c>
      <c r="AF10" s="11" t="s">
        <v>50</v>
      </c>
      <c r="AG10" s="13" t="s">
        <v>60</v>
      </c>
      <c r="AH10" s="13" t="s">
        <v>62</v>
      </c>
      <c r="AI10" s="13" t="s">
        <v>23</v>
      </c>
      <c r="AJ10" s="13" t="s">
        <v>45</v>
      </c>
      <c r="AK10" s="13" t="s">
        <v>23</v>
      </c>
      <c r="AL10" s="94" t="s">
        <v>1213</v>
      </c>
      <c r="AM10" s="95"/>
      <c r="AN10" s="95"/>
      <c r="AO10" s="95"/>
      <c r="AP10" s="96"/>
    </row>
    <row r="11" spans="1:46" s="10" customFormat="1" ht="15" customHeight="1" x14ac:dyDescent="0.4">
      <c r="A11" s="6">
        <v>3</v>
      </c>
      <c r="B11" s="6">
        <v>202</v>
      </c>
      <c r="C11" s="6" t="s">
        <v>79</v>
      </c>
      <c r="D11" s="18" t="s">
        <v>245</v>
      </c>
      <c r="E11" s="34" t="s">
        <v>18</v>
      </c>
      <c r="F11" s="6" t="s">
        <v>246</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87</v>
      </c>
      <c r="Z11" s="6" t="s">
        <v>523</v>
      </c>
      <c r="AA11" s="6" t="s">
        <v>39</v>
      </c>
      <c r="AB11" s="15" t="s">
        <v>88</v>
      </c>
      <c r="AC11" s="16" t="s">
        <v>45</v>
      </c>
      <c r="AD11" s="16" t="s">
        <v>23</v>
      </c>
      <c r="AE11" s="16" t="s">
        <v>50</v>
      </c>
      <c r="AF11" s="16" t="s">
        <v>50</v>
      </c>
      <c r="AG11" s="17" t="s">
        <v>60</v>
      </c>
      <c r="AH11" s="17" t="s">
        <v>62</v>
      </c>
      <c r="AI11" s="17" t="s">
        <v>45</v>
      </c>
      <c r="AJ11" s="17" t="s">
        <v>45</v>
      </c>
      <c r="AK11" s="17" t="s">
        <v>45</v>
      </c>
      <c r="AL11" s="78" t="s">
        <v>247</v>
      </c>
      <c r="AM11" s="79"/>
      <c r="AN11" s="79"/>
      <c r="AO11" s="79"/>
      <c r="AP11" s="80"/>
    </row>
    <row r="12" spans="1:46" s="14" customFormat="1" ht="31.5" customHeight="1" x14ac:dyDescent="0.4">
      <c r="A12" s="11">
        <v>3</v>
      </c>
      <c r="B12" s="11">
        <v>302</v>
      </c>
      <c r="C12" s="11" t="s">
        <v>79</v>
      </c>
      <c r="D12" s="13" t="s">
        <v>248</v>
      </c>
      <c r="E12" s="33" t="s">
        <v>18</v>
      </c>
      <c r="F12" s="45" t="s">
        <v>249</v>
      </c>
      <c r="G12" s="11" t="s">
        <v>43</v>
      </c>
      <c r="H12" s="11" t="s">
        <v>52</v>
      </c>
      <c r="I12" s="11" t="s">
        <v>84</v>
      </c>
      <c r="J12" s="11" t="s">
        <v>85</v>
      </c>
      <c r="K12" s="11" t="s">
        <v>60</v>
      </c>
      <c r="L12" s="11" t="s">
        <v>92</v>
      </c>
      <c r="M12" s="11" t="s">
        <v>45</v>
      </c>
      <c r="N12" s="11" t="s">
        <v>45</v>
      </c>
      <c r="O12" s="11" t="s">
        <v>23</v>
      </c>
      <c r="P12" s="11" t="s">
        <v>84</v>
      </c>
      <c r="Q12" s="11" t="s">
        <v>86</v>
      </c>
      <c r="R12" s="11">
        <v>740</v>
      </c>
      <c r="S12" s="40" t="s">
        <v>39</v>
      </c>
      <c r="T12" s="11">
        <v>900</v>
      </c>
      <c r="U12" s="11" t="s">
        <v>45</v>
      </c>
      <c r="V12" s="11" t="s">
        <v>84</v>
      </c>
      <c r="W12" s="11" t="s">
        <v>86</v>
      </c>
      <c r="X12" s="40" t="s">
        <v>60</v>
      </c>
      <c r="Y12" s="40" t="s">
        <v>87</v>
      </c>
      <c r="Z12" s="40" t="s">
        <v>524</v>
      </c>
      <c r="AA12" s="40" t="s">
        <v>39</v>
      </c>
      <c r="AB12" s="12" t="s">
        <v>88</v>
      </c>
      <c r="AC12" s="11" t="s">
        <v>45</v>
      </c>
      <c r="AD12" s="11" t="s">
        <v>23</v>
      </c>
      <c r="AE12" s="11" t="s">
        <v>50</v>
      </c>
      <c r="AF12" s="11" t="s">
        <v>50</v>
      </c>
      <c r="AG12" s="13" t="s">
        <v>60</v>
      </c>
      <c r="AH12" s="13" t="s">
        <v>62</v>
      </c>
      <c r="AI12" s="13" t="s">
        <v>23</v>
      </c>
      <c r="AJ12" s="13" t="s">
        <v>23</v>
      </c>
      <c r="AK12" s="13" t="s">
        <v>45</v>
      </c>
      <c r="AL12" s="94" t="s">
        <v>250</v>
      </c>
      <c r="AM12" s="95"/>
      <c r="AN12" s="95"/>
      <c r="AO12" s="95"/>
      <c r="AP12" s="96"/>
    </row>
    <row r="13" spans="1:46" s="10" customFormat="1" ht="15" customHeight="1" x14ac:dyDescent="0.4">
      <c r="A13" s="6">
        <v>3</v>
      </c>
      <c r="B13" s="6">
        <v>402</v>
      </c>
      <c r="C13" s="6" t="s">
        <v>79</v>
      </c>
      <c r="D13" s="18" t="s">
        <v>251</v>
      </c>
      <c r="E13" s="34" t="s">
        <v>18</v>
      </c>
      <c r="F13" s="6" t="s">
        <v>252</v>
      </c>
      <c r="G13" s="6" t="s">
        <v>43</v>
      </c>
      <c r="H13" s="6" t="s">
        <v>52</v>
      </c>
      <c r="I13" s="6" t="s">
        <v>84</v>
      </c>
      <c r="J13" s="6" t="s">
        <v>85</v>
      </c>
      <c r="K13" s="6" t="s">
        <v>60</v>
      </c>
      <c r="L13" s="6" t="s">
        <v>92</v>
      </c>
      <c r="M13" s="6" t="s">
        <v>45</v>
      </c>
      <c r="N13" s="6" t="s">
        <v>45</v>
      </c>
      <c r="O13" s="6" t="s">
        <v>23</v>
      </c>
      <c r="P13" s="6" t="s">
        <v>84</v>
      </c>
      <c r="Q13" s="6" t="s">
        <v>86</v>
      </c>
      <c r="R13" s="6">
        <v>750</v>
      </c>
      <c r="S13" s="6" t="s">
        <v>39</v>
      </c>
      <c r="T13" s="6">
        <v>800</v>
      </c>
      <c r="U13" s="6" t="s">
        <v>45</v>
      </c>
      <c r="V13" s="6" t="s">
        <v>84</v>
      </c>
      <c r="W13" s="6" t="s">
        <v>86</v>
      </c>
      <c r="X13" s="6" t="s">
        <v>60</v>
      </c>
      <c r="Y13" s="6" t="s">
        <v>87</v>
      </c>
      <c r="Z13" s="6" t="s">
        <v>525</v>
      </c>
      <c r="AA13" s="6" t="s">
        <v>39</v>
      </c>
      <c r="AB13" s="15" t="s">
        <v>88</v>
      </c>
      <c r="AC13" s="16" t="s">
        <v>45</v>
      </c>
      <c r="AD13" s="16" t="s">
        <v>23</v>
      </c>
      <c r="AE13" s="16" t="s">
        <v>50</v>
      </c>
      <c r="AF13" s="16" t="s">
        <v>50</v>
      </c>
      <c r="AG13" s="17" t="s">
        <v>60</v>
      </c>
      <c r="AH13" s="17" t="s">
        <v>62</v>
      </c>
      <c r="AI13" s="17" t="s">
        <v>45</v>
      </c>
      <c r="AJ13" s="17" t="s">
        <v>45</v>
      </c>
      <c r="AK13" s="17" t="s">
        <v>45</v>
      </c>
      <c r="AL13" s="78" t="s">
        <v>253</v>
      </c>
      <c r="AM13" s="79"/>
      <c r="AN13" s="79"/>
      <c r="AO13" s="79"/>
      <c r="AP13" s="80"/>
    </row>
    <row r="14" spans="1:46" s="14" customFormat="1" ht="31.5" customHeight="1" x14ac:dyDescent="0.4">
      <c r="A14" s="11">
        <v>3</v>
      </c>
      <c r="B14" s="11">
        <v>502</v>
      </c>
      <c r="C14" s="11" t="s">
        <v>79</v>
      </c>
      <c r="D14" s="13" t="s">
        <v>690</v>
      </c>
      <c r="E14" s="33" t="s">
        <v>18</v>
      </c>
      <c r="F14" s="45" t="s">
        <v>687</v>
      </c>
      <c r="G14" s="11" t="s">
        <v>22</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19</v>
      </c>
      <c r="Y14" s="40"/>
      <c r="Z14" s="40"/>
      <c r="AA14" s="40" t="s">
        <v>65</v>
      </c>
      <c r="AB14" s="12" t="s">
        <v>19</v>
      </c>
      <c r="AC14" s="11" t="s">
        <v>45</v>
      </c>
      <c r="AD14" s="11" t="s">
        <v>45</v>
      </c>
      <c r="AE14" s="11" t="s">
        <v>116</v>
      </c>
      <c r="AF14" s="11" t="s">
        <v>50</v>
      </c>
      <c r="AG14" s="13" t="s">
        <v>60</v>
      </c>
      <c r="AH14" s="13" t="s">
        <v>62</v>
      </c>
      <c r="AI14" s="13" t="s">
        <v>45</v>
      </c>
      <c r="AJ14" s="13" t="s">
        <v>23</v>
      </c>
      <c r="AK14" s="13" t="s">
        <v>45</v>
      </c>
      <c r="AL14" s="133" t="s">
        <v>830</v>
      </c>
      <c r="AM14" s="95"/>
      <c r="AN14" s="95"/>
      <c r="AO14" s="95"/>
      <c r="AP14" s="96"/>
    </row>
    <row r="15" spans="1:46" s="10" customFormat="1" ht="31.5" customHeight="1" x14ac:dyDescent="0.4">
      <c r="A15" s="6">
        <v>3</v>
      </c>
      <c r="B15" s="6">
        <v>103</v>
      </c>
      <c r="C15" s="6" t="s">
        <v>79</v>
      </c>
      <c r="D15" s="18" t="s">
        <v>293</v>
      </c>
      <c r="E15" s="34" t="s">
        <v>18</v>
      </c>
      <c r="F15" s="46" t="s">
        <v>294</v>
      </c>
      <c r="G15" s="6" t="s">
        <v>43</v>
      </c>
      <c r="H15" s="6" t="s">
        <v>52</v>
      </c>
      <c r="I15" s="6" t="s">
        <v>84</v>
      </c>
      <c r="J15" s="6" t="s">
        <v>85</v>
      </c>
      <c r="K15" s="6" t="s">
        <v>60</v>
      </c>
      <c r="L15" s="6" t="s">
        <v>92</v>
      </c>
      <c r="M15" s="6" t="s">
        <v>45</v>
      </c>
      <c r="N15" s="6" t="s">
        <v>45</v>
      </c>
      <c r="O15" s="6" t="s">
        <v>45</v>
      </c>
      <c r="P15" s="6" t="s">
        <v>84</v>
      </c>
      <c r="Q15" s="6" t="s">
        <v>86</v>
      </c>
      <c r="R15" s="6">
        <v>750</v>
      </c>
      <c r="S15" s="6" t="s">
        <v>39</v>
      </c>
      <c r="T15" s="6">
        <v>900</v>
      </c>
      <c r="U15" s="6" t="s">
        <v>45</v>
      </c>
      <c r="V15" s="6" t="s">
        <v>84</v>
      </c>
      <c r="W15" s="6" t="s">
        <v>86</v>
      </c>
      <c r="X15" s="6" t="s">
        <v>60</v>
      </c>
      <c r="Y15" s="6" t="s">
        <v>87</v>
      </c>
      <c r="Z15" s="6" t="s">
        <v>526</v>
      </c>
      <c r="AA15" s="6" t="s">
        <v>39</v>
      </c>
      <c r="AB15" s="15" t="s">
        <v>88</v>
      </c>
      <c r="AC15" s="16" t="s">
        <v>45</v>
      </c>
      <c r="AD15" s="16" t="s">
        <v>23</v>
      </c>
      <c r="AE15" s="16" t="s">
        <v>50</v>
      </c>
      <c r="AF15" s="16" t="s">
        <v>50</v>
      </c>
      <c r="AG15" s="17" t="s">
        <v>60</v>
      </c>
      <c r="AH15" s="17" t="s">
        <v>62</v>
      </c>
      <c r="AI15" s="17" t="s">
        <v>45</v>
      </c>
      <c r="AJ15" s="17" t="s">
        <v>23</v>
      </c>
      <c r="AK15" s="17" t="s">
        <v>23</v>
      </c>
      <c r="AL15" s="78" t="s">
        <v>295</v>
      </c>
      <c r="AM15" s="79"/>
      <c r="AN15" s="79"/>
      <c r="AO15" s="79"/>
      <c r="AP15" s="80"/>
      <c r="AQ15" s="10" t="s">
        <v>1214</v>
      </c>
    </row>
    <row r="16" spans="1:46" s="14" customFormat="1" ht="31.5" customHeight="1" x14ac:dyDescent="0.4">
      <c r="A16" s="11">
        <v>3</v>
      </c>
      <c r="B16" s="11">
        <v>203</v>
      </c>
      <c r="C16" s="11" t="s">
        <v>79</v>
      </c>
      <c r="D16" s="13" t="s">
        <v>271</v>
      </c>
      <c r="E16" s="33" t="s">
        <v>18</v>
      </c>
      <c r="F16" s="45" t="s">
        <v>272</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23</v>
      </c>
      <c r="V16" s="11" t="s">
        <v>84</v>
      </c>
      <c r="W16" s="11" t="s">
        <v>86</v>
      </c>
      <c r="X16" s="40" t="s">
        <v>60</v>
      </c>
      <c r="Y16" s="47" t="s">
        <v>261</v>
      </c>
      <c r="Z16" s="40"/>
      <c r="AA16" s="40" t="s">
        <v>65</v>
      </c>
      <c r="AB16" s="12" t="s">
        <v>88</v>
      </c>
      <c r="AC16" s="11" t="s">
        <v>45</v>
      </c>
      <c r="AD16" s="11" t="s">
        <v>23</v>
      </c>
      <c r="AE16" s="11" t="s">
        <v>116</v>
      </c>
      <c r="AF16" s="11" t="s">
        <v>116</v>
      </c>
      <c r="AG16" s="13" t="s">
        <v>60</v>
      </c>
      <c r="AH16" s="13" t="s">
        <v>62</v>
      </c>
      <c r="AI16" s="13" t="s">
        <v>23</v>
      </c>
      <c r="AJ16" s="13" t="s">
        <v>45</v>
      </c>
      <c r="AK16" s="13" t="s">
        <v>45</v>
      </c>
      <c r="AL16" s="94" t="s">
        <v>273</v>
      </c>
      <c r="AM16" s="95"/>
      <c r="AN16" s="95"/>
      <c r="AO16" s="95"/>
      <c r="AP16" s="96"/>
    </row>
    <row r="17" spans="1:43" s="10" customFormat="1" ht="31.5" customHeight="1" x14ac:dyDescent="0.4">
      <c r="A17" s="6">
        <v>3</v>
      </c>
      <c r="B17" s="6">
        <v>303</v>
      </c>
      <c r="C17" s="6" t="s">
        <v>79</v>
      </c>
      <c r="D17" s="18" t="s">
        <v>274</v>
      </c>
      <c r="E17" s="34" t="s">
        <v>18</v>
      </c>
      <c r="F17" s="46" t="s">
        <v>275</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84</v>
      </c>
      <c r="W17" s="6" t="s">
        <v>86</v>
      </c>
      <c r="X17" s="6" t="s">
        <v>60</v>
      </c>
      <c r="Y17" s="6" t="s">
        <v>87</v>
      </c>
      <c r="Z17" s="6" t="s">
        <v>527</v>
      </c>
      <c r="AA17" s="6" t="s">
        <v>39</v>
      </c>
      <c r="AB17" s="15" t="s">
        <v>88</v>
      </c>
      <c r="AC17" s="16" t="s">
        <v>45</v>
      </c>
      <c r="AD17" s="16" t="s">
        <v>45</v>
      </c>
      <c r="AE17" s="16" t="s">
        <v>50</v>
      </c>
      <c r="AF17" s="16" t="s">
        <v>50</v>
      </c>
      <c r="AG17" s="17" t="s">
        <v>60</v>
      </c>
      <c r="AH17" s="17" t="s">
        <v>62</v>
      </c>
      <c r="AI17" s="17" t="s">
        <v>45</v>
      </c>
      <c r="AJ17" s="17" t="s">
        <v>45</v>
      </c>
      <c r="AK17" s="17" t="s">
        <v>45</v>
      </c>
      <c r="AL17" s="78" t="s">
        <v>276</v>
      </c>
      <c r="AM17" s="79"/>
      <c r="AN17" s="79"/>
      <c r="AO17" s="79"/>
      <c r="AP17" s="80"/>
    </row>
    <row r="18" spans="1:43" s="14" customFormat="1" ht="15" customHeight="1" x14ac:dyDescent="0.4">
      <c r="A18" s="11">
        <v>3</v>
      </c>
      <c r="B18" s="11">
        <v>403</v>
      </c>
      <c r="C18" s="11" t="s">
        <v>79</v>
      </c>
      <c r="D18" s="13" t="s">
        <v>277</v>
      </c>
      <c r="E18" s="33" t="s">
        <v>18</v>
      </c>
      <c r="F18" s="11" t="s">
        <v>278</v>
      </c>
      <c r="G18" s="11" t="s">
        <v>43</v>
      </c>
      <c r="H18" s="11" t="s">
        <v>52</v>
      </c>
      <c r="I18" s="11" t="s">
        <v>84</v>
      </c>
      <c r="J18" s="11" t="s">
        <v>85</v>
      </c>
      <c r="K18" s="11" t="s">
        <v>19</v>
      </c>
      <c r="L18" s="11" t="s">
        <v>92</v>
      </c>
      <c r="M18" s="11" t="s">
        <v>45</v>
      </c>
      <c r="N18" s="11" t="s">
        <v>45</v>
      </c>
      <c r="O18" s="11" t="s">
        <v>23</v>
      </c>
      <c r="P18" s="11" t="s">
        <v>84</v>
      </c>
      <c r="Q18" s="11" t="s">
        <v>86</v>
      </c>
      <c r="R18" s="11">
        <v>750</v>
      </c>
      <c r="S18" s="40" t="s">
        <v>39</v>
      </c>
      <c r="T18" s="11">
        <v>640</v>
      </c>
      <c r="U18" s="11" t="s">
        <v>45</v>
      </c>
      <c r="V18" s="11" t="s">
        <v>84</v>
      </c>
      <c r="W18" s="11" t="s">
        <v>86</v>
      </c>
      <c r="X18" s="40" t="s">
        <v>60</v>
      </c>
      <c r="Y18" s="40" t="s">
        <v>531</v>
      </c>
      <c r="Z18" s="40"/>
      <c r="AA18" s="40" t="s">
        <v>39</v>
      </c>
      <c r="AB18" s="12" t="s">
        <v>88</v>
      </c>
      <c r="AC18" s="11" t="s">
        <v>45</v>
      </c>
      <c r="AD18" s="11" t="s">
        <v>45</v>
      </c>
      <c r="AE18" s="11" t="s">
        <v>50</v>
      </c>
      <c r="AF18" s="11" t="s">
        <v>50</v>
      </c>
      <c r="AG18" s="13" t="s">
        <v>60</v>
      </c>
      <c r="AH18" s="13" t="s">
        <v>62</v>
      </c>
      <c r="AI18" s="13" t="s">
        <v>45</v>
      </c>
      <c r="AJ18" s="13" t="s">
        <v>45</v>
      </c>
      <c r="AK18" s="13" t="s">
        <v>23</v>
      </c>
      <c r="AL18" s="94"/>
      <c r="AM18" s="95"/>
      <c r="AN18" s="95"/>
      <c r="AO18" s="95"/>
      <c r="AP18" s="96"/>
    </row>
    <row r="19" spans="1:43" s="10" customFormat="1" ht="15" customHeight="1" x14ac:dyDescent="0.4">
      <c r="A19" s="6">
        <v>3</v>
      </c>
      <c r="B19" s="6">
        <v>503</v>
      </c>
      <c r="C19" s="6" t="s">
        <v>79</v>
      </c>
      <c r="D19" s="18" t="s">
        <v>266</v>
      </c>
      <c r="E19" s="34" t="s">
        <v>18</v>
      </c>
      <c r="F19" s="6" t="s">
        <v>267</v>
      </c>
      <c r="G19" s="6" t="s">
        <v>43</v>
      </c>
      <c r="H19" s="6" t="s">
        <v>52</v>
      </c>
      <c r="I19" s="6" t="s">
        <v>84</v>
      </c>
      <c r="J19" s="6" t="s">
        <v>85</v>
      </c>
      <c r="K19" s="6" t="s">
        <v>60</v>
      </c>
      <c r="L19" s="6" t="s">
        <v>92</v>
      </c>
      <c r="M19" s="6" t="s">
        <v>45</v>
      </c>
      <c r="N19" s="6" t="s">
        <v>45</v>
      </c>
      <c r="O19" s="6" t="s">
        <v>23</v>
      </c>
      <c r="P19" s="6" t="s">
        <v>84</v>
      </c>
      <c r="Q19" s="6" t="s">
        <v>86</v>
      </c>
      <c r="R19" s="6">
        <v>745</v>
      </c>
      <c r="S19" s="6" t="s">
        <v>39</v>
      </c>
      <c r="T19" s="6">
        <v>900</v>
      </c>
      <c r="U19" s="6" t="s">
        <v>45</v>
      </c>
      <c r="V19" s="6" t="s">
        <v>84</v>
      </c>
      <c r="W19" s="6" t="s">
        <v>86</v>
      </c>
      <c r="X19" s="6" t="s">
        <v>60</v>
      </c>
      <c r="Y19" s="6" t="s">
        <v>261</v>
      </c>
      <c r="Z19" s="6" t="s">
        <v>528</v>
      </c>
      <c r="AA19" s="6" t="s">
        <v>39</v>
      </c>
      <c r="AB19" s="15" t="s">
        <v>88</v>
      </c>
      <c r="AC19" s="16" t="s">
        <v>45</v>
      </c>
      <c r="AD19" s="16" t="s">
        <v>45</v>
      </c>
      <c r="AE19" s="16" t="s">
        <v>116</v>
      </c>
      <c r="AF19" s="16" t="s">
        <v>50</v>
      </c>
      <c r="AG19" s="17" t="s">
        <v>60</v>
      </c>
      <c r="AH19" s="17" t="s">
        <v>62</v>
      </c>
      <c r="AI19" s="17" t="s">
        <v>45</v>
      </c>
      <c r="AJ19" s="17" t="s">
        <v>45</v>
      </c>
      <c r="AK19" s="17" t="s">
        <v>45</v>
      </c>
      <c r="AL19" s="78" t="s">
        <v>268</v>
      </c>
      <c r="AM19" s="79"/>
      <c r="AN19" s="79"/>
      <c r="AO19" s="79"/>
      <c r="AP19" s="80"/>
    </row>
    <row r="20" spans="1:43" s="14" customFormat="1" ht="31.5" customHeight="1" x14ac:dyDescent="0.4">
      <c r="A20" s="11">
        <v>3</v>
      </c>
      <c r="B20" s="11">
        <v>104</v>
      </c>
      <c r="C20" s="11" t="s">
        <v>79</v>
      </c>
      <c r="D20" s="13" t="s">
        <v>296</v>
      </c>
      <c r="E20" s="33" t="s">
        <v>18</v>
      </c>
      <c r="F20" s="45" t="s">
        <v>297</v>
      </c>
      <c r="G20" s="11" t="s">
        <v>43</v>
      </c>
      <c r="H20" s="11" t="s">
        <v>52</v>
      </c>
      <c r="I20" s="11" t="s">
        <v>84</v>
      </c>
      <c r="J20" s="11" t="s">
        <v>85</v>
      </c>
      <c r="K20" s="11" t="s">
        <v>60</v>
      </c>
      <c r="L20" s="11" t="s">
        <v>92</v>
      </c>
      <c r="M20" s="11" t="s">
        <v>45</v>
      </c>
      <c r="N20" s="11" t="s">
        <v>45</v>
      </c>
      <c r="O20" s="11" t="s">
        <v>23</v>
      </c>
      <c r="P20" s="11" t="s">
        <v>84</v>
      </c>
      <c r="Q20" s="11" t="s">
        <v>86</v>
      </c>
      <c r="R20" s="11">
        <v>900</v>
      </c>
      <c r="S20" s="40" t="s">
        <v>39</v>
      </c>
      <c r="T20" s="11">
        <v>900</v>
      </c>
      <c r="U20" s="11" t="s">
        <v>45</v>
      </c>
      <c r="V20" s="11" t="s">
        <v>84</v>
      </c>
      <c r="W20" s="11" t="s">
        <v>86</v>
      </c>
      <c r="X20" s="40" t="s">
        <v>60</v>
      </c>
      <c r="Y20" s="40" t="s">
        <v>87</v>
      </c>
      <c r="Z20" s="40" t="s">
        <v>529</v>
      </c>
      <c r="AA20" s="40" t="s">
        <v>39</v>
      </c>
      <c r="AB20" s="12" t="s">
        <v>88</v>
      </c>
      <c r="AC20" s="11" t="s">
        <v>45</v>
      </c>
      <c r="AD20" s="11" t="s">
        <v>23</v>
      </c>
      <c r="AE20" s="11" t="s">
        <v>50</v>
      </c>
      <c r="AF20" s="11" t="s">
        <v>50</v>
      </c>
      <c r="AG20" s="13" t="s">
        <v>60</v>
      </c>
      <c r="AH20" s="13" t="s">
        <v>62</v>
      </c>
      <c r="AI20" s="13" t="s">
        <v>45</v>
      </c>
      <c r="AJ20" s="13" t="s">
        <v>45</v>
      </c>
      <c r="AK20" s="13" t="s">
        <v>45</v>
      </c>
      <c r="AL20" s="94" t="s">
        <v>298</v>
      </c>
      <c r="AM20" s="95"/>
      <c r="AN20" s="95"/>
      <c r="AO20" s="95"/>
      <c r="AP20" s="96"/>
      <c r="AQ20" s="14" t="s">
        <v>1214</v>
      </c>
    </row>
    <row r="21" spans="1:43" s="10" customFormat="1" ht="15" customHeight="1" x14ac:dyDescent="0.4">
      <c r="A21" s="6">
        <v>3</v>
      </c>
      <c r="B21" s="6">
        <v>204</v>
      </c>
      <c r="C21" s="6" t="s">
        <v>79</v>
      </c>
      <c r="D21" s="18" t="s">
        <v>279</v>
      </c>
      <c r="E21" s="34" t="s">
        <v>18</v>
      </c>
      <c r="F21" s="6" t="s">
        <v>280</v>
      </c>
      <c r="G21" s="6" t="s">
        <v>43</v>
      </c>
      <c r="H21" s="6" t="s">
        <v>30</v>
      </c>
      <c r="I21" s="6" t="s">
        <v>84</v>
      </c>
      <c r="J21" s="6" t="s">
        <v>85</v>
      </c>
      <c r="K21" s="6" t="s">
        <v>60</v>
      </c>
      <c r="L21" s="6" t="s">
        <v>281</v>
      </c>
      <c r="M21" s="6" t="s">
        <v>45</v>
      </c>
      <c r="N21" s="6" t="s">
        <v>45</v>
      </c>
      <c r="O21" s="6" t="s">
        <v>45</v>
      </c>
      <c r="P21" s="6" t="s">
        <v>84</v>
      </c>
      <c r="Q21" s="6" t="s">
        <v>86</v>
      </c>
      <c r="R21" s="6">
        <v>1000</v>
      </c>
      <c r="S21" s="6" t="s">
        <v>39</v>
      </c>
      <c r="T21" s="6" t="s">
        <v>282</v>
      </c>
      <c r="U21" s="6" t="s">
        <v>45</v>
      </c>
      <c r="V21" s="6" t="s">
        <v>84</v>
      </c>
      <c r="W21" s="6" t="s">
        <v>86</v>
      </c>
      <c r="X21" s="6" t="s">
        <v>60</v>
      </c>
      <c r="Y21" s="6" t="s">
        <v>87</v>
      </c>
      <c r="Z21" s="6" t="s">
        <v>530</v>
      </c>
      <c r="AA21" s="6" t="s">
        <v>39</v>
      </c>
      <c r="AB21" s="15" t="s">
        <v>88</v>
      </c>
      <c r="AC21" s="16" t="s">
        <v>45</v>
      </c>
      <c r="AD21" s="16" t="s">
        <v>23</v>
      </c>
      <c r="AE21" s="16"/>
      <c r="AF21" s="16"/>
      <c r="AG21" s="17" t="s">
        <v>60</v>
      </c>
      <c r="AH21" s="17" t="s">
        <v>96</v>
      </c>
      <c r="AI21" s="17" t="s">
        <v>45</v>
      </c>
      <c r="AJ21" s="17" t="s">
        <v>45</v>
      </c>
      <c r="AK21" s="17" t="s">
        <v>45</v>
      </c>
      <c r="AL21" s="78" t="s">
        <v>283</v>
      </c>
      <c r="AM21" s="79"/>
      <c r="AN21" s="79"/>
      <c r="AO21" s="79"/>
      <c r="AP21" s="80"/>
    </row>
    <row r="22" spans="1:43" s="14" customFormat="1" ht="15" customHeight="1" x14ac:dyDescent="0.4">
      <c r="A22" s="11">
        <v>3</v>
      </c>
      <c r="B22" s="11">
        <v>304</v>
      </c>
      <c r="C22" s="11" t="s">
        <v>79</v>
      </c>
      <c r="D22" s="13" t="s">
        <v>284</v>
      </c>
      <c r="E22" s="33" t="s">
        <v>18</v>
      </c>
      <c r="F22" s="11" t="s">
        <v>285</v>
      </c>
      <c r="G22" s="11" t="s">
        <v>43</v>
      </c>
      <c r="H22" s="11" t="s">
        <v>52</v>
      </c>
      <c r="I22" s="11" t="s">
        <v>84</v>
      </c>
      <c r="J22" s="11" t="s">
        <v>85</v>
      </c>
      <c r="K22" s="11" t="s">
        <v>60</v>
      </c>
      <c r="L22" s="11" t="s">
        <v>92</v>
      </c>
      <c r="M22" s="11" t="s">
        <v>45</v>
      </c>
      <c r="N22" s="11" t="s">
        <v>23</v>
      </c>
      <c r="O22" s="11" t="s">
        <v>23</v>
      </c>
      <c r="P22" s="11" t="s">
        <v>84</v>
      </c>
      <c r="Q22" s="11" t="s">
        <v>86</v>
      </c>
      <c r="R22" s="11">
        <v>750</v>
      </c>
      <c r="S22" s="40" t="s">
        <v>39</v>
      </c>
      <c r="T22" s="11">
        <v>900</v>
      </c>
      <c r="U22" s="11" t="s">
        <v>45</v>
      </c>
      <c r="V22" s="11" t="s">
        <v>84</v>
      </c>
      <c r="W22" s="11" t="s">
        <v>86</v>
      </c>
      <c r="X22" s="40" t="s">
        <v>60</v>
      </c>
      <c r="Y22" s="40" t="s">
        <v>531</v>
      </c>
      <c r="Z22" s="40"/>
      <c r="AA22" s="40" t="s">
        <v>65</v>
      </c>
      <c r="AB22" s="12" t="s">
        <v>88</v>
      </c>
      <c r="AC22" s="11" t="s">
        <v>45</v>
      </c>
      <c r="AD22" s="11" t="s">
        <v>45</v>
      </c>
      <c r="AE22" s="11" t="s">
        <v>50</v>
      </c>
      <c r="AF22" s="11" t="s">
        <v>50</v>
      </c>
      <c r="AG22" s="13" t="s">
        <v>60</v>
      </c>
      <c r="AH22" s="13" t="s">
        <v>62</v>
      </c>
      <c r="AI22" s="13" t="s">
        <v>23</v>
      </c>
      <c r="AJ22" s="13" t="s">
        <v>45</v>
      </c>
      <c r="AK22" s="13" t="s">
        <v>45</v>
      </c>
      <c r="AL22" s="94" t="s">
        <v>286</v>
      </c>
      <c r="AM22" s="95"/>
      <c r="AN22" s="95"/>
      <c r="AO22" s="95"/>
      <c r="AP22" s="96"/>
    </row>
    <row r="23" spans="1:43" s="10" customFormat="1" ht="15" customHeight="1" x14ac:dyDescent="0.4">
      <c r="A23" s="6">
        <v>3</v>
      </c>
      <c r="B23" s="6">
        <v>404</v>
      </c>
      <c r="C23" s="6" t="s">
        <v>79</v>
      </c>
      <c r="D23" s="18" t="s">
        <v>287</v>
      </c>
      <c r="E23" s="34" t="s">
        <v>18</v>
      </c>
      <c r="F23" s="6" t="s">
        <v>288</v>
      </c>
      <c r="G23" s="6" t="s">
        <v>43</v>
      </c>
      <c r="H23" s="6" t="s">
        <v>52</v>
      </c>
      <c r="I23" s="6" t="s">
        <v>84</v>
      </c>
      <c r="J23" s="6" t="s">
        <v>85</v>
      </c>
      <c r="K23" s="6" t="s">
        <v>60</v>
      </c>
      <c r="L23" s="6" t="s">
        <v>92</v>
      </c>
      <c r="M23" s="6" t="s">
        <v>45</v>
      </c>
      <c r="N23" s="6" t="s">
        <v>45</v>
      </c>
      <c r="O23" s="6" t="s">
        <v>45</v>
      </c>
      <c r="P23" s="6" t="s">
        <v>84</v>
      </c>
      <c r="Q23" s="6" t="s">
        <v>86</v>
      </c>
      <c r="R23" s="6">
        <v>750</v>
      </c>
      <c r="S23" s="6" t="s">
        <v>39</v>
      </c>
      <c r="T23" s="6">
        <v>900</v>
      </c>
      <c r="U23" s="6" t="s">
        <v>45</v>
      </c>
      <c r="V23" s="6" t="s">
        <v>84</v>
      </c>
      <c r="W23" s="6" t="s">
        <v>86</v>
      </c>
      <c r="X23" s="6" t="s">
        <v>60</v>
      </c>
      <c r="Y23" s="6" t="s">
        <v>87</v>
      </c>
      <c r="Z23" s="6" t="s">
        <v>532</v>
      </c>
      <c r="AA23" s="6" t="s">
        <v>39</v>
      </c>
      <c r="AB23" s="15" t="s">
        <v>88</v>
      </c>
      <c r="AC23" s="16" t="s">
        <v>45</v>
      </c>
      <c r="AD23" s="16" t="s">
        <v>45</v>
      </c>
      <c r="AE23" s="16" t="s">
        <v>50</v>
      </c>
      <c r="AF23" s="16" t="s">
        <v>50</v>
      </c>
      <c r="AG23" s="17" t="s">
        <v>60</v>
      </c>
      <c r="AH23" s="17" t="s">
        <v>62</v>
      </c>
      <c r="AI23" s="17" t="s">
        <v>45</v>
      </c>
      <c r="AJ23" s="17" t="s">
        <v>45</v>
      </c>
      <c r="AK23" s="17" t="s">
        <v>45</v>
      </c>
      <c r="AL23" s="78" t="s">
        <v>289</v>
      </c>
      <c r="AM23" s="79"/>
      <c r="AN23" s="79"/>
      <c r="AO23" s="79"/>
      <c r="AP23" s="80"/>
    </row>
    <row r="24" spans="1:43" s="14" customFormat="1" ht="31.5" customHeight="1" x14ac:dyDescent="0.4">
      <c r="A24" s="11">
        <v>3</v>
      </c>
      <c r="B24" s="11">
        <v>504</v>
      </c>
      <c r="C24" s="11" t="s">
        <v>79</v>
      </c>
      <c r="D24" s="13" t="s">
        <v>290</v>
      </c>
      <c r="E24" s="33" t="s">
        <v>18</v>
      </c>
      <c r="F24" s="45" t="s">
        <v>291</v>
      </c>
      <c r="G24" s="11" t="s">
        <v>43</v>
      </c>
      <c r="H24" s="11" t="s">
        <v>52</v>
      </c>
      <c r="I24" s="11" t="s">
        <v>84</v>
      </c>
      <c r="J24" s="11" t="s">
        <v>85</v>
      </c>
      <c r="K24" s="11" t="s">
        <v>19</v>
      </c>
      <c r="L24" s="11" t="s">
        <v>92</v>
      </c>
      <c r="M24" s="11" t="s">
        <v>45</v>
      </c>
      <c r="N24" s="11" t="s">
        <v>45</v>
      </c>
      <c r="O24" s="11" t="s">
        <v>23</v>
      </c>
      <c r="P24" s="11" t="s">
        <v>84</v>
      </c>
      <c r="Q24" s="11" t="s">
        <v>86</v>
      </c>
      <c r="R24" s="11">
        <v>750</v>
      </c>
      <c r="S24" s="40" t="s">
        <v>39</v>
      </c>
      <c r="T24" s="40">
        <v>900</v>
      </c>
      <c r="U24" s="11" t="s">
        <v>45</v>
      </c>
      <c r="V24" s="11" t="s">
        <v>84</v>
      </c>
      <c r="W24" s="11" t="s">
        <v>86</v>
      </c>
      <c r="X24" s="40" t="s">
        <v>60</v>
      </c>
      <c r="Y24" s="40" t="s">
        <v>87</v>
      </c>
      <c r="Z24" s="40" t="s">
        <v>533</v>
      </c>
      <c r="AA24" s="40" t="s">
        <v>39</v>
      </c>
      <c r="AB24" s="12" t="s">
        <v>88</v>
      </c>
      <c r="AC24" s="11" t="s">
        <v>45</v>
      </c>
      <c r="AD24" s="11" t="s">
        <v>45</v>
      </c>
      <c r="AE24" s="11" t="s">
        <v>50</v>
      </c>
      <c r="AF24" s="11" t="s">
        <v>50</v>
      </c>
      <c r="AG24" s="13" t="s">
        <v>60</v>
      </c>
      <c r="AH24" s="13" t="s">
        <v>62</v>
      </c>
      <c r="AI24" s="13" t="s">
        <v>45</v>
      </c>
      <c r="AJ24" s="13" t="s">
        <v>45</v>
      </c>
      <c r="AK24" s="13" t="s">
        <v>23</v>
      </c>
      <c r="AL24" s="94" t="s">
        <v>292</v>
      </c>
      <c r="AM24" s="95"/>
      <c r="AN24" s="95"/>
      <c r="AO24" s="95"/>
      <c r="AP24" s="96"/>
    </row>
    <row r="25" spans="1:43" s="2" customFormat="1" ht="11.25" customHeight="1" x14ac:dyDescent="0.4">
      <c r="A25" s="118" t="s">
        <v>12</v>
      </c>
      <c r="B25" s="119"/>
      <c r="C25" s="119"/>
      <c r="D25" s="119"/>
      <c r="E25" s="120"/>
      <c r="F25" s="136">
        <f>COUNTA(D5:D24)</f>
        <v>20</v>
      </c>
      <c r="G25" s="20" t="str">
        <f>"所有→"&amp;COUNTIF(G5:G24,"所有")&amp;"戸"</f>
        <v>所有→19戸</v>
      </c>
      <c r="H25" s="20" t="str">
        <f>"未更新→"&amp;COUNTIF(H5:H24,"未更新")&amp;"戸"</f>
        <v>未更新→19戸</v>
      </c>
      <c r="I25" s="20" t="str">
        <f>"クロス→"&amp;COUNTIF(I5:I24,"クロス")&amp;"戸"</f>
        <v>クロス→20戸</v>
      </c>
      <c r="J25" s="20" t="str">
        <f>"ベニヤ→"&amp;COUNTIF(J5:J24,"ベニヤ")&amp;"戸"</f>
        <v>ベニヤ→20戸</v>
      </c>
      <c r="K25" s="20" t="str">
        <f>"既存→"&amp;COUNTIF(K5:K24,"既存")&amp;"戸"</f>
        <v>既存→2戸</v>
      </c>
      <c r="L25" s="20" t="str">
        <f>"普通便座→"&amp;COUNTIF(L5:L24,"普通便座")&amp;"戸"</f>
        <v>普通便座→0戸</v>
      </c>
      <c r="M25" s="20" t="str">
        <f>"有→"&amp;COUNTIF(M5:M24,"有")&amp;"戸"</f>
        <v>有→0戸</v>
      </c>
      <c r="N25" s="20" t="str">
        <f>"有→"&amp;COUNTIF(N5:N24,"有")&amp;"戸"</f>
        <v>有→2戸</v>
      </c>
      <c r="O25" s="20" t="str">
        <f>"有→"&amp;COUNTIF(O5:O24,"有")&amp;"戸"</f>
        <v>有→17戸</v>
      </c>
      <c r="P25" s="20" t="str">
        <f>"クロス→"&amp;COUNTIF(P5:P24,"クロス")&amp;"戸"</f>
        <v>クロス→20戸</v>
      </c>
      <c r="Q25" s="20" t="str">
        <f>"CF→"&amp;COUNTIF(Q5:Q24,"CF")&amp;"戸"</f>
        <v>CF→20戸</v>
      </c>
      <c r="R25" s="20" t="str">
        <f>"1000→"&amp;COUNTIF(R5:R24,"1000")&amp;"戸"</f>
        <v>1000→1戸</v>
      </c>
      <c r="S25" s="20" t="str">
        <f>"可→"&amp;COUNTIF(S5:S24,"可")&amp;"戸"</f>
        <v>可→20戸</v>
      </c>
      <c r="T25" s="20" t="str">
        <f>"900→"&amp;COUNTIF(T5:T24,"900")&amp;"戸"</f>
        <v>900→16戸</v>
      </c>
      <c r="U25" s="20" t="str">
        <f>"有→"&amp;COUNTIF(U5:U24,"有")&amp;"戸"</f>
        <v>有→1戸</v>
      </c>
      <c r="V25" s="20" t="str">
        <f>"クロス→"&amp;COUNTIF(V5:V24,"クロス")&amp;"戸"</f>
        <v>クロス→20戸</v>
      </c>
      <c r="W25" s="20" t="str">
        <f>"CF→"&amp;COUNTIF(W5:W24,"CF")&amp;"戸"</f>
        <v>CF→20戸</v>
      </c>
      <c r="X25" s="20" t="str">
        <f>"既存→"&amp;COUNTIF(X5:X24,"既存")&amp;"戸"</f>
        <v>既存→1戸</v>
      </c>
      <c r="Y25" s="20" t="str">
        <f>"TOTO→"&amp;COUNTIF(Y5:Y24,"TOTO")&amp;"戸"</f>
        <v>TOTO→13戸</v>
      </c>
      <c r="Z25" s="130">
        <f>COUNTA(Z5:Z24)</f>
        <v>14</v>
      </c>
      <c r="AA25" s="20" t="str">
        <f>"可→"&amp;COUNTIF(AA5:AA24,"可")&amp;"戸"</f>
        <v>可→17戸</v>
      </c>
      <c r="AB25" s="20" t="str">
        <f>"既存→"&amp;COUNTIF(AB5:AB24,"既存")&amp;"戸"</f>
        <v>既存→1戸</v>
      </c>
      <c r="AC25" s="130">
        <f>COUNTIF(AC5:AC24,"有")</f>
        <v>1</v>
      </c>
      <c r="AD25" s="130">
        <f>COUNTIF(AD5:AD24,"有")</f>
        <v>11</v>
      </c>
      <c r="AE25" s="20" t="str">
        <f>"ポリ板→"&amp;COUNTIF(AE5:AE24,"ポリ板")&amp;"戸"</f>
        <v>ポリ板→14戸</v>
      </c>
      <c r="AF25" s="20" t="str">
        <f>"ポリ板→"&amp;COUNTIF(AF5:AF24,"ポリ板")&amp;"戸"</f>
        <v>ポリ板→16戸</v>
      </c>
      <c r="AG25" s="20" t="str">
        <f>"既存→"&amp;COUNTIF(AG5:AG24,"既存")&amp;"戸"</f>
        <v>既存→1戸</v>
      </c>
      <c r="AH25" s="20" t="str">
        <f>"洗面所→"&amp;COUNTIF(AH5:AH24,"洗面所")&amp;"戸"</f>
        <v>洗面所→19戸</v>
      </c>
      <c r="AI25" s="130">
        <f>COUNTIF(AI5:AI24,"有")</f>
        <v>4</v>
      </c>
      <c r="AJ25" s="130">
        <f>COUNTIF(AJ5:AJ24,"有")</f>
        <v>3</v>
      </c>
      <c r="AK25" s="130">
        <f>COUNTIF(AK5:AK24,"有")</f>
        <v>5</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賃貸→1戸</v>
      </c>
      <c r="H26" s="35" t="str">
        <f>"更新済み→"&amp;COUNTIF(H5:H24,"更新済み")&amp;"戸"</f>
        <v>更新済み→1戸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無→20戸</v>
      </c>
      <c r="N26" s="35" t="str">
        <f>"無→"&amp;COUNTIF(N5:N24,"無")&amp;"戸"</f>
        <v>無→18戸</v>
      </c>
      <c r="O26" s="35" t="str">
        <f>"無→"&amp;COUNTIF(O5:O24,"無")&amp;"戸"</f>
        <v>無→3戸</v>
      </c>
      <c r="P26" s="35" t="str">
        <f>"珪藻土→"&amp;COUNTIF(P5:P24,"珪藻土")&amp;"戸"</f>
        <v>珪藻土→0戸</v>
      </c>
      <c r="Q26" s="35" t="str">
        <f>"塩ビタイル→"&amp;COUNTIF(Q5:Q24,"塩ビタイル")&amp;"戸"</f>
        <v>塩ビタイル→0戸</v>
      </c>
      <c r="R26" s="35" t="str">
        <f>"900→"&amp;COUNTIF(R5:R24,"900")&amp;"戸"</f>
        <v>900→1戸</v>
      </c>
      <c r="S26" s="35" t="str">
        <f>"不可→"&amp;COUNTIF(S5:S24,"不可")&amp;"戸"</f>
        <v>不可→0戸</v>
      </c>
      <c r="T26" s="35" t="str">
        <f>"800→"&amp;COUNTIF(T5:T24,"800")&amp;"戸"</f>
        <v>800→1戸</v>
      </c>
      <c r="U26" s="35" t="str">
        <f>"無→"&amp;COUNTIF(U5:U24,"無")&amp;"戸"</f>
        <v>無→19戸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リフォーム済み→19戸</v>
      </c>
      <c r="Y26" s="35" t="str">
        <f>"LIXIL→"&amp;COUNTIF(Y5:Y24,"LIXIL")&amp;"戸"</f>
        <v>LIXIL→0戸</v>
      </c>
      <c r="Z26" s="131"/>
      <c r="AA26" s="35" t="str">
        <f>"不可→"&amp;COUNTIF(AA5:AA24,"不可")&amp;"戸"</f>
        <v>不可→3戸</v>
      </c>
      <c r="AB26" s="36" t="str">
        <f>"システム→"&amp;COUNTIF(AB5:AB24,"システム")&amp;"戸"</f>
        <v>システム→19戸</v>
      </c>
      <c r="AC26" s="131"/>
      <c r="AD26" s="131"/>
      <c r="AE26" s="35" t="str">
        <f>"SUS→"&amp;COUNTIF(AE5:AE24,"SUS")&amp;"戸"</f>
        <v>SUS→5戸</v>
      </c>
      <c r="AF26" s="35" t="str">
        <f>"SUS→"&amp;COUNTIF(AF5:AF24,"SUS")&amp;"戸"</f>
        <v>SUS→3戸</v>
      </c>
      <c r="AG26" s="35" t="str">
        <f>"リフォーム済み→"&amp;COUNTIF(AG5:AG24,"リフォーム済み")&amp;"戸"</f>
        <v>リフォーム済み→19戸</v>
      </c>
      <c r="AH26" s="35" t="str">
        <f>"ベランダ→"&amp;COUNTIF(AH5:AH24,"ベランダ")&amp;"戸"</f>
        <v>ベランダ→1戸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750→13戸</v>
      </c>
      <c r="S27" s="35"/>
      <c r="T27" s="35" t="str">
        <f>"740→"&amp;COUNTIF(T5:T24,"740")&amp;"戸"</f>
        <v>740→0戸</v>
      </c>
      <c r="U27" s="23"/>
      <c r="V27" s="35" t="str">
        <f>"塗装→"&amp;COUNTIF(V5:V24,"塗装")&amp;"戸"</f>
        <v>塗装→0戸</v>
      </c>
      <c r="W27" s="35" t="str">
        <f>"フローリング→"&amp;COUNTIF(W5:W24,"フローリング")&amp;"戸"</f>
        <v>フローリング→0戸</v>
      </c>
      <c r="X27" s="35"/>
      <c r="Y27" s="35" t="str">
        <f>"日立→"&amp;COUNTIF(Y5:Y24,"日立")&amp;"戸"</f>
        <v>日立→4戸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35" t="str">
        <f>"空家→"&amp;COUNTIF(G5:G24,"空家")&amp;"戸"</f>
        <v>空家→0戸</v>
      </c>
      <c r="H28" s="39"/>
      <c r="I28" s="28"/>
      <c r="J28" s="27"/>
      <c r="K28" s="35" t="str">
        <f>"一体型→"&amp;COUNTIF(K5:K24,"一体型")&amp;"戸"</f>
        <v>一体型→0戸</v>
      </c>
      <c r="L28" s="28"/>
      <c r="M28" s="28"/>
      <c r="N28" s="28"/>
      <c r="O28" s="28"/>
      <c r="P28" s="28"/>
      <c r="Q28" s="28"/>
      <c r="R28" s="35" t="str">
        <f>"740→"&amp;COUNTIF(R5:R24,"740")&amp;"戸"</f>
        <v>740→4戸</v>
      </c>
      <c r="S28" s="27"/>
      <c r="T28" s="35" t="str">
        <f>"640→"&amp;COUNTIF(T5:T24,"640")&amp;"戸"</f>
        <v>640→2戸</v>
      </c>
      <c r="U28" s="28"/>
      <c r="V28" s="27"/>
      <c r="W28" s="27"/>
      <c r="X28" s="27"/>
      <c r="Y28" s="35" t="str">
        <f>"不明→"&amp;COUNTIF(Y5:Y24,"不明")&amp;"戸"</f>
        <v>不明→2戸</v>
      </c>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1"/>
    </row>
    <row r="29" spans="1:43" s="2" customFormat="1" x14ac:dyDescent="0.4">
      <c r="A29" s="31"/>
      <c r="AI29" s="37"/>
      <c r="AJ29" s="37"/>
      <c r="AQ29" s="1"/>
    </row>
  </sheetData>
  <autoFilter ref="AI3:AK28" xr:uid="{1A4E25DF-4D98-44A6-BE2D-EAAB731D59EF}"/>
  <mergeCells count="48">
    <mergeCell ref="AQ3:AQ4"/>
    <mergeCell ref="AL21:AP21"/>
    <mergeCell ref="AL22:AP22"/>
    <mergeCell ref="AL23:AP23"/>
    <mergeCell ref="AL24:AP24"/>
    <mergeCell ref="AL20:AP20"/>
    <mergeCell ref="AL9:AP9"/>
    <mergeCell ref="AL10:AP10"/>
    <mergeCell ref="AL11:AP11"/>
    <mergeCell ref="AL12:AP12"/>
    <mergeCell ref="AL13:AP13"/>
    <mergeCell ref="AL14:AP14"/>
    <mergeCell ref="AL15:AP15"/>
    <mergeCell ref="AL16:AP16"/>
    <mergeCell ref="AL17:AP17"/>
    <mergeCell ref="AL18:AP18"/>
    <mergeCell ref="A25:E28"/>
    <mergeCell ref="F25:F28"/>
    <mergeCell ref="AL25:AP28"/>
    <mergeCell ref="Z25:Z28"/>
    <mergeCell ref="AC25:AC28"/>
    <mergeCell ref="AI25:AI28"/>
    <mergeCell ref="AJ25:AJ28"/>
    <mergeCell ref="AK25:AK28"/>
    <mergeCell ref="AD25:AD2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54B7E083-ED1D-4993-A189-61E04CB63D3E}"/>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3" max="2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E7F93A8E-6134-492B-B9DC-23AEE1A0A0B6}">
          <x14:formula1>
            <xm:f>Sheet1!$C$9:$C$11</xm:f>
          </x14:formula1>
          <xm:sqref>Q5:Q24 W5:W24</xm:sqref>
        </x14:dataValidation>
        <x14:dataValidation type="list" allowBlank="1" showInputMessage="1" showErrorMessage="1" xr:uid="{632B66D3-2D95-465E-8A71-706DD2783C60}">
          <x14:formula1>
            <xm:f>Sheet1!$A$1:$A$4</xm:f>
          </x14:formula1>
          <xm:sqref>G5:G24</xm:sqref>
        </x14:dataValidation>
        <x14:dataValidation type="list" allowBlank="1" showInputMessage="1" showErrorMessage="1" xr:uid="{869DC0F7-123A-4A77-8576-9BA4A215FF1B}">
          <x14:formula1>
            <xm:f>Sheet1!$A$6:$A$7</xm:f>
          </x14:formula1>
          <xm:sqref>H5:H24</xm:sqref>
        </x14:dataValidation>
        <x14:dataValidation type="list" allowBlank="1" showInputMessage="1" showErrorMessage="1" xr:uid="{3452ADE8-745D-451F-800C-AA7F979EB08C}">
          <x14:formula1>
            <xm:f>Sheet1!$A$9:$A$11</xm:f>
          </x14:formula1>
          <xm:sqref>V5:V24 P5:P24 I5:I24</xm:sqref>
        </x14:dataValidation>
        <x14:dataValidation type="list" allowBlank="1" showInputMessage="1" showErrorMessage="1" xr:uid="{6926E3E3-3CD1-4E1E-85F0-CA96D67C56D7}">
          <x14:formula1>
            <xm:f>Sheet1!$D$1:$D$3</xm:f>
          </x14:formula1>
          <xm:sqref>J5:J24</xm:sqref>
        </x14:dataValidation>
        <x14:dataValidation type="list" allowBlank="1" showInputMessage="1" showErrorMessage="1" xr:uid="{1139D53F-6B18-4715-A769-0D5CA9C0048F}">
          <x14:formula1>
            <xm:f>Sheet1!$G$9:$G$12</xm:f>
          </x14:formula1>
          <xm:sqref>K5:K24</xm:sqref>
        </x14:dataValidation>
        <x14:dataValidation type="list" allowBlank="1" showInputMessage="1" showErrorMessage="1" xr:uid="{AFDEE161-0F1F-4B0D-8C2A-50A00EEE8E35}">
          <x14:formula1>
            <xm:f>Sheet1!$E$9:$E$11</xm:f>
          </x14:formula1>
          <xm:sqref>L5:L20 L22:L24</xm:sqref>
        </x14:dataValidation>
        <x14:dataValidation type="list" allowBlank="1" showInputMessage="1" showErrorMessage="1" xr:uid="{5E1266A3-1B98-47FA-8287-8EBFCD07F981}">
          <x14:formula1>
            <xm:f>Sheet1!$C$6:$C$7</xm:f>
          </x14:formula1>
          <xm:sqref>M5:O24 AC5:AD24 U5:U24 AJ5:AK24</xm:sqref>
        </x14:dataValidation>
        <x14:dataValidation type="list" allowBlank="1" showInputMessage="1" showErrorMessage="1" xr:uid="{73DEBCB1-A75C-498A-BCE0-DCC37BC881A0}">
          <x14:formula1>
            <xm:f>Sheet1!$A$17:$A$20</xm:f>
          </x14:formula1>
          <xm:sqref>R5:R6 R10:R11 R13:R18 R20:R24</xm:sqref>
        </x14:dataValidation>
        <x14:dataValidation type="list" allowBlank="1" showInputMessage="1" showErrorMessage="1" xr:uid="{04C4F71F-2AD9-4243-A9FA-11E38233270D}">
          <x14:formula1>
            <xm:f>Sheet1!$C$17:$C$20</xm:f>
          </x14:formula1>
          <xm:sqref>T5:T12 T14:T16 T18:T20 T22:T23</xm:sqref>
        </x14:dataValidation>
        <x14:dataValidation type="list" allowBlank="1" showInputMessage="1" showErrorMessage="1" xr:uid="{62819D49-F571-4F2D-9454-2B9EE9356BA2}">
          <x14:formula1>
            <xm:f>Sheet1!$A$13:$A$15</xm:f>
          </x14:formula1>
          <xm:sqref>AB5:AB24</xm:sqref>
        </x14:dataValidation>
        <x14:dataValidation type="list" allowBlank="1" showInputMessage="1" showErrorMessage="1" xr:uid="{E811551B-5381-429F-9105-5D89BBD7239A}">
          <x14:formula1>
            <xm:f>Sheet1!$G$1:$G$4</xm:f>
          </x14:formula1>
          <xm:sqref>AE5:AF24</xm:sqref>
        </x14:dataValidation>
        <x14:dataValidation type="list" allowBlank="1" showInputMessage="1" showErrorMessage="1" xr:uid="{CC31B999-F261-44A1-97F5-8F208AC3500A}">
          <x14:formula1>
            <xm:f>Sheet1!$E$17:$E$18</xm:f>
          </x14:formula1>
          <xm:sqref>AG5:AG24</xm:sqref>
        </x14:dataValidation>
        <x14:dataValidation type="list" allowBlank="1" showInputMessage="1" showErrorMessage="1" xr:uid="{CC2EB66A-0C53-4E21-A360-FE0F632FA1BB}">
          <x14:formula1>
            <xm:f>Sheet1!$G$17:$G$18</xm:f>
          </x14:formula1>
          <xm:sqref>AH5:AH24</xm:sqref>
        </x14:dataValidation>
        <x14:dataValidation type="list" allowBlank="1" showInputMessage="1" showErrorMessage="1" xr:uid="{E8F61529-443A-40E5-8CE9-6BCF1CBB341A}">
          <x14:formula1>
            <xm:f>Sheet1!$I$1:$I$2</xm:f>
          </x14:formula1>
          <xm:sqref>X5:X24</xm:sqref>
        </x14:dataValidation>
        <x14:dataValidation type="list" allowBlank="1" showInputMessage="1" showErrorMessage="1" xr:uid="{EB4036D8-639E-4C1B-BC73-50CD8E833538}">
          <x14:formula1>
            <xm:f>Sheet1!$G$6:$G$7</xm:f>
          </x14:formula1>
          <xm:sqref>S5:S24 AA5:AA24</xm:sqref>
        </x14:dataValidation>
        <x14:dataValidation type="list" allowBlank="1" showInputMessage="1" showErrorMessage="1" xr:uid="{E5C14CB7-2E1F-4005-958C-B30B0103BE05}">
          <x14:formula1>
            <xm:f>Sheet1!$C$6:$C$8</xm:f>
          </x14:formula1>
          <xm:sqref>AI5:AI24</xm:sqref>
        </x14:dataValidation>
        <x14:dataValidation type="list" allowBlank="1" showInputMessage="1" showErrorMessage="1" xr:uid="{2E4B002E-1A17-4276-9A73-0490E319C889}">
          <x14:formula1>
            <xm:f>Sheet1!$I$9:$I$13</xm:f>
          </x14:formula1>
          <xm:sqref>Y5:Y6 Y17:Y18 Y11:Y15 Y20:Y24 Y8:Y9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84715-6546-49BD-A8A2-837BEB844E7C}">
  <sheetPr codeName="Sheet4">
    <tabColor rgb="FF92D050"/>
  </sheetPr>
  <dimension ref="A1:AT39"/>
  <sheetViews>
    <sheetView view="pageBreakPreview" zoomScaleNormal="40" zoomScaleSheetLayoutView="70" workbookViewId="0">
      <pane xSplit="5" ySplit="4" topLeftCell="F11" activePane="bottomRight" state="frozen"/>
      <selection activeCell="N11" sqref="N11"/>
      <selection pane="topRight" activeCell="N11" sqref="N11"/>
      <selection pane="bottomLeft" activeCell="N11" sqref="N11"/>
      <selection pane="bottomRight" activeCell="D31" sqref="D31"/>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988</v>
      </c>
      <c r="P4" s="5" t="s">
        <v>16</v>
      </c>
      <c r="Q4" s="5" t="s">
        <v>15</v>
      </c>
      <c r="R4" s="5" t="s">
        <v>9</v>
      </c>
      <c r="S4" s="5" t="s">
        <v>66</v>
      </c>
      <c r="T4" s="5" t="s">
        <v>10</v>
      </c>
      <c r="U4" s="5" t="s">
        <v>17</v>
      </c>
      <c r="V4" s="5" t="s">
        <v>16</v>
      </c>
      <c r="W4" s="5" t="s">
        <v>15</v>
      </c>
      <c r="X4" s="5" t="s">
        <v>75</v>
      </c>
      <c r="Y4" s="5" t="s">
        <v>73</v>
      </c>
      <c r="Z4" s="5" t="s">
        <v>74</v>
      </c>
      <c r="AA4" s="5" t="s">
        <v>64</v>
      </c>
      <c r="AB4" s="4" t="s">
        <v>2</v>
      </c>
      <c r="AC4" s="3" t="s">
        <v>11</v>
      </c>
      <c r="AD4" s="3" t="s">
        <v>2664</v>
      </c>
      <c r="AE4" s="3" t="s">
        <v>55</v>
      </c>
      <c r="AF4" s="3" t="s">
        <v>56</v>
      </c>
      <c r="AG4" s="3" t="s">
        <v>2</v>
      </c>
      <c r="AH4" s="3" t="s">
        <v>61</v>
      </c>
      <c r="AI4" s="98"/>
      <c r="AJ4" s="100"/>
      <c r="AK4" s="100"/>
      <c r="AL4" s="89"/>
      <c r="AM4" s="102"/>
      <c r="AN4" s="102"/>
      <c r="AO4" s="102"/>
      <c r="AP4" s="90"/>
    </row>
    <row r="5" spans="1:46" s="10" customFormat="1" ht="15" customHeight="1" x14ac:dyDescent="0.4">
      <c r="A5" s="6">
        <v>4</v>
      </c>
      <c r="B5" s="6">
        <v>101</v>
      </c>
      <c r="C5" s="6" t="s">
        <v>79</v>
      </c>
      <c r="D5" s="18" t="s">
        <v>372</v>
      </c>
      <c r="E5" s="32" t="s">
        <v>18</v>
      </c>
      <c r="F5" s="6" t="s">
        <v>373</v>
      </c>
      <c r="G5" s="6" t="s">
        <v>43</v>
      </c>
      <c r="H5" s="6" t="s">
        <v>52</v>
      </c>
      <c r="I5" s="6" t="s">
        <v>84</v>
      </c>
      <c r="J5" s="6" t="s">
        <v>85</v>
      </c>
      <c r="K5" s="6" t="s">
        <v>60</v>
      </c>
      <c r="L5" s="6" t="s">
        <v>92</v>
      </c>
      <c r="M5" s="6" t="s">
        <v>45</v>
      </c>
      <c r="N5" s="6" t="s">
        <v>45</v>
      </c>
      <c r="O5" s="6" t="s">
        <v>23</v>
      </c>
      <c r="P5" s="6" t="s">
        <v>84</v>
      </c>
      <c r="Q5" s="6" t="s">
        <v>86</v>
      </c>
      <c r="R5" s="6">
        <v>750</v>
      </c>
      <c r="S5" s="16" t="s">
        <v>39</v>
      </c>
      <c r="T5" s="6">
        <v>640</v>
      </c>
      <c r="U5" s="6" t="s">
        <v>45</v>
      </c>
      <c r="V5" s="6" t="s">
        <v>84</v>
      </c>
      <c r="W5" s="6" t="s">
        <v>86</v>
      </c>
      <c r="X5" s="16" t="s">
        <v>60</v>
      </c>
      <c r="Y5" s="16" t="s">
        <v>374</v>
      </c>
      <c r="Z5" s="16"/>
      <c r="AA5" s="16" t="s">
        <v>39</v>
      </c>
      <c r="AB5" s="7" t="s">
        <v>88</v>
      </c>
      <c r="AC5" s="8" t="s">
        <v>45</v>
      </c>
      <c r="AD5" s="8" t="s">
        <v>23</v>
      </c>
      <c r="AE5" s="8" t="s">
        <v>50</v>
      </c>
      <c r="AF5" s="16" t="s">
        <v>50</v>
      </c>
      <c r="AG5" s="17" t="s">
        <v>60</v>
      </c>
      <c r="AH5" s="17" t="s">
        <v>96</v>
      </c>
      <c r="AI5" s="17" t="s">
        <v>45</v>
      </c>
      <c r="AJ5" s="17" t="s">
        <v>23</v>
      </c>
      <c r="AK5" s="9" t="s">
        <v>23</v>
      </c>
      <c r="AL5" s="103" t="s">
        <v>375</v>
      </c>
      <c r="AM5" s="104"/>
      <c r="AN5" s="104"/>
      <c r="AO5" s="104"/>
      <c r="AP5" s="105"/>
    </row>
    <row r="6" spans="1:46" s="14" customFormat="1" ht="15" customHeight="1" x14ac:dyDescent="0.4">
      <c r="A6" s="11">
        <v>4</v>
      </c>
      <c r="B6" s="11">
        <v>201</v>
      </c>
      <c r="C6" s="11" t="s">
        <v>79</v>
      </c>
      <c r="D6" s="13" t="s">
        <v>313</v>
      </c>
      <c r="E6" s="33" t="s">
        <v>18</v>
      </c>
      <c r="F6" s="11" t="s">
        <v>314</v>
      </c>
      <c r="G6" s="11" t="s">
        <v>43</v>
      </c>
      <c r="H6" s="11" t="s">
        <v>52</v>
      </c>
      <c r="I6" s="11" t="s">
        <v>84</v>
      </c>
      <c r="J6" s="11" t="s">
        <v>85</v>
      </c>
      <c r="K6" s="11" t="s">
        <v>19</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596</v>
      </c>
      <c r="AA6" s="40" t="s">
        <v>39</v>
      </c>
      <c r="AB6" s="12" t="s">
        <v>19</v>
      </c>
      <c r="AC6" s="11" t="s">
        <v>45</v>
      </c>
      <c r="AD6" s="11" t="s">
        <v>45</v>
      </c>
      <c r="AE6" s="11" t="s">
        <v>116</v>
      </c>
      <c r="AF6" s="11" t="s">
        <v>50</v>
      </c>
      <c r="AG6" s="13" t="s">
        <v>60</v>
      </c>
      <c r="AH6" s="13" t="s">
        <v>62</v>
      </c>
      <c r="AI6" s="13" t="s">
        <v>45</v>
      </c>
      <c r="AJ6" s="13" t="s">
        <v>23</v>
      </c>
      <c r="AK6" s="13" t="s">
        <v>45</v>
      </c>
      <c r="AL6" s="94" t="s">
        <v>315</v>
      </c>
      <c r="AM6" s="95"/>
      <c r="AN6" s="95"/>
      <c r="AO6" s="95"/>
      <c r="AP6" s="96"/>
    </row>
    <row r="7" spans="1:46" s="10" customFormat="1" ht="31.5" customHeight="1" x14ac:dyDescent="0.4">
      <c r="A7" s="6">
        <v>4</v>
      </c>
      <c r="B7" s="6">
        <v>301</v>
      </c>
      <c r="C7" s="6" t="s">
        <v>79</v>
      </c>
      <c r="D7" s="18" t="s">
        <v>299</v>
      </c>
      <c r="E7" s="34" t="s">
        <v>18</v>
      </c>
      <c r="F7" s="46" t="s">
        <v>300</v>
      </c>
      <c r="G7" s="6" t="s">
        <v>43</v>
      </c>
      <c r="H7" s="6" t="s">
        <v>52</v>
      </c>
      <c r="I7" s="6" t="s">
        <v>84</v>
      </c>
      <c r="J7" s="6" t="s">
        <v>85</v>
      </c>
      <c r="K7" s="6" t="s">
        <v>60</v>
      </c>
      <c r="L7" s="6" t="s">
        <v>92</v>
      </c>
      <c r="M7" s="6" t="s">
        <v>45</v>
      </c>
      <c r="N7" s="6" t="s">
        <v>45</v>
      </c>
      <c r="O7" s="6" t="s">
        <v>23</v>
      </c>
      <c r="P7" s="6" t="s">
        <v>84</v>
      </c>
      <c r="Q7" s="6" t="s">
        <v>86</v>
      </c>
      <c r="R7" s="6">
        <v>750</v>
      </c>
      <c r="S7" s="6" t="s">
        <v>39</v>
      </c>
      <c r="T7" s="6">
        <v>900</v>
      </c>
      <c r="U7" s="6" t="s">
        <v>45</v>
      </c>
      <c r="V7" s="6" t="s">
        <v>84</v>
      </c>
      <c r="W7" s="6" t="s">
        <v>86</v>
      </c>
      <c r="X7" s="6" t="s">
        <v>19</v>
      </c>
      <c r="Y7" s="6"/>
      <c r="Z7" s="6"/>
      <c r="AA7" s="6" t="s">
        <v>65</v>
      </c>
      <c r="AB7" s="15" t="s">
        <v>19</v>
      </c>
      <c r="AC7" s="16" t="s">
        <v>45</v>
      </c>
      <c r="AD7" s="16" t="s">
        <v>45</v>
      </c>
      <c r="AE7" s="16" t="s">
        <v>116</v>
      </c>
      <c r="AF7" s="16" t="s">
        <v>50</v>
      </c>
      <c r="AG7" s="17" t="s">
        <v>60</v>
      </c>
      <c r="AH7" s="17" t="s">
        <v>62</v>
      </c>
      <c r="AI7" s="17" t="s">
        <v>23</v>
      </c>
      <c r="AJ7" s="17" t="s">
        <v>23</v>
      </c>
      <c r="AK7" s="17" t="s">
        <v>45</v>
      </c>
      <c r="AL7" s="78" t="s">
        <v>301</v>
      </c>
      <c r="AM7" s="79"/>
      <c r="AN7" s="79"/>
      <c r="AO7" s="79"/>
      <c r="AP7" s="80"/>
    </row>
    <row r="8" spans="1:46" s="14" customFormat="1" ht="15" customHeight="1" x14ac:dyDescent="0.4">
      <c r="A8" s="11">
        <v>4</v>
      </c>
      <c r="B8" s="11">
        <v>401</v>
      </c>
      <c r="C8" s="11" t="s">
        <v>79</v>
      </c>
      <c r="D8" s="13" t="s">
        <v>302</v>
      </c>
      <c r="E8" s="33" t="s">
        <v>18</v>
      </c>
      <c r="F8" s="11" t="s">
        <v>303</v>
      </c>
      <c r="G8" s="11" t="s">
        <v>43</v>
      </c>
      <c r="H8" s="11" t="s">
        <v>52</v>
      </c>
      <c r="I8" s="11" t="s">
        <v>84</v>
      </c>
      <c r="J8" s="11" t="s">
        <v>85</v>
      </c>
      <c r="K8" s="11" t="s">
        <v>60</v>
      </c>
      <c r="L8" s="11" t="s">
        <v>92</v>
      </c>
      <c r="M8" s="11" t="s">
        <v>45</v>
      </c>
      <c r="N8" s="11" t="s">
        <v>45</v>
      </c>
      <c r="O8" s="11" t="s">
        <v>23</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50</v>
      </c>
      <c r="AF8" s="11" t="s">
        <v>50</v>
      </c>
      <c r="AG8" s="13" t="s">
        <v>60</v>
      </c>
      <c r="AH8" s="13" t="s">
        <v>62</v>
      </c>
      <c r="AI8" s="13" t="s">
        <v>23</v>
      </c>
      <c r="AJ8" s="13" t="s">
        <v>23</v>
      </c>
      <c r="AK8" s="13" t="s">
        <v>45</v>
      </c>
      <c r="AL8" s="94" t="s">
        <v>304</v>
      </c>
      <c r="AM8" s="95"/>
      <c r="AN8" s="95"/>
      <c r="AO8" s="95"/>
      <c r="AP8" s="96"/>
    </row>
    <row r="9" spans="1:46" s="10" customFormat="1" ht="34.5" customHeight="1" x14ac:dyDescent="0.4">
      <c r="A9" s="6">
        <v>4</v>
      </c>
      <c r="B9" s="6">
        <v>501</v>
      </c>
      <c r="C9" s="6" t="s">
        <v>79</v>
      </c>
      <c r="D9" s="18" t="s">
        <v>305</v>
      </c>
      <c r="E9" s="34" t="s">
        <v>18</v>
      </c>
      <c r="F9" s="6" t="s">
        <v>306</v>
      </c>
      <c r="G9" s="6" t="s">
        <v>43</v>
      </c>
      <c r="H9" s="6" t="s">
        <v>52</v>
      </c>
      <c r="I9" s="6" t="s">
        <v>84</v>
      </c>
      <c r="J9" s="6" t="s">
        <v>85</v>
      </c>
      <c r="K9" s="6" t="s">
        <v>60</v>
      </c>
      <c r="L9" s="6" t="s">
        <v>92</v>
      </c>
      <c r="M9" s="6" t="s">
        <v>45</v>
      </c>
      <c r="N9" s="6" t="s">
        <v>45</v>
      </c>
      <c r="O9" s="6" t="s">
        <v>45</v>
      </c>
      <c r="P9" s="6" t="s">
        <v>84</v>
      </c>
      <c r="Q9" s="6" t="s">
        <v>86</v>
      </c>
      <c r="R9" s="6">
        <v>750</v>
      </c>
      <c r="S9" s="6" t="s">
        <v>39</v>
      </c>
      <c r="T9" s="48"/>
      <c r="U9" s="48"/>
      <c r="V9" s="48"/>
      <c r="W9" s="48"/>
      <c r="X9" s="48"/>
      <c r="Y9" s="48"/>
      <c r="Z9" s="48"/>
      <c r="AA9" s="48"/>
      <c r="AB9" s="49"/>
      <c r="AC9" s="48"/>
      <c r="AD9" s="48"/>
      <c r="AE9" s="48"/>
      <c r="AF9" s="48"/>
      <c r="AG9" s="17" t="s">
        <v>60</v>
      </c>
      <c r="AH9" s="17" t="s">
        <v>96</v>
      </c>
      <c r="AI9" s="17" t="s">
        <v>45</v>
      </c>
      <c r="AJ9" s="17" t="s">
        <v>23</v>
      </c>
      <c r="AK9" s="17" t="s">
        <v>45</v>
      </c>
      <c r="AL9" s="106" t="s">
        <v>829</v>
      </c>
      <c r="AM9" s="79"/>
      <c r="AN9" s="79"/>
      <c r="AO9" s="79"/>
      <c r="AP9" s="80"/>
    </row>
    <row r="10" spans="1:46" s="14" customFormat="1" ht="72" customHeight="1" x14ac:dyDescent="0.4">
      <c r="A10" s="11">
        <v>4</v>
      </c>
      <c r="B10" s="11">
        <v>102</v>
      </c>
      <c r="C10" s="11" t="s">
        <v>79</v>
      </c>
      <c r="D10" s="13" t="s">
        <v>1762</v>
      </c>
      <c r="E10" s="33" t="s">
        <v>18</v>
      </c>
      <c r="F10" s="11" t="s">
        <v>1763</v>
      </c>
      <c r="G10" s="11" t="s">
        <v>43</v>
      </c>
      <c r="H10" s="11" t="s">
        <v>52</v>
      </c>
      <c r="I10" s="11" t="s">
        <v>84</v>
      </c>
      <c r="J10" s="11" t="s">
        <v>85</v>
      </c>
      <c r="K10" s="11" t="s">
        <v>60</v>
      </c>
      <c r="L10" s="11" t="s">
        <v>92</v>
      </c>
      <c r="M10" s="11" t="s">
        <v>45</v>
      </c>
      <c r="N10" s="11" t="s">
        <v>23</v>
      </c>
      <c r="O10" s="11" t="s">
        <v>23</v>
      </c>
      <c r="P10" s="11" t="s">
        <v>84</v>
      </c>
      <c r="Q10" s="11" t="s">
        <v>1767</v>
      </c>
      <c r="R10" s="11">
        <v>750</v>
      </c>
      <c r="S10" s="40" t="s">
        <v>39</v>
      </c>
      <c r="T10" s="11">
        <v>900</v>
      </c>
      <c r="U10" s="11" t="s">
        <v>45</v>
      </c>
      <c r="V10" s="11" t="s">
        <v>84</v>
      </c>
      <c r="W10" s="45" t="s">
        <v>1766</v>
      </c>
      <c r="X10" s="40" t="s">
        <v>60</v>
      </c>
      <c r="Y10" s="40" t="s">
        <v>87</v>
      </c>
      <c r="Z10" s="40" t="s">
        <v>1764</v>
      </c>
      <c r="AA10" s="40" t="s">
        <v>65</v>
      </c>
      <c r="AB10" s="12" t="s">
        <v>19</v>
      </c>
      <c r="AC10" s="11" t="s">
        <v>45</v>
      </c>
      <c r="AD10" s="11" t="s">
        <v>23</v>
      </c>
      <c r="AE10" s="11" t="s">
        <v>50</v>
      </c>
      <c r="AF10" s="11" t="s">
        <v>50</v>
      </c>
      <c r="AG10" s="13" t="s">
        <v>60</v>
      </c>
      <c r="AH10" s="13" t="s">
        <v>96</v>
      </c>
      <c r="AI10" s="13" t="s">
        <v>45</v>
      </c>
      <c r="AJ10" s="13" t="s">
        <v>45</v>
      </c>
      <c r="AK10" s="13" t="s">
        <v>45</v>
      </c>
      <c r="AL10" s="133" t="s">
        <v>1765</v>
      </c>
      <c r="AM10" s="134"/>
      <c r="AN10" s="134"/>
      <c r="AO10" s="134"/>
      <c r="AP10" s="135"/>
    </row>
    <row r="11" spans="1:46" s="10" customFormat="1" ht="58.5" customHeight="1" x14ac:dyDescent="0.4">
      <c r="A11" s="6">
        <v>4</v>
      </c>
      <c r="B11" s="6">
        <v>202</v>
      </c>
      <c r="C11" s="6" t="s">
        <v>79</v>
      </c>
      <c r="D11" s="18" t="s">
        <v>2692</v>
      </c>
      <c r="E11" s="34" t="s">
        <v>18</v>
      </c>
      <c r="F11" s="6" t="s">
        <v>2693</v>
      </c>
      <c r="G11" s="6" t="s">
        <v>43</v>
      </c>
      <c r="H11" s="6" t="s">
        <v>52</v>
      </c>
      <c r="I11" s="6" t="s">
        <v>84</v>
      </c>
      <c r="J11" s="6" t="s">
        <v>85</v>
      </c>
      <c r="K11" s="6" t="s">
        <v>60</v>
      </c>
      <c r="L11" s="6" t="s">
        <v>92</v>
      </c>
      <c r="M11" s="6" t="s">
        <v>45</v>
      </c>
      <c r="N11" s="6" t="s">
        <v>45</v>
      </c>
      <c r="O11" s="6" t="s">
        <v>45</v>
      </c>
      <c r="P11" s="6" t="s">
        <v>84</v>
      </c>
      <c r="Q11" s="6" t="s">
        <v>86</v>
      </c>
      <c r="R11" s="6">
        <v>750</v>
      </c>
      <c r="S11" s="6" t="s">
        <v>39</v>
      </c>
      <c r="T11" s="6">
        <v>640</v>
      </c>
      <c r="U11" s="6" t="s">
        <v>45</v>
      </c>
      <c r="V11" s="6" t="s">
        <v>84</v>
      </c>
      <c r="W11" s="6" t="s">
        <v>86</v>
      </c>
      <c r="X11" s="6" t="s">
        <v>60</v>
      </c>
      <c r="Y11" s="6" t="s">
        <v>87</v>
      </c>
      <c r="Z11" s="6" t="s">
        <v>2694</v>
      </c>
      <c r="AA11" s="6" t="s">
        <v>39</v>
      </c>
      <c r="AB11" s="15" t="s">
        <v>88</v>
      </c>
      <c r="AC11" s="16" t="s">
        <v>45</v>
      </c>
      <c r="AD11" s="16" t="s">
        <v>23</v>
      </c>
      <c r="AE11" s="16" t="s">
        <v>50</v>
      </c>
      <c r="AF11" s="16" t="s">
        <v>50</v>
      </c>
      <c r="AG11" s="17" t="s">
        <v>60</v>
      </c>
      <c r="AH11" s="17" t="s">
        <v>62</v>
      </c>
      <c r="AI11" s="17" t="s">
        <v>45</v>
      </c>
      <c r="AJ11" s="17" t="s">
        <v>23</v>
      </c>
      <c r="AK11" s="17" t="s">
        <v>45</v>
      </c>
      <c r="AL11" s="106" t="s">
        <v>2695</v>
      </c>
      <c r="AM11" s="107"/>
      <c r="AN11" s="107"/>
      <c r="AO11" s="107"/>
      <c r="AP11" s="108"/>
    </row>
    <row r="12" spans="1:46" s="14" customFormat="1" ht="31.5" customHeight="1" x14ac:dyDescent="0.4">
      <c r="A12" s="11">
        <v>4</v>
      </c>
      <c r="B12" s="11">
        <v>302</v>
      </c>
      <c r="C12" s="11" t="s">
        <v>79</v>
      </c>
      <c r="D12" s="13" t="s">
        <v>316</v>
      </c>
      <c r="E12" s="33" t="s">
        <v>18</v>
      </c>
      <c r="F12" s="45" t="s">
        <v>317</v>
      </c>
      <c r="G12" s="11" t="s">
        <v>43</v>
      </c>
      <c r="H12" s="11" t="s">
        <v>52</v>
      </c>
      <c r="I12" s="11" t="s">
        <v>84</v>
      </c>
      <c r="J12" s="11" t="s">
        <v>85</v>
      </c>
      <c r="K12" s="11" t="s">
        <v>19</v>
      </c>
      <c r="L12" s="11" t="s">
        <v>92</v>
      </c>
      <c r="M12" s="11" t="s">
        <v>45</v>
      </c>
      <c r="N12" s="11" t="s">
        <v>45</v>
      </c>
      <c r="O12" s="11" t="s">
        <v>23</v>
      </c>
      <c r="P12" s="11" t="s">
        <v>84</v>
      </c>
      <c r="Q12" s="11" t="s">
        <v>86</v>
      </c>
      <c r="R12" s="11">
        <v>750</v>
      </c>
      <c r="S12" s="40" t="s">
        <v>39</v>
      </c>
      <c r="T12" s="11">
        <v>900</v>
      </c>
      <c r="U12" s="11" t="s">
        <v>45</v>
      </c>
      <c r="V12" s="11" t="s">
        <v>84</v>
      </c>
      <c r="W12" s="11" t="s">
        <v>86</v>
      </c>
      <c r="X12" s="40" t="s">
        <v>19</v>
      </c>
      <c r="Y12" s="40"/>
      <c r="Z12" s="40"/>
      <c r="AA12" s="40" t="s">
        <v>65</v>
      </c>
      <c r="AB12" s="12" t="s">
        <v>19</v>
      </c>
      <c r="AC12" s="11" t="s">
        <v>45</v>
      </c>
      <c r="AD12" s="11" t="s">
        <v>45</v>
      </c>
      <c r="AE12" s="11" t="s">
        <v>116</v>
      </c>
      <c r="AF12" s="11" t="s">
        <v>50</v>
      </c>
      <c r="AG12" s="13" t="s">
        <v>60</v>
      </c>
      <c r="AH12" s="13" t="s">
        <v>62</v>
      </c>
      <c r="AI12" s="13" t="s">
        <v>45</v>
      </c>
      <c r="AJ12" s="13" t="s">
        <v>23</v>
      </c>
      <c r="AK12" s="13" t="s">
        <v>23</v>
      </c>
      <c r="AL12" s="94" t="s">
        <v>318</v>
      </c>
      <c r="AM12" s="95"/>
      <c r="AN12" s="95"/>
      <c r="AO12" s="95"/>
      <c r="AP12" s="96"/>
    </row>
    <row r="13" spans="1:46" s="10" customFormat="1" ht="15" customHeight="1" x14ac:dyDescent="0.4">
      <c r="A13" s="6">
        <v>4</v>
      </c>
      <c r="B13" s="6">
        <v>402</v>
      </c>
      <c r="C13" s="6" t="s">
        <v>79</v>
      </c>
      <c r="D13" s="18" t="s">
        <v>329</v>
      </c>
      <c r="E13" s="34" t="s">
        <v>18</v>
      </c>
      <c r="F13" s="6" t="s">
        <v>330</v>
      </c>
      <c r="G13" s="6" t="s">
        <v>43</v>
      </c>
      <c r="H13" s="6" t="s">
        <v>52</v>
      </c>
      <c r="I13" s="6" t="s">
        <v>84</v>
      </c>
      <c r="J13" s="6" t="s">
        <v>85</v>
      </c>
      <c r="K13" s="6" t="s">
        <v>60</v>
      </c>
      <c r="L13" s="6" t="s">
        <v>92</v>
      </c>
      <c r="M13" s="6" t="s">
        <v>45</v>
      </c>
      <c r="N13" s="6" t="s">
        <v>45</v>
      </c>
      <c r="O13" s="6" t="s">
        <v>23</v>
      </c>
      <c r="P13" s="6" t="s">
        <v>84</v>
      </c>
      <c r="Q13" s="6" t="s">
        <v>86</v>
      </c>
      <c r="R13" s="6">
        <v>740</v>
      </c>
      <c r="S13" s="6" t="s">
        <v>39</v>
      </c>
      <c r="T13" s="6">
        <v>900</v>
      </c>
      <c r="U13" s="6" t="s">
        <v>45</v>
      </c>
      <c r="V13" s="6" t="s">
        <v>84</v>
      </c>
      <c r="W13" s="6" t="s">
        <v>86</v>
      </c>
      <c r="X13" s="6" t="s">
        <v>60</v>
      </c>
      <c r="Y13" s="50" t="s">
        <v>141</v>
      </c>
      <c r="Z13" s="6"/>
      <c r="AA13" s="6" t="s">
        <v>65</v>
      </c>
      <c r="AB13" s="15" t="s">
        <v>88</v>
      </c>
      <c r="AC13" s="16" t="s">
        <v>45</v>
      </c>
      <c r="AD13" s="16" t="s">
        <v>23</v>
      </c>
      <c r="AE13" s="16" t="s">
        <v>50</v>
      </c>
      <c r="AF13" s="16" t="s">
        <v>50</v>
      </c>
      <c r="AG13" s="17" t="s">
        <v>60</v>
      </c>
      <c r="AH13" s="17" t="s">
        <v>62</v>
      </c>
      <c r="AI13" s="17" t="s">
        <v>45</v>
      </c>
      <c r="AJ13" s="17" t="s">
        <v>45</v>
      </c>
      <c r="AK13" s="17" t="s">
        <v>45</v>
      </c>
      <c r="AL13" s="78" t="s">
        <v>1406</v>
      </c>
      <c r="AM13" s="79"/>
      <c r="AN13" s="79"/>
      <c r="AO13" s="79"/>
      <c r="AP13" s="80"/>
    </row>
    <row r="14" spans="1:46" s="14" customFormat="1" ht="31.5" customHeight="1" x14ac:dyDescent="0.4">
      <c r="A14" s="11">
        <v>4</v>
      </c>
      <c r="B14" s="11">
        <v>502</v>
      </c>
      <c r="C14" s="11" t="s">
        <v>79</v>
      </c>
      <c r="D14" s="13" t="s">
        <v>307</v>
      </c>
      <c r="E14" s="33" t="s">
        <v>18</v>
      </c>
      <c r="F14" s="11" t="s">
        <v>308</v>
      </c>
      <c r="G14" s="11" t="s">
        <v>43</v>
      </c>
      <c r="H14" s="11" t="s">
        <v>52</v>
      </c>
      <c r="I14" s="11" t="s">
        <v>84</v>
      </c>
      <c r="J14" s="11" t="s">
        <v>85</v>
      </c>
      <c r="K14" s="11" t="s">
        <v>60</v>
      </c>
      <c r="L14" s="11" t="s">
        <v>92</v>
      </c>
      <c r="M14" s="11" t="s">
        <v>45</v>
      </c>
      <c r="N14" s="11" t="s">
        <v>23</v>
      </c>
      <c r="O14" s="11" t="s">
        <v>23</v>
      </c>
      <c r="P14" s="11" t="s">
        <v>84</v>
      </c>
      <c r="Q14" s="11" t="s">
        <v>86</v>
      </c>
      <c r="R14" s="11">
        <v>750</v>
      </c>
      <c r="S14" s="40" t="s">
        <v>39</v>
      </c>
      <c r="T14" s="11">
        <v>900</v>
      </c>
      <c r="U14" s="11" t="s">
        <v>45</v>
      </c>
      <c r="V14" s="11" t="s">
        <v>84</v>
      </c>
      <c r="W14" s="11" t="s">
        <v>86</v>
      </c>
      <c r="X14" s="40" t="s">
        <v>60</v>
      </c>
      <c r="Y14" s="40" t="s">
        <v>309</v>
      </c>
      <c r="Z14" s="40"/>
      <c r="AA14" s="40" t="s">
        <v>39</v>
      </c>
      <c r="AB14" s="12" t="s">
        <v>19</v>
      </c>
      <c r="AC14" s="11" t="s">
        <v>45</v>
      </c>
      <c r="AD14" s="11" t="s">
        <v>45</v>
      </c>
      <c r="AE14" s="11" t="s">
        <v>50</v>
      </c>
      <c r="AF14" s="11" t="s">
        <v>50</v>
      </c>
      <c r="AG14" s="13" t="s">
        <v>60</v>
      </c>
      <c r="AH14" s="13" t="s">
        <v>62</v>
      </c>
      <c r="AI14" s="13" t="s">
        <v>45</v>
      </c>
      <c r="AJ14" s="13" t="s">
        <v>45</v>
      </c>
      <c r="AK14" s="13" t="s">
        <v>45</v>
      </c>
      <c r="AL14" s="133" t="s">
        <v>828</v>
      </c>
      <c r="AM14" s="95"/>
      <c r="AN14" s="95"/>
      <c r="AO14" s="95"/>
      <c r="AP14" s="96"/>
    </row>
    <row r="15" spans="1:46" s="10" customFormat="1" ht="31.5" customHeight="1" x14ac:dyDescent="0.4">
      <c r="A15" s="6">
        <v>4</v>
      </c>
      <c r="B15" s="6">
        <v>103</v>
      </c>
      <c r="C15" s="6" t="s">
        <v>79</v>
      </c>
      <c r="D15" s="18" t="s">
        <v>331</v>
      </c>
      <c r="E15" s="34" t="s">
        <v>18</v>
      </c>
      <c r="F15" s="46" t="s">
        <v>332</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597</v>
      </c>
      <c r="AA15" s="6" t="s">
        <v>39</v>
      </c>
      <c r="AB15" s="15" t="s">
        <v>88</v>
      </c>
      <c r="AC15" s="16" t="s">
        <v>45</v>
      </c>
      <c r="AD15" s="16" t="s">
        <v>23</v>
      </c>
      <c r="AE15" s="16" t="s">
        <v>50</v>
      </c>
      <c r="AF15" s="16" t="s">
        <v>50</v>
      </c>
      <c r="AG15" s="17" t="s">
        <v>60</v>
      </c>
      <c r="AH15" s="17" t="s">
        <v>62</v>
      </c>
      <c r="AI15" s="17" t="s">
        <v>45</v>
      </c>
      <c r="AJ15" s="17" t="s">
        <v>45</v>
      </c>
      <c r="AK15" s="17" t="s">
        <v>45</v>
      </c>
      <c r="AL15" s="78" t="s">
        <v>333</v>
      </c>
      <c r="AM15" s="79"/>
      <c r="AN15" s="79"/>
      <c r="AO15" s="79"/>
      <c r="AP15" s="80"/>
    </row>
    <row r="16" spans="1:46" s="14" customFormat="1" ht="15" customHeight="1" x14ac:dyDescent="0.4">
      <c r="A16" s="11">
        <v>4</v>
      </c>
      <c r="B16" s="11">
        <v>203</v>
      </c>
      <c r="C16" s="11" t="s">
        <v>79</v>
      </c>
      <c r="D16" s="13" t="s">
        <v>334</v>
      </c>
      <c r="E16" s="33" t="s">
        <v>18</v>
      </c>
      <c r="F16" s="11" t="s">
        <v>335</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19</v>
      </c>
      <c r="Y16" s="40"/>
      <c r="Z16" s="40"/>
      <c r="AA16" s="40" t="s">
        <v>65</v>
      </c>
      <c r="AB16" s="12" t="s">
        <v>19</v>
      </c>
      <c r="AC16" s="11" t="s">
        <v>45</v>
      </c>
      <c r="AD16" s="11" t="s">
        <v>45</v>
      </c>
      <c r="AE16" s="11" t="s">
        <v>50</v>
      </c>
      <c r="AF16" s="11" t="s">
        <v>50</v>
      </c>
      <c r="AG16" s="13" t="s">
        <v>19</v>
      </c>
      <c r="AH16" s="13" t="s">
        <v>62</v>
      </c>
      <c r="AI16" s="13" t="s">
        <v>23</v>
      </c>
      <c r="AJ16" s="13" t="s">
        <v>45</v>
      </c>
      <c r="AK16" s="13" t="s">
        <v>45</v>
      </c>
      <c r="AL16" s="94" t="s">
        <v>336</v>
      </c>
      <c r="AM16" s="95"/>
      <c r="AN16" s="95"/>
      <c r="AO16" s="95"/>
      <c r="AP16" s="96"/>
    </row>
    <row r="17" spans="1:42" s="10" customFormat="1" ht="31.5" customHeight="1" x14ac:dyDescent="0.4">
      <c r="A17" s="6">
        <v>4</v>
      </c>
      <c r="B17" s="6">
        <v>303</v>
      </c>
      <c r="C17" s="6" t="s">
        <v>79</v>
      </c>
      <c r="D17" s="18" t="s">
        <v>359</v>
      </c>
      <c r="E17" s="34" t="s">
        <v>18</v>
      </c>
      <c r="F17" s="46" t="s">
        <v>360</v>
      </c>
      <c r="G17" s="6" t="s">
        <v>43</v>
      </c>
      <c r="H17" s="6" t="s">
        <v>30</v>
      </c>
      <c r="I17" s="6" t="s">
        <v>84</v>
      </c>
      <c r="J17" s="6" t="s">
        <v>46</v>
      </c>
      <c r="K17" s="6" t="s">
        <v>361</v>
      </c>
      <c r="L17" s="6" t="s">
        <v>92</v>
      </c>
      <c r="M17" s="6" t="s">
        <v>45</v>
      </c>
      <c r="N17" s="6" t="s">
        <v>45</v>
      </c>
      <c r="O17" s="6" t="s">
        <v>45</v>
      </c>
      <c r="P17" s="6" t="s">
        <v>84</v>
      </c>
      <c r="Q17" s="6" t="s">
        <v>86</v>
      </c>
      <c r="R17" s="6">
        <v>750</v>
      </c>
      <c r="S17" s="6" t="s">
        <v>39</v>
      </c>
      <c r="T17" s="6">
        <v>900</v>
      </c>
      <c r="U17" s="6" t="s">
        <v>45</v>
      </c>
      <c r="V17" s="6" t="s">
        <v>84</v>
      </c>
      <c r="W17" s="6" t="s">
        <v>86</v>
      </c>
      <c r="X17" s="6" t="s">
        <v>60</v>
      </c>
      <c r="Y17" s="6" t="s">
        <v>531</v>
      </c>
      <c r="Z17" s="6"/>
      <c r="AA17" s="6" t="s">
        <v>39</v>
      </c>
      <c r="AB17" s="15" t="s">
        <v>88</v>
      </c>
      <c r="AC17" s="16" t="s">
        <v>45</v>
      </c>
      <c r="AD17" s="16" t="s">
        <v>45</v>
      </c>
      <c r="AE17" s="16" t="s">
        <v>50</v>
      </c>
      <c r="AF17" s="16" t="s">
        <v>50</v>
      </c>
      <c r="AG17" s="17" t="s">
        <v>60</v>
      </c>
      <c r="AH17" s="17" t="s">
        <v>96</v>
      </c>
      <c r="AI17" s="17" t="s">
        <v>45</v>
      </c>
      <c r="AJ17" s="17" t="s">
        <v>23</v>
      </c>
      <c r="AK17" s="17" t="s">
        <v>45</v>
      </c>
      <c r="AL17" s="78" t="s">
        <v>362</v>
      </c>
      <c r="AM17" s="79"/>
      <c r="AN17" s="79"/>
      <c r="AO17" s="79"/>
      <c r="AP17" s="80"/>
    </row>
    <row r="18" spans="1:42" s="14" customFormat="1" ht="32.25" customHeight="1" x14ac:dyDescent="0.4">
      <c r="A18" s="11">
        <v>4</v>
      </c>
      <c r="B18" s="11">
        <v>403</v>
      </c>
      <c r="C18" s="11" t="s">
        <v>79</v>
      </c>
      <c r="D18" s="13" t="s">
        <v>324</v>
      </c>
      <c r="E18" s="33" t="s">
        <v>18</v>
      </c>
      <c r="F18" s="11" t="s">
        <v>325</v>
      </c>
      <c r="G18" s="11" t="s">
        <v>43</v>
      </c>
      <c r="H18" s="11" t="s">
        <v>52</v>
      </c>
      <c r="I18" s="11" t="s">
        <v>84</v>
      </c>
      <c r="J18" s="11" t="s">
        <v>85</v>
      </c>
      <c r="K18" s="11" t="s">
        <v>60</v>
      </c>
      <c r="L18" s="11" t="s">
        <v>92</v>
      </c>
      <c r="M18" s="11" t="s">
        <v>45</v>
      </c>
      <c r="N18" s="11" t="s">
        <v>23</v>
      </c>
      <c r="O18" s="11" t="s">
        <v>45</v>
      </c>
      <c r="P18" s="11" t="s">
        <v>84</v>
      </c>
      <c r="Q18" s="11" t="s">
        <v>86</v>
      </c>
      <c r="R18" s="11">
        <v>750</v>
      </c>
      <c r="S18" s="40" t="s">
        <v>39</v>
      </c>
      <c r="T18" s="11">
        <v>900</v>
      </c>
      <c r="U18" s="11" t="s">
        <v>45</v>
      </c>
      <c r="V18" s="11" t="s">
        <v>84</v>
      </c>
      <c r="W18" s="11" t="s">
        <v>86</v>
      </c>
      <c r="X18" s="40" t="s">
        <v>60</v>
      </c>
      <c r="Y18" s="40" t="s">
        <v>87</v>
      </c>
      <c r="Z18" s="40" t="s">
        <v>598</v>
      </c>
      <c r="AA18" s="40" t="s">
        <v>39</v>
      </c>
      <c r="AB18" s="12" t="s">
        <v>19</v>
      </c>
      <c r="AC18" s="11" t="s">
        <v>45</v>
      </c>
      <c r="AD18" s="11" t="s">
        <v>23</v>
      </c>
      <c r="AE18" s="11" t="s">
        <v>116</v>
      </c>
      <c r="AF18" s="11" t="s">
        <v>50</v>
      </c>
      <c r="AG18" s="13" t="s">
        <v>60</v>
      </c>
      <c r="AH18" s="13" t="s">
        <v>62</v>
      </c>
      <c r="AI18" s="13" t="s">
        <v>45</v>
      </c>
      <c r="AJ18" s="13" t="s">
        <v>45</v>
      </c>
      <c r="AK18" s="13" t="s">
        <v>23</v>
      </c>
      <c r="AL18" s="133" t="s">
        <v>1407</v>
      </c>
      <c r="AM18" s="95"/>
      <c r="AN18" s="95"/>
      <c r="AO18" s="95"/>
      <c r="AP18" s="96"/>
    </row>
    <row r="19" spans="1:42" s="10" customFormat="1" ht="15" customHeight="1" x14ac:dyDescent="0.4">
      <c r="A19" s="6">
        <v>4</v>
      </c>
      <c r="B19" s="6">
        <v>503</v>
      </c>
      <c r="C19" s="6" t="s">
        <v>79</v>
      </c>
      <c r="D19" s="18" t="s">
        <v>321</v>
      </c>
      <c r="E19" s="34" t="s">
        <v>18</v>
      </c>
      <c r="F19" s="6" t="s">
        <v>322</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19</v>
      </c>
      <c r="Y19" s="6"/>
      <c r="Z19" s="6"/>
      <c r="AA19" s="6" t="s">
        <v>65</v>
      </c>
      <c r="AB19" s="15" t="s">
        <v>19</v>
      </c>
      <c r="AC19" s="16" t="s">
        <v>45</v>
      </c>
      <c r="AD19" s="16" t="s">
        <v>23</v>
      </c>
      <c r="AE19" s="16" t="s">
        <v>50</v>
      </c>
      <c r="AF19" s="16" t="s">
        <v>50</v>
      </c>
      <c r="AG19" s="17" t="s">
        <v>60</v>
      </c>
      <c r="AH19" s="17" t="s">
        <v>62</v>
      </c>
      <c r="AI19" s="17" t="s">
        <v>45</v>
      </c>
      <c r="AJ19" s="17" t="s">
        <v>45</v>
      </c>
      <c r="AK19" s="17" t="s">
        <v>45</v>
      </c>
      <c r="AL19" s="78" t="s">
        <v>323</v>
      </c>
      <c r="AM19" s="79"/>
      <c r="AN19" s="79"/>
      <c r="AO19" s="79"/>
      <c r="AP19" s="80"/>
    </row>
    <row r="20" spans="1:42" s="14" customFormat="1" ht="31.5" customHeight="1" x14ac:dyDescent="0.4">
      <c r="A20" s="11">
        <v>4</v>
      </c>
      <c r="B20" s="11">
        <v>104</v>
      </c>
      <c r="C20" s="11" t="s">
        <v>79</v>
      </c>
      <c r="D20" s="13" t="s">
        <v>342</v>
      </c>
      <c r="E20" s="33" t="s">
        <v>18</v>
      </c>
      <c r="F20" s="11" t="s">
        <v>343</v>
      </c>
      <c r="G20" s="11" t="s">
        <v>43</v>
      </c>
      <c r="H20" s="11" t="s">
        <v>30</v>
      </c>
      <c r="I20" s="11" t="s">
        <v>84</v>
      </c>
      <c r="J20" s="11" t="s">
        <v>85</v>
      </c>
      <c r="K20" s="11" t="s">
        <v>60</v>
      </c>
      <c r="L20" s="11" t="s">
        <v>92</v>
      </c>
      <c r="M20" s="11" t="s">
        <v>45</v>
      </c>
      <c r="N20" s="11" t="s">
        <v>45</v>
      </c>
      <c r="O20" s="11" t="s">
        <v>23</v>
      </c>
      <c r="P20" s="11" t="s">
        <v>84</v>
      </c>
      <c r="Q20" s="11" t="s">
        <v>86</v>
      </c>
      <c r="R20" s="11">
        <v>750</v>
      </c>
      <c r="S20" s="40" t="s">
        <v>39</v>
      </c>
      <c r="T20" s="11">
        <v>640</v>
      </c>
      <c r="U20" s="11" t="s">
        <v>45</v>
      </c>
      <c r="V20" s="11" t="s">
        <v>84</v>
      </c>
      <c r="W20" s="11" t="s">
        <v>86</v>
      </c>
      <c r="X20" s="40" t="s">
        <v>60</v>
      </c>
      <c r="Y20" s="40" t="s">
        <v>344</v>
      </c>
      <c r="Z20" s="53" t="s">
        <v>599</v>
      </c>
      <c r="AA20" s="40" t="s">
        <v>39</v>
      </c>
      <c r="AB20" s="12" t="s">
        <v>88</v>
      </c>
      <c r="AC20" s="11" t="s">
        <v>45</v>
      </c>
      <c r="AD20" s="11" t="s">
        <v>45</v>
      </c>
      <c r="AE20" s="11"/>
      <c r="AF20" s="11"/>
      <c r="AG20" s="13" t="s">
        <v>19</v>
      </c>
      <c r="AH20" s="13" t="s">
        <v>62</v>
      </c>
      <c r="AI20" s="13" t="s">
        <v>45</v>
      </c>
      <c r="AJ20" s="13" t="s">
        <v>45</v>
      </c>
      <c r="AK20" s="13" t="s">
        <v>45</v>
      </c>
      <c r="AL20" s="133" t="s">
        <v>827</v>
      </c>
      <c r="AM20" s="95"/>
      <c r="AN20" s="95"/>
      <c r="AO20" s="95"/>
      <c r="AP20" s="96"/>
    </row>
    <row r="21" spans="1:42" s="10" customFormat="1" ht="15" customHeight="1" x14ac:dyDescent="0.4">
      <c r="A21" s="6">
        <v>4</v>
      </c>
      <c r="B21" s="6">
        <v>204</v>
      </c>
      <c r="C21" s="6" t="s">
        <v>79</v>
      </c>
      <c r="D21" s="18" t="s">
        <v>337</v>
      </c>
      <c r="E21" s="34" t="s">
        <v>18</v>
      </c>
      <c r="F21" s="6" t="s">
        <v>338</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600</v>
      </c>
      <c r="AA21" s="6" t="s">
        <v>39</v>
      </c>
      <c r="AB21" s="15" t="s">
        <v>88</v>
      </c>
      <c r="AC21" s="16" t="s">
        <v>45</v>
      </c>
      <c r="AD21" s="16" t="s">
        <v>45</v>
      </c>
      <c r="AE21" s="16" t="s">
        <v>116</v>
      </c>
      <c r="AF21" s="16" t="s">
        <v>50</v>
      </c>
      <c r="AG21" s="17" t="s">
        <v>60</v>
      </c>
      <c r="AH21" s="17" t="s">
        <v>62</v>
      </c>
      <c r="AI21" s="17" t="s">
        <v>45</v>
      </c>
      <c r="AJ21" s="17" t="s">
        <v>45</v>
      </c>
      <c r="AK21" s="17" t="s">
        <v>45</v>
      </c>
      <c r="AL21" s="78" t="s">
        <v>339</v>
      </c>
      <c r="AM21" s="79"/>
      <c r="AN21" s="79"/>
      <c r="AO21" s="79"/>
      <c r="AP21" s="80"/>
    </row>
    <row r="22" spans="1:42" s="14" customFormat="1" ht="31.5" customHeight="1" x14ac:dyDescent="0.4">
      <c r="A22" s="11">
        <v>4</v>
      </c>
      <c r="B22" s="11">
        <v>304</v>
      </c>
      <c r="C22" s="11" t="s">
        <v>79</v>
      </c>
      <c r="D22" s="13" t="s">
        <v>340</v>
      </c>
      <c r="E22" s="33" t="s">
        <v>18</v>
      </c>
      <c r="F22" s="45" t="s">
        <v>341</v>
      </c>
      <c r="G22" s="11" t="s">
        <v>43</v>
      </c>
      <c r="H22" s="11" t="s">
        <v>52</v>
      </c>
      <c r="I22" s="11" t="s">
        <v>84</v>
      </c>
      <c r="J22" s="11" t="s">
        <v>85</v>
      </c>
      <c r="K22" s="11" t="s">
        <v>60</v>
      </c>
      <c r="L22" s="11" t="s">
        <v>92</v>
      </c>
      <c r="M22" s="11" t="s">
        <v>45</v>
      </c>
      <c r="N22" s="11" t="s">
        <v>23</v>
      </c>
      <c r="O22" s="11" t="s">
        <v>45</v>
      </c>
      <c r="P22" s="11" t="s">
        <v>84</v>
      </c>
      <c r="Q22" s="11" t="s">
        <v>86</v>
      </c>
      <c r="R22" s="11">
        <v>750</v>
      </c>
      <c r="S22" s="40" t="s">
        <v>39</v>
      </c>
      <c r="T22" s="11">
        <v>900</v>
      </c>
      <c r="U22" s="11" t="s">
        <v>45</v>
      </c>
      <c r="V22" s="11" t="s">
        <v>84</v>
      </c>
      <c r="W22" s="11" t="s">
        <v>86</v>
      </c>
      <c r="X22" s="40" t="s">
        <v>60</v>
      </c>
      <c r="Y22" s="40" t="s">
        <v>87</v>
      </c>
      <c r="Z22" s="40" t="s">
        <v>601</v>
      </c>
      <c r="AA22" s="40" t="s">
        <v>39</v>
      </c>
      <c r="AB22" s="12" t="s">
        <v>19</v>
      </c>
      <c r="AC22" s="11" t="s">
        <v>45</v>
      </c>
      <c r="AD22" s="11" t="s">
        <v>45</v>
      </c>
      <c r="AE22" s="11" t="s">
        <v>116</v>
      </c>
      <c r="AF22" s="11" t="s">
        <v>50</v>
      </c>
      <c r="AG22" s="13" t="s">
        <v>60</v>
      </c>
      <c r="AH22" s="13" t="s">
        <v>62</v>
      </c>
      <c r="AI22" s="13" t="s">
        <v>45</v>
      </c>
      <c r="AJ22" s="13" t="s">
        <v>45</v>
      </c>
      <c r="AK22" s="13" t="s">
        <v>45</v>
      </c>
      <c r="AL22" s="94" t="s">
        <v>1408</v>
      </c>
      <c r="AM22" s="95"/>
      <c r="AN22" s="95"/>
      <c r="AO22" s="95"/>
      <c r="AP22" s="96"/>
    </row>
    <row r="23" spans="1:42" s="10" customFormat="1" ht="15" customHeight="1" x14ac:dyDescent="0.4">
      <c r="A23" s="6">
        <v>4</v>
      </c>
      <c r="B23" s="6">
        <v>404</v>
      </c>
      <c r="C23" s="6" t="s">
        <v>79</v>
      </c>
      <c r="D23" s="18" t="s">
        <v>326</v>
      </c>
      <c r="E23" s="34" t="s">
        <v>18</v>
      </c>
      <c r="F23" s="6" t="s">
        <v>327</v>
      </c>
      <c r="G23" s="6" t="s">
        <v>43</v>
      </c>
      <c r="H23" s="6" t="s">
        <v>52</v>
      </c>
      <c r="I23" s="6" t="s">
        <v>84</v>
      </c>
      <c r="J23" s="6" t="s">
        <v>85</v>
      </c>
      <c r="K23" s="6" t="s">
        <v>60</v>
      </c>
      <c r="L23" s="6" t="s">
        <v>92</v>
      </c>
      <c r="M23" s="6" t="s">
        <v>45</v>
      </c>
      <c r="N23" s="6" t="s">
        <v>45</v>
      </c>
      <c r="O23" s="6" t="s">
        <v>23</v>
      </c>
      <c r="P23" s="6" t="s">
        <v>84</v>
      </c>
      <c r="Q23" s="6" t="s">
        <v>86</v>
      </c>
      <c r="R23" s="6">
        <v>730</v>
      </c>
      <c r="S23" s="6" t="s">
        <v>39</v>
      </c>
      <c r="T23" s="6">
        <v>900</v>
      </c>
      <c r="U23" s="6" t="s">
        <v>45</v>
      </c>
      <c r="V23" s="6" t="s">
        <v>84</v>
      </c>
      <c r="W23" s="6" t="s">
        <v>86</v>
      </c>
      <c r="X23" s="6" t="s">
        <v>60</v>
      </c>
      <c r="Y23" s="6" t="s">
        <v>87</v>
      </c>
      <c r="Z23" s="6" t="s">
        <v>602</v>
      </c>
      <c r="AA23" s="6" t="s">
        <v>39</v>
      </c>
      <c r="AB23" s="15" t="s">
        <v>88</v>
      </c>
      <c r="AC23" s="16" t="s">
        <v>45</v>
      </c>
      <c r="AD23" s="16" t="s">
        <v>45</v>
      </c>
      <c r="AE23" s="16" t="s">
        <v>50</v>
      </c>
      <c r="AF23" s="16" t="s">
        <v>50</v>
      </c>
      <c r="AG23" s="17" t="s">
        <v>60</v>
      </c>
      <c r="AH23" s="17" t="s">
        <v>62</v>
      </c>
      <c r="AI23" s="17" t="s">
        <v>45</v>
      </c>
      <c r="AJ23" s="17" t="s">
        <v>45</v>
      </c>
      <c r="AK23" s="17" t="s">
        <v>45</v>
      </c>
      <c r="AL23" s="78" t="s">
        <v>328</v>
      </c>
      <c r="AM23" s="79"/>
      <c r="AN23" s="79"/>
      <c r="AO23" s="79"/>
      <c r="AP23" s="80"/>
    </row>
    <row r="24" spans="1:42" s="14" customFormat="1" ht="31.5" customHeight="1" x14ac:dyDescent="0.4">
      <c r="A24" s="11">
        <v>4</v>
      </c>
      <c r="B24" s="11">
        <v>504</v>
      </c>
      <c r="C24" s="11" t="s">
        <v>79</v>
      </c>
      <c r="D24" s="13" t="s">
        <v>319</v>
      </c>
      <c r="E24" s="33" t="s">
        <v>18</v>
      </c>
      <c r="F24" s="11" t="s">
        <v>320</v>
      </c>
      <c r="G24" s="11" t="s">
        <v>22</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141</v>
      </c>
      <c r="Z24" s="40"/>
      <c r="AA24" s="40" t="s">
        <v>65</v>
      </c>
      <c r="AB24" s="12" t="s">
        <v>19</v>
      </c>
      <c r="AC24" s="11" t="s">
        <v>45</v>
      </c>
      <c r="AD24" s="11" t="s">
        <v>45</v>
      </c>
      <c r="AE24" s="11" t="s">
        <v>50</v>
      </c>
      <c r="AF24" s="11" t="s">
        <v>50</v>
      </c>
      <c r="AG24" s="13" t="s">
        <v>60</v>
      </c>
      <c r="AH24" s="13" t="s">
        <v>62</v>
      </c>
      <c r="AI24" s="13" t="s">
        <v>45</v>
      </c>
      <c r="AJ24" s="13" t="s">
        <v>45</v>
      </c>
      <c r="AK24" s="13" t="s">
        <v>45</v>
      </c>
      <c r="AL24" s="133" t="s">
        <v>826</v>
      </c>
      <c r="AM24" s="95"/>
      <c r="AN24" s="95"/>
      <c r="AO24" s="95"/>
      <c r="AP24" s="96"/>
    </row>
    <row r="25" spans="1:42" s="10" customFormat="1" ht="31.5" customHeight="1" x14ac:dyDescent="0.4">
      <c r="A25" s="6">
        <v>4</v>
      </c>
      <c r="B25" s="6">
        <v>105</v>
      </c>
      <c r="C25" s="6" t="s">
        <v>79</v>
      </c>
      <c r="D25" s="18" t="s">
        <v>376</v>
      </c>
      <c r="E25" s="34" t="s">
        <v>18</v>
      </c>
      <c r="F25" s="18" t="s">
        <v>377</v>
      </c>
      <c r="G25" s="6" t="s">
        <v>43</v>
      </c>
      <c r="H25" s="6" t="s">
        <v>52</v>
      </c>
      <c r="I25" s="6" t="s">
        <v>84</v>
      </c>
      <c r="J25" s="6" t="s">
        <v>85</v>
      </c>
      <c r="K25" s="6" t="s">
        <v>60</v>
      </c>
      <c r="L25" s="6" t="s">
        <v>92</v>
      </c>
      <c r="M25" s="6" t="s">
        <v>45</v>
      </c>
      <c r="N25" s="6" t="s">
        <v>45</v>
      </c>
      <c r="O25" s="6" t="s">
        <v>45</v>
      </c>
      <c r="P25" s="6" t="s">
        <v>84</v>
      </c>
      <c r="Q25" s="6" t="s">
        <v>378</v>
      </c>
      <c r="R25" s="6">
        <v>1000</v>
      </c>
      <c r="S25" s="6" t="s">
        <v>39</v>
      </c>
      <c r="T25" s="6" t="s">
        <v>379</v>
      </c>
      <c r="U25" s="6" t="s">
        <v>45</v>
      </c>
      <c r="V25" s="6" t="s">
        <v>84</v>
      </c>
      <c r="W25" s="6" t="s">
        <v>86</v>
      </c>
      <c r="X25" s="6" t="s">
        <v>60</v>
      </c>
      <c r="Y25" s="6" t="s">
        <v>87</v>
      </c>
      <c r="Z25" s="6" t="s">
        <v>603</v>
      </c>
      <c r="AA25" s="6" t="s">
        <v>39</v>
      </c>
      <c r="AB25" s="15" t="s">
        <v>88</v>
      </c>
      <c r="AC25" s="16" t="s">
        <v>45</v>
      </c>
      <c r="AD25" s="16" t="s">
        <v>45</v>
      </c>
      <c r="AE25" s="16" t="s">
        <v>50</v>
      </c>
      <c r="AF25" s="16" t="s">
        <v>50</v>
      </c>
      <c r="AG25" s="17" t="s">
        <v>60</v>
      </c>
      <c r="AH25" s="17" t="s">
        <v>62</v>
      </c>
      <c r="AI25" s="17" t="s">
        <v>45</v>
      </c>
      <c r="AJ25" s="17" t="s">
        <v>45</v>
      </c>
      <c r="AK25" s="17" t="s">
        <v>23</v>
      </c>
      <c r="AL25" s="106" t="s">
        <v>825</v>
      </c>
      <c r="AM25" s="79"/>
      <c r="AN25" s="79"/>
      <c r="AO25" s="79"/>
      <c r="AP25" s="80"/>
    </row>
    <row r="26" spans="1:42" s="14" customFormat="1" ht="31.5" customHeight="1" x14ac:dyDescent="0.4">
      <c r="A26" s="11">
        <v>4</v>
      </c>
      <c r="B26" s="11">
        <v>205</v>
      </c>
      <c r="C26" s="11" t="s">
        <v>79</v>
      </c>
      <c r="D26" s="13" t="s">
        <v>363</v>
      </c>
      <c r="E26" s="33" t="s">
        <v>18</v>
      </c>
      <c r="F26" s="45" t="s">
        <v>364</v>
      </c>
      <c r="G26" s="11" t="s">
        <v>43</v>
      </c>
      <c r="H26" s="11" t="s">
        <v>52</v>
      </c>
      <c r="I26" s="11" t="s">
        <v>84</v>
      </c>
      <c r="J26" s="11" t="s">
        <v>85</v>
      </c>
      <c r="K26" s="11" t="s">
        <v>60</v>
      </c>
      <c r="L26" s="11" t="s">
        <v>92</v>
      </c>
      <c r="M26" s="11" t="s">
        <v>45</v>
      </c>
      <c r="N26" s="11" t="s">
        <v>45</v>
      </c>
      <c r="O26" s="11" t="s">
        <v>23</v>
      </c>
      <c r="P26" s="11" t="s">
        <v>84</v>
      </c>
      <c r="Q26" s="11" t="s">
        <v>86</v>
      </c>
      <c r="R26" s="11">
        <v>740</v>
      </c>
      <c r="S26" s="40" t="s">
        <v>39</v>
      </c>
      <c r="T26" s="11">
        <v>900</v>
      </c>
      <c r="U26" s="11" t="s">
        <v>45</v>
      </c>
      <c r="V26" s="11" t="s">
        <v>84</v>
      </c>
      <c r="W26" s="11" t="s">
        <v>86</v>
      </c>
      <c r="X26" s="40" t="s">
        <v>60</v>
      </c>
      <c r="Y26" s="40" t="s">
        <v>87</v>
      </c>
      <c r="Z26" s="40" t="s">
        <v>604</v>
      </c>
      <c r="AA26" s="40" t="s">
        <v>39</v>
      </c>
      <c r="AB26" s="12" t="s">
        <v>88</v>
      </c>
      <c r="AC26" s="11" t="s">
        <v>23</v>
      </c>
      <c r="AD26" s="11" t="s">
        <v>23</v>
      </c>
      <c r="AE26" s="11" t="s">
        <v>50</v>
      </c>
      <c r="AF26" s="11" t="s">
        <v>50</v>
      </c>
      <c r="AG26" s="13" t="s">
        <v>60</v>
      </c>
      <c r="AH26" s="13" t="s">
        <v>62</v>
      </c>
      <c r="AI26" s="13" t="s">
        <v>23</v>
      </c>
      <c r="AJ26" s="13" t="s">
        <v>45</v>
      </c>
      <c r="AK26" s="13" t="s">
        <v>45</v>
      </c>
      <c r="AL26" s="94" t="s">
        <v>365</v>
      </c>
      <c r="AM26" s="95"/>
      <c r="AN26" s="95"/>
      <c r="AO26" s="95"/>
      <c r="AP26" s="96"/>
    </row>
    <row r="27" spans="1:42" s="10" customFormat="1" ht="31.5" customHeight="1" x14ac:dyDescent="0.4">
      <c r="A27" s="6">
        <v>4</v>
      </c>
      <c r="B27" s="6">
        <v>305</v>
      </c>
      <c r="C27" s="6" t="s">
        <v>79</v>
      </c>
      <c r="D27" s="18" t="s">
        <v>345</v>
      </c>
      <c r="E27" s="34" t="s">
        <v>18</v>
      </c>
      <c r="F27" s="46" t="s">
        <v>346</v>
      </c>
      <c r="G27" s="6" t="s">
        <v>43</v>
      </c>
      <c r="H27" s="6" t="s">
        <v>52</v>
      </c>
      <c r="I27" s="6" t="s">
        <v>84</v>
      </c>
      <c r="J27" s="6" t="s">
        <v>85</v>
      </c>
      <c r="K27" s="6" t="s">
        <v>60</v>
      </c>
      <c r="L27" s="6" t="s">
        <v>92</v>
      </c>
      <c r="M27" s="6" t="s">
        <v>45</v>
      </c>
      <c r="N27" s="6" t="s">
        <v>45</v>
      </c>
      <c r="O27" s="6" t="s">
        <v>23</v>
      </c>
      <c r="P27" s="6" t="s">
        <v>84</v>
      </c>
      <c r="Q27" s="6" t="s">
        <v>86</v>
      </c>
      <c r="R27" s="6">
        <v>750</v>
      </c>
      <c r="S27" s="6" t="s">
        <v>39</v>
      </c>
      <c r="T27" s="6">
        <v>900</v>
      </c>
      <c r="U27" s="6" t="s">
        <v>45</v>
      </c>
      <c r="V27" s="6" t="s">
        <v>84</v>
      </c>
      <c r="W27" s="6" t="s">
        <v>86</v>
      </c>
      <c r="X27" s="6" t="s">
        <v>60</v>
      </c>
      <c r="Y27" s="6" t="s">
        <v>531</v>
      </c>
      <c r="Z27" s="6"/>
      <c r="AA27" s="6" t="s">
        <v>39</v>
      </c>
      <c r="AB27" s="15" t="s">
        <v>88</v>
      </c>
      <c r="AC27" s="16" t="s">
        <v>45</v>
      </c>
      <c r="AD27" s="16" t="s">
        <v>23</v>
      </c>
      <c r="AE27" s="16" t="s">
        <v>50</v>
      </c>
      <c r="AF27" s="16" t="s">
        <v>50</v>
      </c>
      <c r="AG27" s="17" t="s">
        <v>60</v>
      </c>
      <c r="AH27" s="17" t="s">
        <v>62</v>
      </c>
      <c r="AI27" s="17" t="s">
        <v>241</v>
      </c>
      <c r="AJ27" s="17" t="s">
        <v>45</v>
      </c>
      <c r="AK27" s="17" t="s">
        <v>45</v>
      </c>
      <c r="AL27" s="78" t="s">
        <v>347</v>
      </c>
      <c r="AM27" s="79"/>
      <c r="AN27" s="79"/>
      <c r="AO27" s="79"/>
      <c r="AP27" s="80"/>
    </row>
    <row r="28" spans="1:42" s="14" customFormat="1" ht="15" customHeight="1" x14ac:dyDescent="0.4">
      <c r="A28" s="11">
        <v>4</v>
      </c>
      <c r="B28" s="11">
        <v>405</v>
      </c>
      <c r="C28" s="11" t="s">
        <v>79</v>
      </c>
      <c r="D28" s="13" t="s">
        <v>348</v>
      </c>
      <c r="E28" s="33" t="s">
        <v>18</v>
      </c>
      <c r="F28" s="11" t="s">
        <v>349</v>
      </c>
      <c r="G28" s="11" t="s">
        <v>43</v>
      </c>
      <c r="H28" s="11" t="s">
        <v>52</v>
      </c>
      <c r="I28" s="11" t="s">
        <v>84</v>
      </c>
      <c r="J28" s="11" t="s">
        <v>85</v>
      </c>
      <c r="K28" s="11" t="s">
        <v>60</v>
      </c>
      <c r="L28" s="11" t="s">
        <v>24</v>
      </c>
      <c r="M28" s="11" t="s">
        <v>45</v>
      </c>
      <c r="N28" s="11" t="s">
        <v>45</v>
      </c>
      <c r="O28" s="11" t="s">
        <v>23</v>
      </c>
      <c r="P28" s="11" t="s">
        <v>84</v>
      </c>
      <c r="Q28" s="11" t="s">
        <v>86</v>
      </c>
      <c r="R28" s="11">
        <v>750</v>
      </c>
      <c r="S28" s="40" t="s">
        <v>39</v>
      </c>
      <c r="T28" s="11">
        <v>640</v>
      </c>
      <c r="U28" s="11" t="s">
        <v>45</v>
      </c>
      <c r="V28" s="11" t="s">
        <v>84</v>
      </c>
      <c r="W28" s="11" t="s">
        <v>86</v>
      </c>
      <c r="X28" s="40" t="s">
        <v>60</v>
      </c>
      <c r="Y28" s="40" t="s">
        <v>87</v>
      </c>
      <c r="Z28" s="40" t="s">
        <v>605</v>
      </c>
      <c r="AA28" s="40" t="s">
        <v>39</v>
      </c>
      <c r="AB28" s="12" t="s">
        <v>88</v>
      </c>
      <c r="AC28" s="11" t="s">
        <v>45</v>
      </c>
      <c r="AD28" s="11" t="s">
        <v>23</v>
      </c>
      <c r="AE28" s="11" t="s">
        <v>50</v>
      </c>
      <c r="AF28" s="11" t="s">
        <v>50</v>
      </c>
      <c r="AG28" s="13" t="s">
        <v>60</v>
      </c>
      <c r="AH28" s="13" t="s">
        <v>62</v>
      </c>
      <c r="AI28" s="13" t="s">
        <v>23</v>
      </c>
      <c r="AJ28" s="13" t="s">
        <v>23</v>
      </c>
      <c r="AK28" s="13" t="s">
        <v>45</v>
      </c>
      <c r="AL28" s="94" t="s">
        <v>350</v>
      </c>
      <c r="AM28" s="95"/>
      <c r="AN28" s="95"/>
      <c r="AO28" s="95"/>
      <c r="AP28" s="96"/>
    </row>
    <row r="29" spans="1:42" s="10" customFormat="1" ht="15" customHeight="1" x14ac:dyDescent="0.4">
      <c r="A29" s="6">
        <v>4</v>
      </c>
      <c r="B29" s="6">
        <v>505</v>
      </c>
      <c r="C29" s="6" t="s">
        <v>79</v>
      </c>
      <c r="D29" s="18"/>
      <c r="E29" s="34" t="s">
        <v>18</v>
      </c>
      <c r="F29" s="6"/>
      <c r="G29" s="6"/>
      <c r="H29" s="6"/>
      <c r="I29" s="6"/>
      <c r="J29" s="6"/>
      <c r="K29" s="6"/>
      <c r="L29" s="6"/>
      <c r="M29" s="6"/>
      <c r="N29" s="6"/>
      <c r="O29" s="6"/>
      <c r="P29" s="6"/>
      <c r="Q29" s="6"/>
      <c r="R29" s="6"/>
      <c r="S29" s="6"/>
      <c r="T29" s="6"/>
      <c r="U29" s="6"/>
      <c r="V29" s="6"/>
      <c r="W29" s="6"/>
      <c r="X29" s="6"/>
      <c r="Y29" s="6"/>
      <c r="Z29" s="6"/>
      <c r="AA29" s="6"/>
      <c r="AB29" s="15"/>
      <c r="AC29" s="16"/>
      <c r="AD29" s="16"/>
      <c r="AE29" s="16"/>
      <c r="AF29" s="16"/>
      <c r="AG29" s="17"/>
      <c r="AH29" s="17"/>
      <c r="AI29" s="17"/>
      <c r="AJ29" s="17"/>
      <c r="AK29" s="17"/>
      <c r="AL29" s="78"/>
      <c r="AM29" s="79"/>
      <c r="AN29" s="79"/>
      <c r="AO29" s="79"/>
      <c r="AP29" s="80"/>
    </row>
    <row r="30" spans="1:42" s="14" customFormat="1" ht="15" customHeight="1" x14ac:dyDescent="0.4">
      <c r="A30" s="11">
        <v>4</v>
      </c>
      <c r="B30" s="11">
        <v>106</v>
      </c>
      <c r="C30" s="11" t="s">
        <v>79</v>
      </c>
      <c r="D30" s="13" t="s">
        <v>380</v>
      </c>
      <c r="E30" s="33" t="s">
        <v>18</v>
      </c>
      <c r="F30" s="11" t="s">
        <v>381</v>
      </c>
      <c r="G30" s="11" t="s">
        <v>43</v>
      </c>
      <c r="H30" s="11" t="s">
        <v>52</v>
      </c>
      <c r="I30" s="11" t="s">
        <v>84</v>
      </c>
      <c r="J30" s="11" t="s">
        <v>85</v>
      </c>
      <c r="K30" s="11" t="s">
        <v>60</v>
      </c>
      <c r="L30" s="11" t="s">
        <v>92</v>
      </c>
      <c r="M30" s="11" t="s">
        <v>45</v>
      </c>
      <c r="N30" s="11" t="s">
        <v>45</v>
      </c>
      <c r="O30" s="11" t="s">
        <v>23</v>
      </c>
      <c r="P30" s="11" t="s">
        <v>84</v>
      </c>
      <c r="Q30" s="11" t="s">
        <v>86</v>
      </c>
      <c r="R30" s="11">
        <v>750</v>
      </c>
      <c r="S30" s="40" t="s">
        <v>39</v>
      </c>
      <c r="T30" s="11">
        <v>900</v>
      </c>
      <c r="U30" s="11" t="s">
        <v>45</v>
      </c>
      <c r="V30" s="11" t="s">
        <v>84</v>
      </c>
      <c r="W30" s="11" t="s">
        <v>86</v>
      </c>
      <c r="X30" s="40" t="s">
        <v>60</v>
      </c>
      <c r="Y30" s="40" t="s">
        <v>87</v>
      </c>
      <c r="Z30" s="40" t="s">
        <v>606</v>
      </c>
      <c r="AA30" s="40" t="s">
        <v>39</v>
      </c>
      <c r="AB30" s="12" t="s">
        <v>19</v>
      </c>
      <c r="AC30" s="11" t="s">
        <v>45</v>
      </c>
      <c r="AD30" s="11" t="s">
        <v>45</v>
      </c>
      <c r="AE30" s="11" t="s">
        <v>50</v>
      </c>
      <c r="AF30" s="11" t="s">
        <v>50</v>
      </c>
      <c r="AG30" s="13" t="s">
        <v>60</v>
      </c>
      <c r="AH30" s="13" t="s">
        <v>62</v>
      </c>
      <c r="AI30" s="13" t="s">
        <v>241</v>
      </c>
      <c r="AJ30" s="13" t="s">
        <v>45</v>
      </c>
      <c r="AK30" s="13" t="s">
        <v>45</v>
      </c>
      <c r="AL30" s="94" t="s">
        <v>1409</v>
      </c>
      <c r="AM30" s="95"/>
      <c r="AN30" s="95"/>
      <c r="AO30" s="95"/>
      <c r="AP30" s="96"/>
    </row>
    <row r="31" spans="1:42" s="10" customFormat="1" ht="31.5" customHeight="1" x14ac:dyDescent="0.4">
      <c r="A31" s="6">
        <v>4</v>
      </c>
      <c r="B31" s="6">
        <v>206</v>
      </c>
      <c r="C31" s="6" t="s">
        <v>79</v>
      </c>
      <c r="D31" s="18" t="s">
        <v>366</v>
      </c>
      <c r="E31" s="34" t="s">
        <v>18</v>
      </c>
      <c r="F31" s="46" t="s">
        <v>367</v>
      </c>
      <c r="G31" s="6" t="s">
        <v>43</v>
      </c>
      <c r="H31" s="6" t="s">
        <v>52</v>
      </c>
      <c r="I31" s="6" t="s">
        <v>84</v>
      </c>
      <c r="J31" s="6" t="s">
        <v>85</v>
      </c>
      <c r="K31" s="6" t="s">
        <v>19</v>
      </c>
      <c r="L31" s="6" t="s">
        <v>20</v>
      </c>
      <c r="M31" s="6" t="s">
        <v>45</v>
      </c>
      <c r="N31" s="6" t="s">
        <v>45</v>
      </c>
      <c r="O31" s="6" t="s">
        <v>23</v>
      </c>
      <c r="P31" s="6" t="s">
        <v>84</v>
      </c>
      <c r="Q31" s="6" t="s">
        <v>86</v>
      </c>
      <c r="R31" s="6">
        <v>750</v>
      </c>
      <c r="S31" s="6" t="s">
        <v>39</v>
      </c>
      <c r="T31" s="6">
        <v>900</v>
      </c>
      <c r="U31" s="6" t="s">
        <v>45</v>
      </c>
      <c r="V31" s="6" t="s">
        <v>84</v>
      </c>
      <c r="W31" s="6" t="s">
        <v>86</v>
      </c>
      <c r="X31" s="6" t="s">
        <v>60</v>
      </c>
      <c r="Y31" s="6" t="s">
        <v>87</v>
      </c>
      <c r="Z31" s="6" t="s">
        <v>607</v>
      </c>
      <c r="AA31" s="6" t="s">
        <v>39</v>
      </c>
      <c r="AB31" s="15" t="s">
        <v>19</v>
      </c>
      <c r="AC31" s="16" t="s">
        <v>45</v>
      </c>
      <c r="AD31" s="16" t="s">
        <v>45</v>
      </c>
      <c r="AE31" s="16" t="s">
        <v>116</v>
      </c>
      <c r="AF31" s="16" t="s">
        <v>50</v>
      </c>
      <c r="AG31" s="17" t="s">
        <v>60</v>
      </c>
      <c r="AH31" s="17" t="s">
        <v>62</v>
      </c>
      <c r="AI31" s="17" t="s">
        <v>45</v>
      </c>
      <c r="AJ31" s="17" t="s">
        <v>23</v>
      </c>
      <c r="AK31" s="17" t="s">
        <v>45</v>
      </c>
      <c r="AL31" s="78" t="s">
        <v>368</v>
      </c>
      <c r="AM31" s="79"/>
      <c r="AN31" s="79"/>
      <c r="AO31" s="79"/>
      <c r="AP31" s="80"/>
    </row>
    <row r="32" spans="1:42" s="14" customFormat="1" ht="15" customHeight="1" x14ac:dyDescent="0.4">
      <c r="A32" s="11">
        <v>4</v>
      </c>
      <c r="B32" s="11">
        <v>306</v>
      </c>
      <c r="C32" s="11" t="s">
        <v>79</v>
      </c>
      <c r="D32" s="13" t="s">
        <v>660</v>
      </c>
      <c r="E32" s="33" t="s">
        <v>18</v>
      </c>
      <c r="F32" s="11" t="s">
        <v>661</v>
      </c>
      <c r="G32" s="11" t="s">
        <v>43</v>
      </c>
      <c r="H32" s="11" t="s">
        <v>52</v>
      </c>
      <c r="I32" s="11" t="s">
        <v>84</v>
      </c>
      <c r="J32" s="11" t="s">
        <v>85</v>
      </c>
      <c r="K32" s="11" t="s">
        <v>60</v>
      </c>
      <c r="L32" s="11" t="s">
        <v>92</v>
      </c>
      <c r="M32" s="11" t="s">
        <v>45</v>
      </c>
      <c r="N32" s="11" t="s">
        <v>45</v>
      </c>
      <c r="O32" s="11" t="s">
        <v>23</v>
      </c>
      <c r="P32" s="11" t="s">
        <v>84</v>
      </c>
      <c r="Q32" s="11" t="s">
        <v>86</v>
      </c>
      <c r="R32" s="11">
        <v>745</v>
      </c>
      <c r="S32" s="40" t="s">
        <v>39</v>
      </c>
      <c r="T32" s="11">
        <v>900</v>
      </c>
      <c r="U32" s="11" t="s">
        <v>45</v>
      </c>
      <c r="V32" s="11" t="s">
        <v>84</v>
      </c>
      <c r="W32" s="11" t="s">
        <v>86</v>
      </c>
      <c r="X32" s="40" t="s">
        <v>60</v>
      </c>
      <c r="Y32" s="40" t="s">
        <v>662</v>
      </c>
      <c r="Z32" s="40"/>
      <c r="AA32" s="40" t="s">
        <v>65</v>
      </c>
      <c r="AB32" s="12" t="s">
        <v>88</v>
      </c>
      <c r="AC32" s="11" t="s">
        <v>23</v>
      </c>
      <c r="AD32" s="11" t="s">
        <v>23</v>
      </c>
      <c r="AE32" s="11" t="s">
        <v>50</v>
      </c>
      <c r="AF32" s="11" t="s">
        <v>50</v>
      </c>
      <c r="AG32" s="13" t="s">
        <v>60</v>
      </c>
      <c r="AH32" s="13" t="s">
        <v>96</v>
      </c>
      <c r="AI32" s="13" t="s">
        <v>45</v>
      </c>
      <c r="AJ32" s="13" t="s">
        <v>45</v>
      </c>
      <c r="AK32" s="13" t="s">
        <v>23</v>
      </c>
      <c r="AL32" s="94" t="s">
        <v>663</v>
      </c>
      <c r="AM32" s="95"/>
      <c r="AN32" s="95"/>
      <c r="AO32" s="95"/>
      <c r="AP32" s="96"/>
    </row>
    <row r="33" spans="1:43" s="10" customFormat="1" ht="15" customHeight="1" x14ac:dyDescent="0.4">
      <c r="A33" s="6">
        <v>4</v>
      </c>
      <c r="B33" s="6">
        <v>406</v>
      </c>
      <c r="C33" s="6" t="s">
        <v>79</v>
      </c>
      <c r="D33" s="18" t="s">
        <v>351</v>
      </c>
      <c r="E33" s="34" t="s">
        <v>18</v>
      </c>
      <c r="F33" s="6" t="s">
        <v>352</v>
      </c>
      <c r="G33" s="6" t="s">
        <v>43</v>
      </c>
      <c r="H33" s="6" t="s">
        <v>52</v>
      </c>
      <c r="I33" s="6" t="s">
        <v>84</v>
      </c>
      <c r="J33" s="6" t="s">
        <v>85</v>
      </c>
      <c r="K33" s="6" t="s">
        <v>60</v>
      </c>
      <c r="L33" s="6" t="s">
        <v>92</v>
      </c>
      <c r="M33" s="6" t="s">
        <v>45</v>
      </c>
      <c r="N33" s="6" t="s">
        <v>45</v>
      </c>
      <c r="O33" s="6" t="s">
        <v>23</v>
      </c>
      <c r="P33" s="6" t="s">
        <v>84</v>
      </c>
      <c r="Q33" s="6" t="s">
        <v>86</v>
      </c>
      <c r="R33" s="6">
        <v>750</v>
      </c>
      <c r="S33" s="6" t="s">
        <v>39</v>
      </c>
      <c r="T33" s="6">
        <v>900</v>
      </c>
      <c r="U33" s="6" t="s">
        <v>45</v>
      </c>
      <c r="V33" s="6" t="s">
        <v>84</v>
      </c>
      <c r="W33" s="6" t="s">
        <v>86</v>
      </c>
      <c r="X33" s="6" t="s">
        <v>60</v>
      </c>
      <c r="Y33" s="6" t="s">
        <v>353</v>
      </c>
      <c r="Z33" s="6"/>
      <c r="AA33" s="6" t="s">
        <v>39</v>
      </c>
      <c r="AB33" s="15" t="s">
        <v>88</v>
      </c>
      <c r="AC33" s="16" t="s">
        <v>45</v>
      </c>
      <c r="AD33" s="16" t="s">
        <v>45</v>
      </c>
      <c r="AE33" s="16" t="s">
        <v>116</v>
      </c>
      <c r="AF33" s="16" t="s">
        <v>50</v>
      </c>
      <c r="AG33" s="17" t="s">
        <v>60</v>
      </c>
      <c r="AH33" s="17" t="s">
        <v>62</v>
      </c>
      <c r="AI33" s="17" t="s">
        <v>45</v>
      </c>
      <c r="AJ33" s="17" t="s">
        <v>23</v>
      </c>
      <c r="AK33" s="17" t="s">
        <v>45</v>
      </c>
      <c r="AL33" s="78" t="s">
        <v>354</v>
      </c>
      <c r="AM33" s="79"/>
      <c r="AN33" s="79"/>
      <c r="AO33" s="79"/>
      <c r="AP33" s="80"/>
    </row>
    <row r="34" spans="1:43" s="14" customFormat="1" ht="15" customHeight="1" x14ac:dyDescent="0.4">
      <c r="A34" s="11">
        <v>4</v>
      </c>
      <c r="B34" s="11">
        <v>506</v>
      </c>
      <c r="C34" s="11" t="s">
        <v>79</v>
      </c>
      <c r="D34" s="13" t="s">
        <v>2734</v>
      </c>
      <c r="E34" s="33" t="s">
        <v>18</v>
      </c>
      <c r="F34" s="11" t="s">
        <v>2735</v>
      </c>
      <c r="G34" s="11" t="s">
        <v>43</v>
      </c>
      <c r="H34" s="11" t="s">
        <v>52</v>
      </c>
      <c r="I34" s="11" t="s">
        <v>84</v>
      </c>
      <c r="J34" s="11" t="s">
        <v>85</v>
      </c>
      <c r="K34" s="11" t="s">
        <v>60</v>
      </c>
      <c r="L34" s="11" t="s">
        <v>92</v>
      </c>
      <c r="M34" s="11" t="s">
        <v>45</v>
      </c>
      <c r="N34" s="11" t="s">
        <v>45</v>
      </c>
      <c r="O34" s="11" t="s">
        <v>23</v>
      </c>
      <c r="P34" s="11" t="s">
        <v>84</v>
      </c>
      <c r="Q34" s="11" t="s">
        <v>86</v>
      </c>
      <c r="R34" s="11">
        <v>740</v>
      </c>
      <c r="S34" s="40" t="s">
        <v>39</v>
      </c>
      <c r="T34" s="40">
        <v>900</v>
      </c>
      <c r="U34" s="11" t="s">
        <v>45</v>
      </c>
      <c r="V34" s="11" t="s">
        <v>84</v>
      </c>
      <c r="W34" s="11" t="s">
        <v>86</v>
      </c>
      <c r="X34" s="40" t="s">
        <v>60</v>
      </c>
      <c r="Y34" s="40" t="s">
        <v>87</v>
      </c>
      <c r="Z34" s="40" t="s">
        <v>2736</v>
      </c>
      <c r="AA34" s="40" t="s">
        <v>39</v>
      </c>
      <c r="AB34" s="12" t="s">
        <v>88</v>
      </c>
      <c r="AC34" s="11" t="s">
        <v>45</v>
      </c>
      <c r="AD34" s="11" t="s">
        <v>45</v>
      </c>
      <c r="AE34" s="11" t="s">
        <v>50</v>
      </c>
      <c r="AF34" s="11" t="s">
        <v>50</v>
      </c>
      <c r="AG34" s="13" t="s">
        <v>60</v>
      </c>
      <c r="AH34" s="13" t="s">
        <v>62</v>
      </c>
      <c r="AI34" s="13" t="s">
        <v>45</v>
      </c>
      <c r="AJ34" s="13" t="s">
        <v>45</v>
      </c>
      <c r="AK34" s="13" t="s">
        <v>45</v>
      </c>
      <c r="AL34" s="94" t="s">
        <v>2737</v>
      </c>
      <c r="AM34" s="95"/>
      <c r="AN34" s="95"/>
      <c r="AO34" s="95"/>
      <c r="AP34" s="96"/>
    </row>
    <row r="35" spans="1:43" s="2" customFormat="1" ht="11.25" customHeight="1" x14ac:dyDescent="0.4">
      <c r="A35" s="118" t="s">
        <v>12</v>
      </c>
      <c r="B35" s="119"/>
      <c r="C35" s="119"/>
      <c r="D35" s="119"/>
      <c r="E35" s="120"/>
      <c r="F35" s="127">
        <f>COUNTA(D5:D34)</f>
        <v>29</v>
      </c>
      <c r="G35" s="20" t="str">
        <f>"所有→"&amp;COUNTIF(G5:G34,"所有")&amp;"戸"</f>
        <v>所有→28戸</v>
      </c>
      <c r="H35" s="20" t="str">
        <f>"未更新→"&amp;COUNTIF(H5:H34,"未更新")&amp;"戸"</f>
        <v>未更新→27戸</v>
      </c>
      <c r="I35" s="20" t="str">
        <f>"クロス→"&amp;COUNTIF(I5:I34,"クロス")&amp;"戸"</f>
        <v>クロス→29戸</v>
      </c>
      <c r="J35" s="20" t="str">
        <f>"ベニヤ→"&amp;COUNTIF(J5:J34,"ベニヤ")&amp;"戸"</f>
        <v>ベニヤ→28戸</v>
      </c>
      <c r="K35" s="20" t="str">
        <f>"既存→"&amp;COUNTIF(K5:K34,"既存")&amp;"戸"</f>
        <v>既存→3戸</v>
      </c>
      <c r="L35" s="20" t="str">
        <f>"普通便座→"&amp;COUNTIF(L5:L34,"普通便座")&amp;"戸"</f>
        <v>普通便座→1戸</v>
      </c>
      <c r="M35" s="20" t="str">
        <f>"有→"&amp;COUNTIF(M5:M34,"有")&amp;"戸"</f>
        <v>有→0戸</v>
      </c>
      <c r="N35" s="20" t="str">
        <f>"有→"&amp;COUNTIF(N5:N34,"有")&amp;"戸"</f>
        <v>有→4戸</v>
      </c>
      <c r="O35" s="20" t="str">
        <f>"有→"&amp;COUNTIF(O5:O34,"有")&amp;"戸"</f>
        <v>有→23戸</v>
      </c>
      <c r="P35" s="20" t="str">
        <f>"クロス→"&amp;COUNTIF(P5:P34,"クロス")&amp;"戸"</f>
        <v>クロス→29戸</v>
      </c>
      <c r="Q35" s="20" t="str">
        <f>"CF→"&amp;COUNTIF(Q5:Q34,"CF")&amp;"戸"</f>
        <v>CF→27戸</v>
      </c>
      <c r="R35" s="20" t="str">
        <f>"1000→"&amp;COUNTIF(R5:R34,"1000")&amp;"戸"</f>
        <v>1000→1戸</v>
      </c>
      <c r="S35" s="20" t="str">
        <f>"可→"&amp;COUNTIF(S5:S34,"可")&amp;"戸"</f>
        <v>可→29戸</v>
      </c>
      <c r="T35" s="20" t="str">
        <f>"900→"&amp;COUNTIF(T5:T34,"900")&amp;"戸"</f>
        <v>900→23戸</v>
      </c>
      <c r="U35" s="20" t="str">
        <f>"有→"&amp;COUNTIF(U5:U34,"有")&amp;"戸"</f>
        <v>有→0戸</v>
      </c>
      <c r="V35" s="20" t="str">
        <f>"クロス→"&amp;COUNTIF(V5:V34,"クロス")&amp;"戸"</f>
        <v>クロス→28戸</v>
      </c>
      <c r="W35" s="20" t="str">
        <f>"CF→"&amp;COUNTIF(W5:W34,"CF")&amp;"戸"</f>
        <v>CF→27戸</v>
      </c>
      <c r="X35" s="20" t="str">
        <f>"既存→"&amp;COUNTIF(X5:X34,"既存")&amp;"戸"</f>
        <v>既存→5戸</v>
      </c>
      <c r="Y35" s="20" t="str">
        <f>"TOTO→"&amp;COUNTIF(Y5:Y34,"TOTO")&amp;"戸"</f>
        <v>TOTO→14戸</v>
      </c>
      <c r="Z35" s="130">
        <f>COUNTA(Z5:Z34)</f>
        <v>15</v>
      </c>
      <c r="AA35" s="20" t="str">
        <f>"可→"&amp;COUNTIF(AA5:AA34,"可")&amp;"戸"</f>
        <v>可→19戸</v>
      </c>
      <c r="AB35" s="20" t="str">
        <f>"既存→"&amp;COUNTIF(AB5:AB34,"既存")&amp;"戸"</f>
        <v>既存→13戸</v>
      </c>
      <c r="AC35" s="130">
        <f>COUNTIF(AC5:AC34,"有")</f>
        <v>2</v>
      </c>
      <c r="AD35" s="130">
        <f>COUNTIF(AD5:AD34,"有")</f>
        <v>11</v>
      </c>
      <c r="AE35" s="20" t="str">
        <f>"ポリ板→"&amp;COUNTIF(AE5:AE34,"ポリ板")&amp;"戸"</f>
        <v>ポリ板→19戸</v>
      </c>
      <c r="AF35" s="20" t="str">
        <f>"ポリ板→"&amp;COUNTIF(AF5:AF34,"ポリ板")&amp;"戸"</f>
        <v>ポリ板→27戸</v>
      </c>
      <c r="AG35" s="20" t="str">
        <f>"既存→"&amp;COUNTIF(AG5:AG34,"既存")&amp;"戸"</f>
        <v>既存→2戸</v>
      </c>
      <c r="AH35" s="20" t="str">
        <f>"洗面所→"&amp;COUNTIF(AH5:AH34,"洗面所")&amp;"戸"</f>
        <v>洗面所→24戸</v>
      </c>
      <c r="AI35" s="130">
        <f>COUNTIF(AI5:AI34,"有")</f>
        <v>5</v>
      </c>
      <c r="AJ35" s="130">
        <f>COUNTIF(AJ5:AJ34,"有")</f>
        <v>11</v>
      </c>
      <c r="AK35" s="130">
        <f>COUNTIF(AK5:AK34,"有")</f>
        <v>5</v>
      </c>
      <c r="AL35" s="109"/>
      <c r="AM35" s="110"/>
      <c r="AN35" s="110"/>
      <c r="AO35" s="110"/>
      <c r="AP35" s="111"/>
      <c r="AQ35" s="41"/>
    </row>
    <row r="36" spans="1:43" s="2" customFormat="1" ht="11.25" customHeight="1" x14ac:dyDescent="0.4">
      <c r="A36" s="121"/>
      <c r="B36" s="122"/>
      <c r="C36" s="122"/>
      <c r="D36" s="122"/>
      <c r="E36" s="123"/>
      <c r="F36" s="128"/>
      <c r="G36" s="35" t="str">
        <f>"賃貸→"&amp;COUNTIF(G5:G34,"賃貸")&amp;"戸"</f>
        <v>賃貸→1戸</v>
      </c>
      <c r="H36" s="35" t="str">
        <f>"更新済み→"&amp;COUNTIF(H5:H34,"更新済み")&amp;"戸"</f>
        <v>更新済み→2戸</v>
      </c>
      <c r="I36" s="35" t="str">
        <f>"珪藻土→"&amp;COUNTIF(I5:I34,"珪藻土")&amp;"戸"</f>
        <v>珪藻土→0戸</v>
      </c>
      <c r="J36" s="35" t="str">
        <f>"クロス→"&amp;COUNTIF(J5:J34,"クロス")&amp;"戸"</f>
        <v>クロス→0戸</v>
      </c>
      <c r="K36" s="35" t="str">
        <f>"タンクレス→"&amp;COUNTIF(K5:K34,"タンクレス")&amp;"戸"</f>
        <v>タンクレス→1戸</v>
      </c>
      <c r="L36" s="35" t="str">
        <f>"暖房便座→"&amp;COUNTIF(L5:L34,"暖房便座")&amp;"戸"</f>
        <v>暖房便座→1戸</v>
      </c>
      <c r="M36" s="35" t="str">
        <f>"無→"&amp;COUNTIF(M5:M34,"無")&amp;"戸"</f>
        <v>無→29戸</v>
      </c>
      <c r="N36" s="35" t="str">
        <f>"無→"&amp;COUNTIF(N5:N34,"無")&amp;"戸"</f>
        <v>無→25戸</v>
      </c>
      <c r="O36" s="35" t="str">
        <f>"無→"&amp;COUNTIF(O5:O34,"無")&amp;"戸"</f>
        <v>無→6戸</v>
      </c>
      <c r="P36" s="35" t="str">
        <f>"珪藻土→"&amp;COUNTIF(P5:P34,"珪藻土")&amp;"戸"</f>
        <v>珪藻土→0戸</v>
      </c>
      <c r="Q36" s="35" t="str">
        <f>"塩ビタイル→"&amp;COUNTIF(Q5:Q34,"塩ビタイル")&amp;"戸"</f>
        <v>塩ビタイル→0戸</v>
      </c>
      <c r="R36" s="35" t="str">
        <f>"900→"&amp;COUNTIF(R5:R34,"900")&amp;"戸"</f>
        <v>900→0戸</v>
      </c>
      <c r="S36" s="35" t="str">
        <f>"不可→"&amp;COUNTIF(S5:S34,"不可")&amp;"戸"</f>
        <v>不可→0戸</v>
      </c>
      <c r="T36" s="35" t="str">
        <f>"800→"&amp;COUNTIF(T5:T34,"800")&amp;"戸"</f>
        <v>800→0戸</v>
      </c>
      <c r="U36" s="35" t="str">
        <f>"無→"&amp;COUNTIF(U5:U34,"無")&amp;"戸"</f>
        <v>無→28戸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リフォーム済み→23戸</v>
      </c>
      <c r="Y36" s="35" t="str">
        <f>"LIXIL→"&amp;COUNTIF(Y5:Y34,"LIXIL")&amp;"戸"</f>
        <v>LIXIL→1戸</v>
      </c>
      <c r="Z36" s="131"/>
      <c r="AA36" s="35" t="str">
        <f>"不可→"&amp;COUNTIF(AA5:AA34,"不可")&amp;"戸"</f>
        <v>不可→9戸</v>
      </c>
      <c r="AB36" s="36" t="str">
        <f>"システム→"&amp;COUNTIF(AB5:AB34,"システム")&amp;"戸"</f>
        <v>システム→15戸</v>
      </c>
      <c r="AC36" s="131"/>
      <c r="AD36" s="131"/>
      <c r="AE36" s="35" t="str">
        <f>"SUS→"&amp;COUNTIF(AE5:AE34,"SUS")&amp;"戸"</f>
        <v>SUS→8戸</v>
      </c>
      <c r="AF36" s="35" t="str">
        <f>"SUS→"&amp;COUNTIF(AF5:AF34,"SUS")&amp;"戸"</f>
        <v>SUS→0戸</v>
      </c>
      <c r="AG36" s="35" t="str">
        <f>"リフォーム済み→"&amp;COUNTIF(AG5:AG34,"リフォーム済み")&amp;"戸"</f>
        <v>リフォーム済み→27戸</v>
      </c>
      <c r="AH36" s="35" t="str">
        <f>"ベランダ→"&amp;COUNTIF(AH5:AH34,"ベランダ")&amp;"戸"</f>
        <v>ベランダ→5戸</v>
      </c>
      <c r="AI36" s="131"/>
      <c r="AJ36" s="131"/>
      <c r="AK36" s="131"/>
      <c r="AL36" s="112"/>
      <c r="AM36" s="113"/>
      <c r="AN36" s="113"/>
      <c r="AO36" s="113"/>
      <c r="AP36" s="114"/>
      <c r="AQ36" s="41"/>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その他→1戸</v>
      </c>
      <c r="K37" s="35" t="str">
        <f>"レストパル→"&amp;COUNTIF(K5:K34,"レストパル")&amp;"戸"</f>
        <v>レストパル→0戸</v>
      </c>
      <c r="L37" s="35" t="str">
        <f>"WL→"&amp;COUNTIF(L5:L34,"WL")&amp;"戸"</f>
        <v>WL→27戸</v>
      </c>
      <c r="M37" s="23"/>
      <c r="N37" s="23"/>
      <c r="O37" s="23"/>
      <c r="P37" s="35" t="str">
        <f>"塗装→"&amp;COUNTIF(P5:P34,"塗装")&amp;"戸"</f>
        <v>塗装→0戸</v>
      </c>
      <c r="Q37" s="35" t="str">
        <f>"フローリング→"&amp;COUNTIF(Q5:Q34,"フローリング")&amp;"戸"</f>
        <v>フローリング→1戸</v>
      </c>
      <c r="R37" s="35" t="str">
        <f>"750→"&amp;COUNTIF(R5:R34,"750")&amp;"戸"</f>
        <v>750→23戸</v>
      </c>
      <c r="S37" s="35"/>
      <c r="T37" s="35" t="str">
        <f>"740→"&amp;COUNTIF(T5:T34,"740")&amp;"戸"</f>
        <v>740→0戸</v>
      </c>
      <c r="U37" s="23"/>
      <c r="V37" s="35" t="str">
        <f>"塗装→"&amp;COUNTIF(V5:V34,"塗装")&amp;"戸"</f>
        <v>塗装→0戸</v>
      </c>
      <c r="W37" s="35" t="str">
        <f>"フローリング→"&amp;COUNTIF(W5:W34,"フローリング")&amp;"戸"</f>
        <v>フローリング→0戸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1"/>
    </row>
    <row r="38" spans="1:43" s="2" customFormat="1" ht="11.25" customHeight="1" x14ac:dyDescent="0.4">
      <c r="A38" s="124"/>
      <c r="B38" s="125"/>
      <c r="C38" s="125"/>
      <c r="D38" s="125"/>
      <c r="E38" s="126"/>
      <c r="F38" s="129"/>
      <c r="G38" s="35" t="str">
        <f>"空家→"&amp;COUNTIF(G5:G34,"空家")&amp;"戸"</f>
        <v>空家→0戸</v>
      </c>
      <c r="H38" s="39"/>
      <c r="I38" s="28"/>
      <c r="J38" s="27"/>
      <c r="K38" s="35" t="str">
        <f>"一体型→"&amp;COUNTIF(K5:K34,"一体型")&amp;"戸"</f>
        <v>一体型→0戸</v>
      </c>
      <c r="L38" s="28"/>
      <c r="M38" s="28"/>
      <c r="N38" s="28"/>
      <c r="O38" s="28"/>
      <c r="P38" s="28"/>
      <c r="Q38" s="28"/>
      <c r="R38" s="35" t="str">
        <f>"740→"&amp;COUNTIF(R5:R34,"740")&amp;"戸"</f>
        <v>740→3戸</v>
      </c>
      <c r="S38" s="27"/>
      <c r="T38" s="35" t="str">
        <f>"640→"&amp;COUNTIF(T5:T34,"640")&amp;"戸"</f>
        <v>640→4戸</v>
      </c>
      <c r="U38" s="28"/>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1"/>
    </row>
    <row r="39" spans="1:43" s="2" customFormat="1" x14ac:dyDescent="0.4">
      <c r="A39" s="31"/>
      <c r="AI39" s="37"/>
      <c r="AJ39" s="37"/>
      <c r="AQ39" s="1"/>
    </row>
  </sheetData>
  <autoFilter ref="AI3:AK38" xr:uid="{B2D84715-6546-49BD-A8A2-837BEB844E7C}"/>
  <mergeCells count="57">
    <mergeCell ref="AL34:AP34"/>
    <mergeCell ref="A35:E38"/>
    <mergeCell ref="F35:F38"/>
    <mergeCell ref="AL35:AP38"/>
    <mergeCell ref="AL28:AP28"/>
    <mergeCell ref="AL29:AP29"/>
    <mergeCell ref="AL30:AP30"/>
    <mergeCell ref="AL31:AP31"/>
    <mergeCell ref="AL32:AP32"/>
    <mergeCell ref="AL33:AP33"/>
    <mergeCell ref="AC35:AC38"/>
    <mergeCell ref="Z35:Z38"/>
    <mergeCell ref="AI35:AI38"/>
    <mergeCell ref="AJ35:AJ38"/>
    <mergeCell ref="AK35:AK38"/>
    <mergeCell ref="AD35:AD38"/>
    <mergeCell ref="AL27:AP27"/>
    <mergeCell ref="AL15:AP15"/>
    <mergeCell ref="AL16:AP16"/>
    <mergeCell ref="AL17:AP17"/>
    <mergeCell ref="AL18:AP18"/>
    <mergeCell ref="AL19:AP19"/>
    <mergeCell ref="AL20:AP20"/>
    <mergeCell ref="AL21:AP21"/>
    <mergeCell ref="AL22:AP22"/>
    <mergeCell ref="AL23:AP23"/>
    <mergeCell ref="AL24:AP24"/>
    <mergeCell ref="AL26:AP26"/>
    <mergeCell ref="AL25:AP25"/>
    <mergeCell ref="AL14:AP14"/>
    <mergeCell ref="AK3:AK4"/>
    <mergeCell ref="AL3:AP4"/>
    <mergeCell ref="AL5:AP5"/>
    <mergeCell ref="AL6:AP6"/>
    <mergeCell ref="AL7:AP7"/>
    <mergeCell ref="AL9:AP9"/>
    <mergeCell ref="AL10:AP10"/>
    <mergeCell ref="AL11:AP11"/>
    <mergeCell ref="AL12:AP12"/>
    <mergeCell ref="AL13:AP13"/>
    <mergeCell ref="AL8:AP8"/>
    <mergeCell ref="AJ3:AJ4"/>
    <mergeCell ref="A1:AP2"/>
    <mergeCell ref="A3:A4"/>
    <mergeCell ref="B3:B4"/>
    <mergeCell ref="C3:C4"/>
    <mergeCell ref="D3:E4"/>
    <mergeCell ref="F3:F4"/>
    <mergeCell ref="G3:G4"/>
    <mergeCell ref="H3:H4"/>
    <mergeCell ref="I3:J3"/>
    <mergeCell ref="K3:Q3"/>
    <mergeCell ref="R3:W3"/>
    <mergeCell ref="X3:AA3"/>
    <mergeCell ref="AB3:AF3"/>
    <mergeCell ref="AG3:AH3"/>
    <mergeCell ref="AI3:AI4"/>
  </mergeCells>
  <phoneticPr fontId="1"/>
  <dataValidations count="1">
    <dataValidation imeMode="off" allowBlank="1" showInputMessage="1" showErrorMessage="1" sqref="C1:C3 A39:C1048576 A1:A35 B1:B34 C5:C34" xr:uid="{DEF28DAE-FBD9-4B87-9C77-4D69C6882F02}"/>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3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1C4A3686-841E-4C7D-B219-EFFC497BEF73}">
          <x14:formula1>
            <xm:f>Sheet1!$G$6:$G$7</xm:f>
          </x14:formula1>
          <xm:sqref>S5:S34 AA5:AA34</xm:sqref>
        </x14:dataValidation>
        <x14:dataValidation type="list" allowBlank="1" showInputMessage="1" showErrorMessage="1" xr:uid="{C478D4F5-3889-43E3-9A23-BB9CBEAEC511}">
          <x14:formula1>
            <xm:f>Sheet1!$I$1:$I$2</xm:f>
          </x14:formula1>
          <xm:sqref>X5:X34</xm:sqref>
        </x14:dataValidation>
        <x14:dataValidation type="list" allowBlank="1" showInputMessage="1" showErrorMessage="1" xr:uid="{E33482B2-A192-46A0-9A5E-64C3B621646D}">
          <x14:formula1>
            <xm:f>Sheet1!$G$17:$G$18</xm:f>
          </x14:formula1>
          <xm:sqref>AH5:AH34</xm:sqref>
        </x14:dataValidation>
        <x14:dataValidation type="list" allowBlank="1" showInputMessage="1" showErrorMessage="1" xr:uid="{5B7ADF1A-86E9-44EE-A619-39E0CA56C185}">
          <x14:formula1>
            <xm:f>Sheet1!$E$17:$E$18</xm:f>
          </x14:formula1>
          <xm:sqref>AG5:AG34</xm:sqref>
        </x14:dataValidation>
        <x14:dataValidation type="list" allowBlank="1" showInputMessage="1" showErrorMessage="1" xr:uid="{E68C4401-5238-4745-9047-5F68F122A00B}">
          <x14:formula1>
            <xm:f>Sheet1!$G$1:$G$4</xm:f>
          </x14:formula1>
          <xm:sqref>AE5:AF34</xm:sqref>
        </x14:dataValidation>
        <x14:dataValidation type="list" allowBlank="1" showInputMessage="1" showErrorMessage="1" xr:uid="{91514B51-EDF6-447E-A912-FC8193209BF6}">
          <x14:formula1>
            <xm:f>Sheet1!$A$13:$A$15</xm:f>
          </x14:formula1>
          <xm:sqref>AB5:AB34</xm:sqref>
        </x14:dataValidation>
        <x14:dataValidation type="list" allowBlank="1" showInputMessage="1" showErrorMessage="1" xr:uid="{2CB90A0C-1BCB-4620-9DE2-CD56A1F2B14E}">
          <x14:formula1>
            <xm:f>Sheet1!$C$17:$C$20</xm:f>
          </x14:formula1>
          <xm:sqref>T5:T17 T19:T24 T26:T29 T31:T34</xm:sqref>
        </x14:dataValidation>
        <x14:dataValidation type="list" allowBlank="1" showInputMessage="1" showErrorMessage="1" xr:uid="{A3AE403D-EFAA-48EE-90CC-478F777552EF}">
          <x14:formula1>
            <xm:f>Sheet1!$A$17:$A$20</xm:f>
          </x14:formula1>
          <xm:sqref>R14:R22 R5:R12 R24:R25 R27:R31 R33</xm:sqref>
        </x14:dataValidation>
        <x14:dataValidation type="list" allowBlank="1" showInputMessage="1" showErrorMessage="1" xr:uid="{683494CE-5E79-4947-AC48-AB2FF1948B00}">
          <x14:formula1>
            <xm:f>Sheet1!$C$6:$C$7</xm:f>
          </x14:formula1>
          <xm:sqref>AJ5:AK34 AC5:AD34 U5:U34 M5:O34</xm:sqref>
        </x14:dataValidation>
        <x14:dataValidation type="list" allowBlank="1" showInputMessage="1" showErrorMessage="1" xr:uid="{13CF5464-7BF4-4BE8-9335-97C3DACB1FFA}">
          <x14:formula1>
            <xm:f>Sheet1!$E$9:$E$11</xm:f>
          </x14:formula1>
          <xm:sqref>L5:L34</xm:sqref>
        </x14:dataValidation>
        <x14:dataValidation type="list" allowBlank="1" showInputMessage="1" showErrorMessage="1" xr:uid="{26AC41BB-DA37-4F13-9337-C30F0C6E5CF3}">
          <x14:formula1>
            <xm:f>Sheet1!$G$9:$G$12</xm:f>
          </x14:formula1>
          <xm:sqref>K5:K34</xm:sqref>
        </x14:dataValidation>
        <x14:dataValidation type="list" allowBlank="1" showInputMessage="1" showErrorMessage="1" xr:uid="{18C6DFDC-48BA-44AE-8FAD-897C889E8FC4}">
          <x14:formula1>
            <xm:f>Sheet1!$D$1:$D$3</xm:f>
          </x14:formula1>
          <xm:sqref>J5:J34</xm:sqref>
        </x14:dataValidation>
        <x14:dataValidation type="list" allowBlank="1" showInputMessage="1" showErrorMessage="1" xr:uid="{3F56963E-BEB0-432C-AB2B-7F7752BE6676}">
          <x14:formula1>
            <xm:f>Sheet1!$A$9:$A$11</xm:f>
          </x14:formula1>
          <xm:sqref>V5:V34 P5:P34 I5:I34</xm:sqref>
        </x14:dataValidation>
        <x14:dataValidation type="list" allowBlank="1" showInputMessage="1" showErrorMessage="1" xr:uid="{98A5DEB5-C9B0-4569-9B87-13972B801253}">
          <x14:formula1>
            <xm:f>Sheet1!$A$6:$A$7</xm:f>
          </x14:formula1>
          <xm:sqref>H5:H34</xm:sqref>
        </x14:dataValidation>
        <x14:dataValidation type="list" allowBlank="1" showInputMessage="1" showErrorMessage="1" xr:uid="{2A5A3875-2C8C-4C01-8417-EA4754E0AC4C}">
          <x14:formula1>
            <xm:f>Sheet1!$A$1:$A$4</xm:f>
          </x14:formula1>
          <xm:sqref>G5:G34</xm:sqref>
        </x14:dataValidation>
        <x14:dataValidation type="list" allowBlank="1" showInputMessage="1" showErrorMessage="1" xr:uid="{8DB600F3-18F6-4C5C-BFE2-F26D92F1A88C}">
          <x14:formula1>
            <xm:f>Sheet1!$C$9:$C$11</xm:f>
          </x14:formula1>
          <xm:sqref>W11:W34 W5:W9 Q5:Q9 Q11:Q34</xm:sqref>
        </x14:dataValidation>
        <x14:dataValidation type="list" allowBlank="1" showInputMessage="1" showErrorMessage="1" xr:uid="{2C28C111-31B6-4006-ACFD-8FA7D9455259}">
          <x14:formula1>
            <xm:f>Sheet1!$C$6:$C$8</xm:f>
          </x14:formula1>
          <xm:sqref>AI5:AI34</xm:sqref>
        </x14:dataValidation>
        <x14:dataValidation type="list" allowBlank="1" showInputMessage="1" showErrorMessage="1" xr:uid="{B698CEB0-96F5-4022-916E-E5AFC868239B}">
          <x14:formula1>
            <xm:f>Sheet1!$I$9:$I$13</xm:f>
          </x14:formula1>
          <xm:sqref>Y34 Y6:Y12 Y15:Y31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090C5-0E7E-4500-84E2-D6C1B157F79E}">
  <sheetPr codeName="Sheet5">
    <tabColor rgb="FF92D050"/>
  </sheetPr>
  <dimension ref="A1:AS39"/>
  <sheetViews>
    <sheetView view="pageBreakPreview" zoomScaleNormal="40" zoomScaleSheetLayoutView="100" workbookViewId="0">
      <pane xSplit="5" ySplit="4" topLeftCell="F29" activePane="bottomRight" state="frozen"/>
      <selection activeCell="N11" sqref="N11"/>
      <selection pane="topRight" activeCell="N11" sqref="N11"/>
      <selection pane="bottomLeft" activeCell="N11" sqref="N11"/>
      <selection pane="bottomRight" activeCell="F16" sqref="F1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375" style="2" customWidth="1"/>
    <col min="27" max="40" width="9.125" style="2" customWidth="1"/>
    <col min="41" max="41" width="25.25" style="2" customWidth="1"/>
    <col min="42" max="42" width="9.5" style="1" customWidth="1"/>
    <col min="43" max="43" width="10" style="2" customWidth="1"/>
    <col min="44" max="45" width="12" style="2" customWidth="1"/>
    <col min="46" max="50" width="12" style="1" customWidth="1"/>
    <col min="51" max="16384" width="8.625" style="1"/>
  </cols>
  <sheetData>
    <row r="1" spans="1:45"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5"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row>
    <row r="3" spans="1:45"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c r="AS3" s="1"/>
    </row>
    <row r="4" spans="1:45" s="2" customFormat="1" ht="15" customHeight="1" x14ac:dyDescent="0.4">
      <c r="A4" s="83"/>
      <c r="B4" s="84"/>
      <c r="C4" s="86"/>
      <c r="D4" s="89"/>
      <c r="E4" s="90"/>
      <c r="F4" s="84"/>
      <c r="G4" s="86"/>
      <c r="H4" s="86"/>
      <c r="I4" s="5" t="s">
        <v>16</v>
      </c>
      <c r="J4" s="5" t="s">
        <v>27</v>
      </c>
      <c r="K4" s="5" t="s">
        <v>2</v>
      </c>
      <c r="L4" s="5" t="s">
        <v>28</v>
      </c>
      <c r="M4" s="5" t="s">
        <v>14</v>
      </c>
      <c r="N4" s="5" t="s">
        <v>898</v>
      </c>
      <c r="O4" s="5" t="s">
        <v>1060</v>
      </c>
      <c r="P4" s="5" t="s">
        <v>16</v>
      </c>
      <c r="Q4" s="5" t="s">
        <v>15</v>
      </c>
      <c r="R4" s="5" t="s">
        <v>9</v>
      </c>
      <c r="S4" s="5" t="s">
        <v>66</v>
      </c>
      <c r="T4" s="5" t="s">
        <v>10</v>
      </c>
      <c r="U4" s="5" t="s">
        <v>17</v>
      </c>
      <c r="V4" s="5" t="s">
        <v>16</v>
      </c>
      <c r="W4" s="5" t="s">
        <v>15</v>
      </c>
      <c r="X4" s="5" t="s">
        <v>75</v>
      </c>
      <c r="Y4" s="5" t="s">
        <v>73</v>
      </c>
      <c r="Z4" s="5" t="s">
        <v>74</v>
      </c>
      <c r="AA4" s="5" t="s">
        <v>64</v>
      </c>
      <c r="AB4" s="4" t="s">
        <v>2</v>
      </c>
      <c r="AC4" s="3" t="s">
        <v>11</v>
      </c>
      <c r="AD4" s="3" t="s">
        <v>2664</v>
      </c>
      <c r="AE4" s="3" t="s">
        <v>55</v>
      </c>
      <c r="AF4" s="3" t="s">
        <v>56</v>
      </c>
      <c r="AG4" s="3" t="s">
        <v>2</v>
      </c>
      <c r="AH4" s="3" t="s">
        <v>61</v>
      </c>
      <c r="AI4" s="98"/>
      <c r="AJ4" s="100"/>
      <c r="AK4" s="100"/>
      <c r="AL4" s="89"/>
      <c r="AM4" s="102"/>
      <c r="AN4" s="102"/>
      <c r="AO4" s="102"/>
      <c r="AP4" s="90"/>
    </row>
    <row r="5" spans="1:45" s="10" customFormat="1" ht="30.75" customHeight="1" x14ac:dyDescent="0.4">
      <c r="A5" s="6">
        <v>5</v>
      </c>
      <c r="B5" s="6">
        <v>101</v>
      </c>
      <c r="C5" s="6" t="s">
        <v>79</v>
      </c>
      <c r="D5" s="18" t="s">
        <v>653</v>
      </c>
      <c r="E5" s="32" t="s">
        <v>18</v>
      </c>
      <c r="F5" s="6" t="s">
        <v>654</v>
      </c>
      <c r="G5" s="6" t="s">
        <v>43</v>
      </c>
      <c r="H5" s="6" t="s">
        <v>52</v>
      </c>
      <c r="I5" s="6" t="s">
        <v>84</v>
      </c>
      <c r="J5" s="6" t="s">
        <v>85</v>
      </c>
      <c r="K5" s="6" t="s">
        <v>60</v>
      </c>
      <c r="L5" s="6" t="s">
        <v>92</v>
      </c>
      <c r="M5" s="6" t="s">
        <v>45</v>
      </c>
      <c r="N5" s="6" t="s">
        <v>45</v>
      </c>
      <c r="O5" s="6" t="s">
        <v>45</v>
      </c>
      <c r="P5" s="6" t="s">
        <v>84</v>
      </c>
      <c r="Q5" s="6" t="s">
        <v>86</v>
      </c>
      <c r="R5" s="6">
        <v>750</v>
      </c>
      <c r="S5" s="16" t="s">
        <v>39</v>
      </c>
      <c r="T5" s="6">
        <v>900</v>
      </c>
      <c r="U5" s="6" t="s">
        <v>45</v>
      </c>
      <c r="V5" s="6" t="s">
        <v>84</v>
      </c>
      <c r="W5" s="6" t="s">
        <v>86</v>
      </c>
      <c r="X5" s="16" t="s">
        <v>60</v>
      </c>
      <c r="Y5" s="16" t="s">
        <v>87</v>
      </c>
      <c r="Z5" s="16" t="s">
        <v>655</v>
      </c>
      <c r="AA5" s="16" t="s">
        <v>65</v>
      </c>
      <c r="AB5" s="7" t="s">
        <v>88</v>
      </c>
      <c r="AC5" s="8" t="s">
        <v>23</v>
      </c>
      <c r="AD5" s="8" t="s">
        <v>23</v>
      </c>
      <c r="AE5" s="8" t="s">
        <v>50</v>
      </c>
      <c r="AF5" s="16" t="s">
        <v>50</v>
      </c>
      <c r="AG5" s="17" t="s">
        <v>60</v>
      </c>
      <c r="AH5" s="17" t="s">
        <v>62</v>
      </c>
      <c r="AI5" s="17" t="s">
        <v>23</v>
      </c>
      <c r="AJ5" s="17" t="s">
        <v>45</v>
      </c>
      <c r="AK5" s="9" t="s">
        <v>23</v>
      </c>
      <c r="AL5" s="140" t="s">
        <v>824</v>
      </c>
      <c r="AM5" s="104"/>
      <c r="AN5" s="104"/>
      <c r="AO5" s="104"/>
      <c r="AP5" s="105"/>
    </row>
    <row r="6" spans="1:45" s="14" customFormat="1" ht="31.5" customHeight="1" x14ac:dyDescent="0.4">
      <c r="A6" s="11">
        <v>5</v>
      </c>
      <c r="B6" s="11">
        <v>201</v>
      </c>
      <c r="C6" s="11" t="s">
        <v>79</v>
      </c>
      <c r="D6" s="13" t="s">
        <v>635</v>
      </c>
      <c r="E6" s="33" t="s">
        <v>18</v>
      </c>
      <c r="F6" s="11" t="s">
        <v>636</v>
      </c>
      <c r="G6" s="11" t="s">
        <v>43</v>
      </c>
      <c r="H6" s="11" t="s">
        <v>52</v>
      </c>
      <c r="I6" s="11" t="s">
        <v>84</v>
      </c>
      <c r="J6" s="11" t="s">
        <v>85</v>
      </c>
      <c r="K6" s="11" t="s">
        <v>60</v>
      </c>
      <c r="L6" s="11" t="s">
        <v>92</v>
      </c>
      <c r="M6" s="11" t="s">
        <v>45</v>
      </c>
      <c r="N6" s="11" t="s">
        <v>45</v>
      </c>
      <c r="O6" s="11" t="s">
        <v>23</v>
      </c>
      <c r="P6" s="11" t="s">
        <v>84</v>
      </c>
      <c r="Q6" s="11" t="s">
        <v>86</v>
      </c>
      <c r="R6" s="11">
        <v>750</v>
      </c>
      <c r="S6" s="40" t="s">
        <v>39</v>
      </c>
      <c r="T6" s="11">
        <v>640</v>
      </c>
      <c r="U6" s="11" t="s">
        <v>45</v>
      </c>
      <c r="V6" s="11" t="s">
        <v>84</v>
      </c>
      <c r="W6" s="11" t="s">
        <v>86</v>
      </c>
      <c r="X6" s="40" t="s">
        <v>60</v>
      </c>
      <c r="Y6" s="40" t="s">
        <v>344</v>
      </c>
      <c r="Z6" s="53" t="s">
        <v>652</v>
      </c>
      <c r="AA6" s="40" t="s">
        <v>65</v>
      </c>
      <c r="AB6" s="12" t="s">
        <v>88</v>
      </c>
      <c r="AC6" s="11" t="s">
        <v>45</v>
      </c>
      <c r="AD6" s="11" t="s">
        <v>23</v>
      </c>
      <c r="AE6" s="11" t="s">
        <v>50</v>
      </c>
      <c r="AF6" s="11" t="s">
        <v>50</v>
      </c>
      <c r="AG6" s="13" t="s">
        <v>60</v>
      </c>
      <c r="AH6" s="13" t="s">
        <v>62</v>
      </c>
      <c r="AI6" s="13" t="s">
        <v>45</v>
      </c>
      <c r="AJ6" s="13" t="s">
        <v>45</v>
      </c>
      <c r="AK6" s="13" t="s">
        <v>45</v>
      </c>
      <c r="AL6" s="94" t="s">
        <v>1410</v>
      </c>
      <c r="AM6" s="95"/>
      <c r="AN6" s="95"/>
      <c r="AO6" s="95"/>
      <c r="AP6" s="96"/>
    </row>
    <row r="7" spans="1:45" s="10" customFormat="1" ht="31.5" customHeight="1" x14ac:dyDescent="0.4">
      <c r="A7" s="6">
        <v>5</v>
      </c>
      <c r="B7" s="6">
        <v>301</v>
      </c>
      <c r="C7" s="6" t="s">
        <v>79</v>
      </c>
      <c r="D7" s="18" t="s">
        <v>637</v>
      </c>
      <c r="E7" s="34" t="s">
        <v>18</v>
      </c>
      <c r="F7" s="46" t="s">
        <v>638</v>
      </c>
      <c r="G7" s="6" t="s">
        <v>43</v>
      </c>
      <c r="H7" s="6" t="s">
        <v>52</v>
      </c>
      <c r="I7" s="6" t="s">
        <v>84</v>
      </c>
      <c r="J7" s="6" t="s">
        <v>85</v>
      </c>
      <c r="K7" s="6" t="s">
        <v>60</v>
      </c>
      <c r="L7" s="6" t="s">
        <v>92</v>
      </c>
      <c r="M7" s="6" t="s">
        <v>45</v>
      </c>
      <c r="N7" s="6" t="s">
        <v>45</v>
      </c>
      <c r="O7" s="6" t="s">
        <v>45</v>
      </c>
      <c r="P7" s="6" t="s">
        <v>84</v>
      </c>
      <c r="Q7" s="6" t="s">
        <v>86</v>
      </c>
      <c r="R7" s="6">
        <v>750</v>
      </c>
      <c r="S7" s="6" t="s">
        <v>39</v>
      </c>
      <c r="T7" s="6">
        <v>900</v>
      </c>
      <c r="U7" s="6" t="s">
        <v>45</v>
      </c>
      <c r="V7" s="6" t="s">
        <v>84</v>
      </c>
      <c r="W7" s="6" t="s">
        <v>86</v>
      </c>
      <c r="X7" s="6" t="s">
        <v>60</v>
      </c>
      <c r="Y7" s="6" t="s">
        <v>87</v>
      </c>
      <c r="Z7" s="6" t="s">
        <v>639</v>
      </c>
      <c r="AA7" s="6" t="s">
        <v>65</v>
      </c>
      <c r="AB7" s="15" t="s">
        <v>88</v>
      </c>
      <c r="AC7" s="16" t="s">
        <v>45</v>
      </c>
      <c r="AD7" s="16" t="s">
        <v>45</v>
      </c>
      <c r="AE7" s="16" t="s">
        <v>116</v>
      </c>
      <c r="AF7" s="16" t="s">
        <v>50</v>
      </c>
      <c r="AG7" s="17" t="s">
        <v>60</v>
      </c>
      <c r="AH7" s="17" t="s">
        <v>62</v>
      </c>
      <c r="AI7" s="17" t="s">
        <v>45</v>
      </c>
      <c r="AJ7" s="17" t="s">
        <v>45</v>
      </c>
      <c r="AK7" s="17" t="s">
        <v>45</v>
      </c>
      <c r="AL7" s="78" t="s">
        <v>1411</v>
      </c>
      <c r="AM7" s="79"/>
      <c r="AN7" s="79"/>
      <c r="AO7" s="79"/>
      <c r="AP7" s="80"/>
    </row>
    <row r="8" spans="1:45" s="14" customFormat="1" ht="15" customHeight="1" x14ac:dyDescent="0.4">
      <c r="A8" s="11">
        <v>5</v>
      </c>
      <c r="B8" s="11">
        <v>401</v>
      </c>
      <c r="C8" s="11" t="s">
        <v>79</v>
      </c>
      <c r="D8" s="13"/>
      <c r="E8" s="33" t="s">
        <v>18</v>
      </c>
      <c r="F8" s="11"/>
      <c r="G8" s="11"/>
      <c r="H8" s="11"/>
      <c r="I8" s="11"/>
      <c r="J8" s="11"/>
      <c r="K8" s="11"/>
      <c r="L8" s="11"/>
      <c r="M8" s="11"/>
      <c r="N8" s="11"/>
      <c r="O8" s="11"/>
      <c r="P8" s="11"/>
      <c r="Q8" s="11"/>
      <c r="R8" s="11"/>
      <c r="S8" s="40"/>
      <c r="T8" s="11"/>
      <c r="U8" s="11"/>
      <c r="V8" s="11"/>
      <c r="W8" s="11"/>
      <c r="X8" s="40"/>
      <c r="Y8" s="40"/>
      <c r="Z8" s="40"/>
      <c r="AA8" s="40"/>
      <c r="AB8" s="12"/>
      <c r="AC8" s="11"/>
      <c r="AD8" s="11"/>
      <c r="AE8" s="11"/>
      <c r="AF8" s="11"/>
      <c r="AG8" s="13"/>
      <c r="AH8" s="13"/>
      <c r="AI8" s="13"/>
      <c r="AJ8" s="13"/>
      <c r="AK8" s="13"/>
      <c r="AL8" s="94"/>
      <c r="AM8" s="95"/>
      <c r="AN8" s="95"/>
      <c r="AO8" s="95"/>
      <c r="AP8" s="96"/>
    </row>
    <row r="9" spans="1:45" s="10" customFormat="1" ht="15" customHeight="1" x14ac:dyDescent="0.4">
      <c r="A9" s="6">
        <v>5</v>
      </c>
      <c r="B9" s="6">
        <v>501</v>
      </c>
      <c r="C9" s="6" t="s">
        <v>79</v>
      </c>
      <c r="D9" s="18" t="s">
        <v>585</v>
      </c>
      <c r="E9" s="34" t="s">
        <v>18</v>
      </c>
      <c r="F9" s="6" t="s">
        <v>586</v>
      </c>
      <c r="G9" s="6" t="s">
        <v>43</v>
      </c>
      <c r="H9" s="6" t="s">
        <v>52</v>
      </c>
      <c r="I9" s="6" t="s">
        <v>587</v>
      </c>
      <c r="J9" s="6" t="s">
        <v>85</v>
      </c>
      <c r="K9" s="6" t="s">
        <v>60</v>
      </c>
      <c r="L9" s="6" t="s">
        <v>92</v>
      </c>
      <c r="M9" s="6" t="s">
        <v>45</v>
      </c>
      <c r="N9" s="6" t="s">
        <v>23</v>
      </c>
      <c r="O9" s="6" t="s">
        <v>45</v>
      </c>
      <c r="P9" s="6" t="s">
        <v>84</v>
      </c>
      <c r="Q9" s="6" t="s">
        <v>86</v>
      </c>
      <c r="R9" s="6">
        <v>750</v>
      </c>
      <c r="S9" s="6" t="s">
        <v>39</v>
      </c>
      <c r="T9" s="6">
        <v>900</v>
      </c>
      <c r="U9" s="6" t="s">
        <v>45</v>
      </c>
      <c r="V9" s="6" t="s">
        <v>84</v>
      </c>
      <c r="W9" s="6" t="s">
        <v>86</v>
      </c>
      <c r="X9" s="6" t="s">
        <v>60</v>
      </c>
      <c r="Y9" s="6" t="s">
        <v>531</v>
      </c>
      <c r="Z9" s="6"/>
      <c r="AA9" s="6" t="s">
        <v>65</v>
      </c>
      <c r="AB9" s="15" t="s">
        <v>88</v>
      </c>
      <c r="AC9" s="16" t="s">
        <v>45</v>
      </c>
      <c r="AD9" s="16" t="s">
        <v>23</v>
      </c>
      <c r="AE9" s="16" t="s">
        <v>50</v>
      </c>
      <c r="AF9" s="16" t="s">
        <v>50</v>
      </c>
      <c r="AG9" s="17" t="s">
        <v>60</v>
      </c>
      <c r="AH9" s="17" t="s">
        <v>62</v>
      </c>
      <c r="AI9" s="17" t="s">
        <v>45</v>
      </c>
      <c r="AJ9" s="17" t="s">
        <v>45</v>
      </c>
      <c r="AK9" s="17" t="s">
        <v>45</v>
      </c>
      <c r="AL9" s="78" t="s">
        <v>588</v>
      </c>
      <c r="AM9" s="79"/>
      <c r="AN9" s="79"/>
      <c r="AO9" s="79"/>
      <c r="AP9" s="80"/>
    </row>
    <row r="10" spans="1:45" s="14" customFormat="1" ht="15" customHeight="1" x14ac:dyDescent="0.4">
      <c r="A10" s="11">
        <v>5</v>
      </c>
      <c r="B10" s="11">
        <v>102</v>
      </c>
      <c r="C10" s="11" t="s">
        <v>79</v>
      </c>
      <c r="D10" s="13" t="s">
        <v>589</v>
      </c>
      <c r="E10" s="33" t="s">
        <v>18</v>
      </c>
      <c r="F10" s="11" t="s">
        <v>590</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900</v>
      </c>
      <c r="U10" s="11" t="s">
        <v>45</v>
      </c>
      <c r="V10" s="11" t="s">
        <v>84</v>
      </c>
      <c r="W10" s="11" t="s">
        <v>86</v>
      </c>
      <c r="X10" s="40" t="s">
        <v>60</v>
      </c>
      <c r="Y10" s="40" t="s">
        <v>87</v>
      </c>
      <c r="Z10" s="40" t="s">
        <v>591</v>
      </c>
      <c r="AA10" s="40" t="s">
        <v>65</v>
      </c>
      <c r="AB10" s="12" t="s">
        <v>88</v>
      </c>
      <c r="AC10" s="11" t="s">
        <v>23</v>
      </c>
      <c r="AD10" s="11" t="s">
        <v>23</v>
      </c>
      <c r="AE10" s="11" t="s">
        <v>50</v>
      </c>
      <c r="AF10" s="11" t="s">
        <v>50</v>
      </c>
      <c r="AG10" s="13" t="s">
        <v>60</v>
      </c>
      <c r="AH10" s="13" t="s">
        <v>62</v>
      </c>
      <c r="AI10" s="13" t="s">
        <v>23</v>
      </c>
      <c r="AJ10" s="13" t="s">
        <v>23</v>
      </c>
      <c r="AK10" s="13" t="s">
        <v>45</v>
      </c>
      <c r="AL10" s="94" t="s">
        <v>592</v>
      </c>
      <c r="AM10" s="95"/>
      <c r="AN10" s="95"/>
      <c r="AO10" s="95"/>
      <c r="AP10" s="96"/>
    </row>
    <row r="11" spans="1:45" s="10" customFormat="1" ht="15" customHeight="1" x14ac:dyDescent="0.4">
      <c r="A11" s="6">
        <v>5</v>
      </c>
      <c r="B11" s="6">
        <v>202</v>
      </c>
      <c r="C11" s="6" t="s">
        <v>79</v>
      </c>
      <c r="D11" s="18" t="s">
        <v>640</v>
      </c>
      <c r="E11" s="34" t="s">
        <v>18</v>
      </c>
      <c r="F11" s="6" t="s">
        <v>641</v>
      </c>
      <c r="G11" s="6" t="s">
        <v>43</v>
      </c>
      <c r="H11" s="6" t="s">
        <v>52</v>
      </c>
      <c r="I11" s="6" t="s">
        <v>84</v>
      </c>
      <c r="J11" s="6" t="s">
        <v>85</v>
      </c>
      <c r="K11" s="6" t="s">
        <v>60</v>
      </c>
      <c r="L11" s="6" t="s">
        <v>92</v>
      </c>
      <c r="M11" s="6" t="s">
        <v>45</v>
      </c>
      <c r="N11" s="6" t="s">
        <v>45</v>
      </c>
      <c r="O11" s="6" t="s">
        <v>45</v>
      </c>
      <c r="P11" s="6" t="s">
        <v>84</v>
      </c>
      <c r="Q11" s="6" t="s">
        <v>86</v>
      </c>
      <c r="R11" s="6">
        <v>750</v>
      </c>
      <c r="S11" s="6" t="s">
        <v>39</v>
      </c>
      <c r="T11" s="6">
        <v>640</v>
      </c>
      <c r="U11" s="6" t="s">
        <v>45</v>
      </c>
      <c r="V11" s="6" t="s">
        <v>84</v>
      </c>
      <c r="W11" s="6" t="s">
        <v>86</v>
      </c>
      <c r="X11" s="6" t="s">
        <v>60</v>
      </c>
      <c r="Y11" s="6" t="s">
        <v>87</v>
      </c>
      <c r="Z11" s="6" t="s">
        <v>642</v>
      </c>
      <c r="AA11" s="6" t="s">
        <v>65</v>
      </c>
      <c r="AB11" s="15" t="s">
        <v>88</v>
      </c>
      <c r="AC11" s="16" t="s">
        <v>45</v>
      </c>
      <c r="AD11" s="16" t="s">
        <v>45</v>
      </c>
      <c r="AE11" s="16" t="s">
        <v>50</v>
      </c>
      <c r="AF11" s="16" t="s">
        <v>50</v>
      </c>
      <c r="AG11" s="17" t="s">
        <v>60</v>
      </c>
      <c r="AH11" s="17" t="s">
        <v>62</v>
      </c>
      <c r="AI11" s="17" t="s">
        <v>45</v>
      </c>
      <c r="AJ11" s="17" t="s">
        <v>23</v>
      </c>
      <c r="AK11" s="17" t="s">
        <v>45</v>
      </c>
      <c r="AL11" s="78" t="s">
        <v>643</v>
      </c>
      <c r="AM11" s="79"/>
      <c r="AN11" s="79"/>
      <c r="AO11" s="79"/>
      <c r="AP11" s="80"/>
    </row>
    <row r="12" spans="1:45" s="14" customFormat="1" ht="15" customHeight="1" x14ac:dyDescent="0.4">
      <c r="A12" s="11">
        <v>5</v>
      </c>
      <c r="B12" s="11">
        <v>302</v>
      </c>
      <c r="C12" s="11" t="s">
        <v>79</v>
      </c>
      <c r="D12" s="13" t="s">
        <v>644</v>
      </c>
      <c r="E12" s="33" t="s">
        <v>18</v>
      </c>
      <c r="F12" s="11" t="s">
        <v>645</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651</v>
      </c>
      <c r="AA12" s="40" t="s">
        <v>65</v>
      </c>
      <c r="AB12" s="12" t="s">
        <v>88</v>
      </c>
      <c r="AC12" s="11" t="s">
        <v>45</v>
      </c>
      <c r="AD12" s="11" t="s">
        <v>23</v>
      </c>
      <c r="AE12" s="11" t="s">
        <v>116</v>
      </c>
      <c r="AF12" s="11" t="s">
        <v>116</v>
      </c>
      <c r="AG12" s="13" t="s">
        <v>60</v>
      </c>
      <c r="AH12" s="13" t="s">
        <v>62</v>
      </c>
      <c r="AI12" s="13" t="s">
        <v>45</v>
      </c>
      <c r="AJ12" s="13" t="s">
        <v>45</v>
      </c>
      <c r="AK12" s="13" t="s">
        <v>23</v>
      </c>
      <c r="AL12" s="94" t="s">
        <v>646</v>
      </c>
      <c r="AM12" s="95"/>
      <c r="AN12" s="95"/>
      <c r="AO12" s="95"/>
      <c r="AP12" s="96"/>
    </row>
    <row r="13" spans="1:45" s="10" customFormat="1" ht="15" customHeight="1" x14ac:dyDescent="0.4">
      <c r="A13" s="6">
        <v>5</v>
      </c>
      <c r="B13" s="6">
        <v>402</v>
      </c>
      <c r="C13" s="6" t="s">
        <v>79</v>
      </c>
      <c r="D13" s="18" t="s">
        <v>688</v>
      </c>
      <c r="E13" s="34" t="s">
        <v>18</v>
      </c>
      <c r="F13" s="6" t="s">
        <v>689</v>
      </c>
      <c r="G13" s="6" t="s">
        <v>43</v>
      </c>
      <c r="H13" s="6" t="s">
        <v>52</v>
      </c>
      <c r="I13" s="6" t="s">
        <v>84</v>
      </c>
      <c r="J13" s="6" t="s">
        <v>85</v>
      </c>
      <c r="K13" s="6" t="s">
        <v>60</v>
      </c>
      <c r="L13" s="6" t="s">
        <v>92</v>
      </c>
      <c r="M13" s="6" t="s">
        <v>45</v>
      </c>
      <c r="N13" s="6" t="s">
        <v>23</v>
      </c>
      <c r="O13" s="6" t="s">
        <v>23</v>
      </c>
      <c r="P13" s="6" t="s">
        <v>84</v>
      </c>
      <c r="Q13" s="6" t="s">
        <v>86</v>
      </c>
      <c r="R13" s="6">
        <v>750</v>
      </c>
      <c r="S13" s="6" t="s">
        <v>39</v>
      </c>
      <c r="T13" s="6">
        <v>900</v>
      </c>
      <c r="U13" s="6" t="s">
        <v>45</v>
      </c>
      <c r="V13" s="6" t="s">
        <v>84</v>
      </c>
      <c r="W13" s="6" t="s">
        <v>86</v>
      </c>
      <c r="X13" s="6" t="s">
        <v>60</v>
      </c>
      <c r="Y13" s="6" t="s">
        <v>87</v>
      </c>
      <c r="Z13" s="6" t="s">
        <v>691</v>
      </c>
      <c r="AA13" s="6" t="s">
        <v>65</v>
      </c>
      <c r="AB13" s="15" t="s">
        <v>88</v>
      </c>
      <c r="AC13" s="16" t="s">
        <v>45</v>
      </c>
      <c r="AD13" s="16" t="s">
        <v>45</v>
      </c>
      <c r="AE13" s="16" t="s">
        <v>116</v>
      </c>
      <c r="AF13" s="16" t="s">
        <v>50</v>
      </c>
      <c r="AG13" s="17" t="s">
        <v>60</v>
      </c>
      <c r="AH13" s="17" t="s">
        <v>62</v>
      </c>
      <c r="AI13" s="17" t="s">
        <v>23</v>
      </c>
      <c r="AJ13" s="17" t="s">
        <v>45</v>
      </c>
      <c r="AK13" s="17" t="s">
        <v>23</v>
      </c>
      <c r="AL13" s="78" t="s">
        <v>692</v>
      </c>
      <c r="AM13" s="79"/>
      <c r="AN13" s="79"/>
      <c r="AO13" s="79"/>
      <c r="AP13" s="80"/>
    </row>
    <row r="14" spans="1:45" s="14" customFormat="1" ht="47.25" customHeight="1" x14ac:dyDescent="0.4">
      <c r="A14" s="11">
        <v>5</v>
      </c>
      <c r="B14" s="11">
        <v>502</v>
      </c>
      <c r="C14" s="11" t="s">
        <v>79</v>
      </c>
      <c r="D14" s="13" t="s">
        <v>2696</v>
      </c>
      <c r="E14" s="33" t="s">
        <v>18</v>
      </c>
      <c r="F14" s="11" t="s">
        <v>2696</v>
      </c>
      <c r="G14" s="11" t="s">
        <v>40</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19</v>
      </c>
      <c r="Y14" s="40"/>
      <c r="Z14" s="40"/>
      <c r="AA14" s="40" t="s">
        <v>65</v>
      </c>
      <c r="AB14" s="12" t="s">
        <v>88</v>
      </c>
      <c r="AC14" s="11" t="s">
        <v>45</v>
      </c>
      <c r="AD14" s="11" t="s">
        <v>23</v>
      </c>
      <c r="AE14" s="11" t="s">
        <v>50</v>
      </c>
      <c r="AF14" s="11" t="s">
        <v>50</v>
      </c>
      <c r="AG14" s="13" t="s">
        <v>60</v>
      </c>
      <c r="AH14" s="13" t="s">
        <v>62</v>
      </c>
      <c r="AI14" s="13" t="s">
        <v>45</v>
      </c>
      <c r="AJ14" s="13" t="s">
        <v>45</v>
      </c>
      <c r="AK14" s="13" t="s">
        <v>45</v>
      </c>
      <c r="AL14" s="133" t="s">
        <v>2760</v>
      </c>
      <c r="AM14" s="134"/>
      <c r="AN14" s="134"/>
      <c r="AO14" s="134"/>
      <c r="AP14" s="135"/>
    </row>
    <row r="15" spans="1:45" s="10" customFormat="1" ht="15" customHeight="1" x14ac:dyDescent="0.4">
      <c r="A15" s="6">
        <v>5</v>
      </c>
      <c r="B15" s="6">
        <v>103</v>
      </c>
      <c r="C15" s="6" t="s">
        <v>79</v>
      </c>
      <c r="D15" s="18" t="s">
        <v>693</v>
      </c>
      <c r="E15" s="34" t="s">
        <v>18</v>
      </c>
      <c r="F15" s="6" t="s">
        <v>694</v>
      </c>
      <c r="G15" s="6" t="s">
        <v>43</v>
      </c>
      <c r="H15" s="6" t="s">
        <v>52</v>
      </c>
      <c r="I15" s="6" t="s">
        <v>84</v>
      </c>
      <c r="J15" s="6" t="s">
        <v>85</v>
      </c>
      <c r="K15" s="6" t="s">
        <v>60</v>
      </c>
      <c r="L15" s="6" t="s">
        <v>92</v>
      </c>
      <c r="M15" s="6" t="s">
        <v>45</v>
      </c>
      <c r="N15" s="6" t="s">
        <v>45</v>
      </c>
      <c r="O15" s="6" t="s">
        <v>45</v>
      </c>
      <c r="P15" s="6" t="s">
        <v>84</v>
      </c>
      <c r="Q15" s="6" t="s">
        <v>86</v>
      </c>
      <c r="R15" s="6">
        <v>750</v>
      </c>
      <c r="S15" s="6" t="s">
        <v>39</v>
      </c>
      <c r="T15" s="6">
        <v>900</v>
      </c>
      <c r="U15" s="6" t="s">
        <v>45</v>
      </c>
      <c r="V15" s="6" t="s">
        <v>84</v>
      </c>
      <c r="W15" s="6" t="s">
        <v>86</v>
      </c>
      <c r="X15" s="6" t="s">
        <v>60</v>
      </c>
      <c r="Y15" s="6" t="s">
        <v>141</v>
      </c>
      <c r="Z15" s="6"/>
      <c r="AA15" s="6" t="s">
        <v>65</v>
      </c>
      <c r="AB15" s="15" t="s">
        <v>88</v>
      </c>
      <c r="AC15" s="16" t="s">
        <v>23</v>
      </c>
      <c r="AD15" s="16" t="s">
        <v>23</v>
      </c>
      <c r="AE15" s="16" t="s">
        <v>50</v>
      </c>
      <c r="AF15" s="16" t="s">
        <v>50</v>
      </c>
      <c r="AG15" s="17" t="s">
        <v>60</v>
      </c>
      <c r="AH15" s="17" t="s">
        <v>62</v>
      </c>
      <c r="AI15" s="17" t="s">
        <v>45</v>
      </c>
      <c r="AJ15" s="17" t="s">
        <v>45</v>
      </c>
      <c r="AK15" s="17" t="s">
        <v>23</v>
      </c>
      <c r="AL15" s="78" t="s">
        <v>695</v>
      </c>
      <c r="AM15" s="79"/>
      <c r="AN15" s="79"/>
      <c r="AO15" s="79"/>
      <c r="AP15" s="80"/>
    </row>
    <row r="16" spans="1:45" s="14" customFormat="1" ht="15" customHeight="1" x14ac:dyDescent="0.4">
      <c r="A16" s="11">
        <v>5</v>
      </c>
      <c r="B16" s="11">
        <v>203</v>
      </c>
      <c r="C16" s="11" t="s">
        <v>79</v>
      </c>
      <c r="D16" s="13" t="s">
        <v>696</v>
      </c>
      <c r="E16" s="33" t="s">
        <v>18</v>
      </c>
      <c r="F16" s="11" t="s">
        <v>697</v>
      </c>
      <c r="G16" s="11" t="s">
        <v>43</v>
      </c>
      <c r="H16" s="11" t="s">
        <v>52</v>
      </c>
      <c r="I16" s="11" t="s">
        <v>84</v>
      </c>
      <c r="J16" s="11" t="s">
        <v>85</v>
      </c>
      <c r="K16" s="11" t="s">
        <v>60</v>
      </c>
      <c r="L16" s="11" t="s">
        <v>92</v>
      </c>
      <c r="M16" s="11" t="s">
        <v>45</v>
      </c>
      <c r="N16" s="11" t="s">
        <v>45</v>
      </c>
      <c r="O16" s="11" t="s">
        <v>23</v>
      </c>
      <c r="P16" s="11" t="s">
        <v>84</v>
      </c>
      <c r="Q16" s="11" t="s">
        <v>86</v>
      </c>
      <c r="R16" s="11">
        <v>740</v>
      </c>
      <c r="S16" s="40" t="s">
        <v>39</v>
      </c>
      <c r="T16" s="11">
        <v>900</v>
      </c>
      <c r="U16" s="11" t="s">
        <v>45</v>
      </c>
      <c r="V16" s="11" t="s">
        <v>84</v>
      </c>
      <c r="W16" s="11" t="s">
        <v>86</v>
      </c>
      <c r="X16" s="40" t="s">
        <v>60</v>
      </c>
      <c r="Y16" s="40" t="s">
        <v>87</v>
      </c>
      <c r="Z16" s="40" t="s">
        <v>698</v>
      </c>
      <c r="AA16" s="40" t="s">
        <v>65</v>
      </c>
      <c r="AB16" s="12" t="s">
        <v>88</v>
      </c>
      <c r="AC16" s="11" t="s">
        <v>45</v>
      </c>
      <c r="AD16" s="11" t="s">
        <v>23</v>
      </c>
      <c r="AE16" s="11" t="s">
        <v>50</v>
      </c>
      <c r="AF16" s="11" t="s">
        <v>50</v>
      </c>
      <c r="AG16" s="13" t="s">
        <v>60</v>
      </c>
      <c r="AH16" s="13" t="s">
        <v>62</v>
      </c>
      <c r="AI16" s="13" t="s">
        <v>45</v>
      </c>
      <c r="AJ16" s="13" t="s">
        <v>23</v>
      </c>
      <c r="AK16" s="13" t="s">
        <v>45</v>
      </c>
      <c r="AL16" s="94" t="s">
        <v>699</v>
      </c>
      <c r="AM16" s="95"/>
      <c r="AN16" s="95"/>
      <c r="AO16" s="95"/>
      <c r="AP16" s="96"/>
    </row>
    <row r="17" spans="1:42" s="10" customFormat="1" ht="15" customHeight="1" x14ac:dyDescent="0.4">
      <c r="A17" s="6">
        <v>5</v>
      </c>
      <c r="B17" s="6">
        <v>303</v>
      </c>
      <c r="C17" s="6" t="s">
        <v>79</v>
      </c>
      <c r="D17" s="18" t="s">
        <v>647</v>
      </c>
      <c r="E17" s="34" t="s">
        <v>18</v>
      </c>
      <c r="F17" s="6" t="s">
        <v>648</v>
      </c>
      <c r="G17" s="6" t="s">
        <v>43</v>
      </c>
      <c r="H17" s="6" t="s">
        <v>52</v>
      </c>
      <c r="I17" s="6" t="s">
        <v>84</v>
      </c>
      <c r="J17" s="6" t="s">
        <v>85</v>
      </c>
      <c r="K17" s="6" t="s">
        <v>60</v>
      </c>
      <c r="L17" s="6" t="s">
        <v>92</v>
      </c>
      <c r="M17" s="6" t="s">
        <v>45</v>
      </c>
      <c r="N17" s="6" t="s">
        <v>45</v>
      </c>
      <c r="O17" s="6" t="s">
        <v>23</v>
      </c>
      <c r="P17" s="6" t="s">
        <v>84</v>
      </c>
      <c r="Q17" s="6" t="s">
        <v>86</v>
      </c>
      <c r="R17" s="6">
        <v>740</v>
      </c>
      <c r="S17" s="6" t="s">
        <v>39</v>
      </c>
      <c r="T17" s="6">
        <v>900</v>
      </c>
      <c r="U17" s="6" t="s">
        <v>45</v>
      </c>
      <c r="V17" s="6" t="s">
        <v>84</v>
      </c>
      <c r="W17" s="6" t="s">
        <v>86</v>
      </c>
      <c r="X17" s="6" t="s">
        <v>60</v>
      </c>
      <c r="Y17" s="6" t="s">
        <v>141</v>
      </c>
      <c r="Z17" s="6" t="s">
        <v>649</v>
      </c>
      <c r="AA17" s="6" t="s">
        <v>65</v>
      </c>
      <c r="AB17" s="15" t="s">
        <v>19</v>
      </c>
      <c r="AC17" s="16" t="s">
        <v>45</v>
      </c>
      <c r="AD17" s="16" t="s">
        <v>45</v>
      </c>
      <c r="AE17" s="16" t="s">
        <v>50</v>
      </c>
      <c r="AF17" s="16" t="s">
        <v>50</v>
      </c>
      <c r="AG17" s="17" t="s">
        <v>60</v>
      </c>
      <c r="AH17" s="17" t="s">
        <v>62</v>
      </c>
      <c r="AI17" s="17" t="s">
        <v>45</v>
      </c>
      <c r="AJ17" s="17" t="s">
        <v>45</v>
      </c>
      <c r="AK17" s="17" t="s">
        <v>45</v>
      </c>
      <c r="AL17" s="78" t="s">
        <v>650</v>
      </c>
      <c r="AM17" s="79"/>
      <c r="AN17" s="79"/>
      <c r="AO17" s="79"/>
      <c r="AP17" s="80"/>
    </row>
    <row r="18" spans="1:42" s="14" customFormat="1" ht="15" customHeight="1" x14ac:dyDescent="0.4">
      <c r="A18" s="11">
        <v>5</v>
      </c>
      <c r="B18" s="11">
        <v>403</v>
      </c>
      <c r="C18" s="11" t="s">
        <v>79</v>
      </c>
      <c r="D18" s="13" t="s">
        <v>664</v>
      </c>
      <c r="E18" s="33" t="s">
        <v>18</v>
      </c>
      <c r="F18" s="11" t="s">
        <v>665</v>
      </c>
      <c r="G18" s="11" t="s">
        <v>22</v>
      </c>
      <c r="H18" s="11" t="s">
        <v>52</v>
      </c>
      <c r="I18" s="11" t="s">
        <v>84</v>
      </c>
      <c r="J18" s="11" t="s">
        <v>85</v>
      </c>
      <c r="K18" s="11" t="s">
        <v>60</v>
      </c>
      <c r="L18" s="11" t="s">
        <v>92</v>
      </c>
      <c r="M18" s="11" t="s">
        <v>45</v>
      </c>
      <c r="N18" s="11" t="s">
        <v>45</v>
      </c>
      <c r="O18" s="11" t="s">
        <v>23</v>
      </c>
      <c r="P18" s="11" t="s">
        <v>84</v>
      </c>
      <c r="Q18" s="11" t="s">
        <v>86</v>
      </c>
      <c r="R18" s="11">
        <v>740</v>
      </c>
      <c r="S18" s="40" t="s">
        <v>39</v>
      </c>
      <c r="T18" s="11">
        <v>900</v>
      </c>
      <c r="U18" s="11" t="s">
        <v>45</v>
      </c>
      <c r="V18" s="11" t="s">
        <v>84</v>
      </c>
      <c r="W18" s="11" t="s">
        <v>86</v>
      </c>
      <c r="X18" s="40" t="s">
        <v>19</v>
      </c>
      <c r="Y18" s="40"/>
      <c r="Z18" s="40"/>
      <c r="AA18" s="40" t="s">
        <v>65</v>
      </c>
      <c r="AB18" s="12" t="s">
        <v>19</v>
      </c>
      <c r="AC18" s="11" t="s">
        <v>45</v>
      </c>
      <c r="AD18" s="11" t="s">
        <v>45</v>
      </c>
      <c r="AE18" s="11" t="s">
        <v>50</v>
      </c>
      <c r="AF18" s="11" t="s">
        <v>50</v>
      </c>
      <c r="AG18" s="13" t="s">
        <v>60</v>
      </c>
      <c r="AH18" s="13" t="s">
        <v>62</v>
      </c>
      <c r="AI18" s="13" t="s">
        <v>45</v>
      </c>
      <c r="AJ18" s="13" t="s">
        <v>45</v>
      </c>
      <c r="AK18" s="13" t="s">
        <v>45</v>
      </c>
      <c r="AL18" s="94" t="s">
        <v>666</v>
      </c>
      <c r="AM18" s="95"/>
      <c r="AN18" s="95"/>
      <c r="AO18" s="95"/>
      <c r="AP18" s="96"/>
    </row>
    <row r="19" spans="1:42" s="10" customFormat="1" ht="15" customHeight="1" x14ac:dyDescent="0.4">
      <c r="A19" s="6">
        <v>5</v>
      </c>
      <c r="B19" s="6">
        <v>503</v>
      </c>
      <c r="C19" s="6" t="s">
        <v>79</v>
      </c>
      <c r="D19" s="18" t="s">
        <v>656</v>
      </c>
      <c r="E19" s="34" t="s">
        <v>18</v>
      </c>
      <c r="F19" s="6" t="s">
        <v>657</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658</v>
      </c>
      <c r="AA19" s="6" t="s">
        <v>65</v>
      </c>
      <c r="AB19" s="15" t="s">
        <v>88</v>
      </c>
      <c r="AC19" s="16" t="s">
        <v>45</v>
      </c>
      <c r="AD19" s="16" t="s">
        <v>45</v>
      </c>
      <c r="AE19" s="16" t="s">
        <v>50</v>
      </c>
      <c r="AF19" s="16" t="s">
        <v>50</v>
      </c>
      <c r="AG19" s="17" t="s">
        <v>60</v>
      </c>
      <c r="AH19" s="17" t="s">
        <v>62</v>
      </c>
      <c r="AI19" s="17" t="s">
        <v>23</v>
      </c>
      <c r="AJ19" s="17" t="s">
        <v>23</v>
      </c>
      <c r="AK19" s="17" t="s">
        <v>23</v>
      </c>
      <c r="AL19" s="78" t="s">
        <v>659</v>
      </c>
      <c r="AM19" s="79"/>
      <c r="AN19" s="79"/>
      <c r="AO19" s="79"/>
      <c r="AP19" s="80"/>
    </row>
    <row r="20" spans="1:42" s="14" customFormat="1" ht="15" customHeight="1" x14ac:dyDescent="0.4">
      <c r="A20" s="11">
        <v>5</v>
      </c>
      <c r="B20" s="11">
        <v>104</v>
      </c>
      <c r="C20" s="11" t="s">
        <v>79</v>
      </c>
      <c r="D20" s="13" t="s">
        <v>700</v>
      </c>
      <c r="E20" s="33" t="s">
        <v>18</v>
      </c>
      <c r="F20" s="11" t="s">
        <v>701</v>
      </c>
      <c r="G20" s="11" t="s">
        <v>43</v>
      </c>
      <c r="H20" s="11" t="s">
        <v>52</v>
      </c>
      <c r="I20" s="11" t="s">
        <v>84</v>
      </c>
      <c r="J20" s="11" t="s">
        <v>85</v>
      </c>
      <c r="K20" s="11" t="s">
        <v>60</v>
      </c>
      <c r="L20" s="11" t="s">
        <v>92</v>
      </c>
      <c r="M20" s="11" t="s">
        <v>45</v>
      </c>
      <c r="N20" s="11" t="s">
        <v>45</v>
      </c>
      <c r="O20" s="11" t="s">
        <v>23</v>
      </c>
      <c r="P20" s="11" t="s">
        <v>84</v>
      </c>
      <c r="Q20" s="11" t="s">
        <v>86</v>
      </c>
      <c r="R20" s="11">
        <v>740</v>
      </c>
      <c r="S20" s="40" t="s">
        <v>39</v>
      </c>
      <c r="T20" s="11">
        <v>900</v>
      </c>
      <c r="U20" s="11" t="s">
        <v>45</v>
      </c>
      <c r="V20" s="11" t="s">
        <v>84</v>
      </c>
      <c r="W20" s="11" t="s">
        <v>86</v>
      </c>
      <c r="X20" s="40" t="s">
        <v>60</v>
      </c>
      <c r="Y20" s="40" t="s">
        <v>87</v>
      </c>
      <c r="Z20" s="40" t="s">
        <v>702</v>
      </c>
      <c r="AA20" s="40" t="s">
        <v>65</v>
      </c>
      <c r="AB20" s="12" t="s">
        <v>88</v>
      </c>
      <c r="AC20" s="11" t="s">
        <v>45</v>
      </c>
      <c r="AD20" s="11" t="s">
        <v>23</v>
      </c>
      <c r="AE20" s="11" t="s">
        <v>50</v>
      </c>
      <c r="AF20" s="11" t="s">
        <v>50</v>
      </c>
      <c r="AG20" s="13" t="s">
        <v>60</v>
      </c>
      <c r="AH20" s="13" t="s">
        <v>62</v>
      </c>
      <c r="AI20" s="13" t="s">
        <v>45</v>
      </c>
      <c r="AJ20" s="13" t="s">
        <v>45</v>
      </c>
      <c r="AK20" s="13" t="s">
        <v>45</v>
      </c>
      <c r="AL20" s="94" t="s">
        <v>703</v>
      </c>
      <c r="AM20" s="95"/>
      <c r="AN20" s="95"/>
      <c r="AO20" s="95"/>
      <c r="AP20" s="96"/>
    </row>
    <row r="21" spans="1:42" s="10" customFormat="1" ht="31.5" customHeight="1" x14ac:dyDescent="0.4">
      <c r="A21" s="6">
        <v>5</v>
      </c>
      <c r="B21" s="6">
        <v>204</v>
      </c>
      <c r="C21" s="6" t="s">
        <v>79</v>
      </c>
      <c r="D21" s="18" t="s">
        <v>674</v>
      </c>
      <c r="E21" s="34" t="s">
        <v>18</v>
      </c>
      <c r="F21" s="46" t="s">
        <v>675</v>
      </c>
      <c r="G21" s="6" t="s">
        <v>43</v>
      </c>
      <c r="H21" s="6" t="s">
        <v>52</v>
      </c>
      <c r="I21" s="6" t="s">
        <v>84</v>
      </c>
      <c r="J21" s="6" t="s">
        <v>85</v>
      </c>
      <c r="K21" s="6" t="s">
        <v>60</v>
      </c>
      <c r="L21" s="6" t="s">
        <v>92</v>
      </c>
      <c r="M21" s="6" t="s">
        <v>45</v>
      </c>
      <c r="N21" s="6" t="s">
        <v>45</v>
      </c>
      <c r="O21" s="6" t="s">
        <v>23</v>
      </c>
      <c r="P21" s="6" t="s">
        <v>84</v>
      </c>
      <c r="Q21" s="6" t="s">
        <v>86</v>
      </c>
      <c r="R21" s="6">
        <v>740</v>
      </c>
      <c r="S21" s="6" t="s">
        <v>39</v>
      </c>
      <c r="T21" s="6">
        <v>900</v>
      </c>
      <c r="U21" s="6" t="s">
        <v>45</v>
      </c>
      <c r="V21" s="6" t="s">
        <v>84</v>
      </c>
      <c r="W21" s="6" t="s">
        <v>86</v>
      </c>
      <c r="X21" s="6" t="s">
        <v>60</v>
      </c>
      <c r="Y21" s="6" t="s">
        <v>87</v>
      </c>
      <c r="Z21" s="6" t="s">
        <v>676</v>
      </c>
      <c r="AA21" s="6" t="s">
        <v>65</v>
      </c>
      <c r="AB21" s="15" t="s">
        <v>88</v>
      </c>
      <c r="AC21" s="16" t="s">
        <v>45</v>
      </c>
      <c r="AD21" s="16" t="s">
        <v>23</v>
      </c>
      <c r="AE21" s="16" t="s">
        <v>50</v>
      </c>
      <c r="AF21" s="16" t="s">
        <v>50</v>
      </c>
      <c r="AG21" s="17" t="s">
        <v>60</v>
      </c>
      <c r="AH21" s="17" t="s">
        <v>62</v>
      </c>
      <c r="AI21" s="17" t="s">
        <v>45</v>
      </c>
      <c r="AJ21" s="17" t="s">
        <v>45</v>
      </c>
      <c r="AK21" s="17" t="s">
        <v>45</v>
      </c>
      <c r="AL21" s="78" t="s">
        <v>677</v>
      </c>
      <c r="AM21" s="79"/>
      <c r="AN21" s="79"/>
      <c r="AO21" s="79"/>
      <c r="AP21" s="80"/>
    </row>
    <row r="22" spans="1:42" s="14" customFormat="1" ht="15" customHeight="1" x14ac:dyDescent="0.4">
      <c r="A22" s="11">
        <v>5</v>
      </c>
      <c r="B22" s="11">
        <v>304</v>
      </c>
      <c r="C22" s="11" t="s">
        <v>79</v>
      </c>
      <c r="D22" s="13" t="s">
        <v>678</v>
      </c>
      <c r="E22" s="33" t="s">
        <v>18</v>
      </c>
      <c r="F22" s="11" t="s">
        <v>679</v>
      </c>
      <c r="G22" s="11" t="s">
        <v>43</v>
      </c>
      <c r="H22" s="11" t="s">
        <v>52</v>
      </c>
      <c r="I22" s="11" t="s">
        <v>84</v>
      </c>
      <c r="J22" s="11" t="s">
        <v>85</v>
      </c>
      <c r="K22" s="11" t="s">
        <v>60</v>
      </c>
      <c r="L22" s="11" t="s">
        <v>92</v>
      </c>
      <c r="M22" s="11" t="s">
        <v>45</v>
      </c>
      <c r="N22" s="11" t="s">
        <v>45</v>
      </c>
      <c r="O22" s="11" t="s">
        <v>23</v>
      </c>
      <c r="P22" s="11" t="s">
        <v>84</v>
      </c>
      <c r="Q22" s="11" t="s">
        <v>86</v>
      </c>
      <c r="R22" s="11">
        <v>900</v>
      </c>
      <c r="S22" s="40" t="s">
        <v>39</v>
      </c>
      <c r="T22" s="11">
        <v>900</v>
      </c>
      <c r="U22" s="11" t="s">
        <v>45</v>
      </c>
      <c r="V22" s="11" t="s">
        <v>84</v>
      </c>
      <c r="W22" s="11" t="s">
        <v>86</v>
      </c>
      <c r="X22" s="40" t="s">
        <v>60</v>
      </c>
      <c r="Y22" s="40" t="s">
        <v>141</v>
      </c>
      <c r="Z22" s="40" t="s">
        <v>680</v>
      </c>
      <c r="AA22" s="40" t="s">
        <v>65</v>
      </c>
      <c r="AB22" s="12" t="s">
        <v>88</v>
      </c>
      <c r="AC22" s="11" t="s">
        <v>45</v>
      </c>
      <c r="AD22" s="11" t="s">
        <v>23</v>
      </c>
      <c r="AE22" s="11" t="s">
        <v>50</v>
      </c>
      <c r="AF22" s="11" t="s">
        <v>50</v>
      </c>
      <c r="AG22" s="13" t="s">
        <v>60</v>
      </c>
      <c r="AH22" s="13" t="s">
        <v>62</v>
      </c>
      <c r="AI22" s="13" t="s">
        <v>23</v>
      </c>
      <c r="AJ22" s="13" t="s">
        <v>45</v>
      </c>
      <c r="AK22" s="13" t="s">
        <v>23</v>
      </c>
      <c r="AL22" s="94" t="s">
        <v>681</v>
      </c>
      <c r="AM22" s="95"/>
      <c r="AN22" s="95"/>
      <c r="AO22" s="95"/>
      <c r="AP22" s="96"/>
    </row>
    <row r="23" spans="1:42" s="10" customFormat="1" ht="15" customHeight="1" x14ac:dyDescent="0.4">
      <c r="A23" s="6">
        <v>5</v>
      </c>
      <c r="B23" s="6">
        <v>404</v>
      </c>
      <c r="C23" s="6" t="s">
        <v>79</v>
      </c>
      <c r="D23" s="18" t="s">
        <v>667</v>
      </c>
      <c r="E23" s="34" t="s">
        <v>18</v>
      </c>
      <c r="F23" s="6" t="s">
        <v>668</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87</v>
      </c>
      <c r="Z23" s="6" t="s">
        <v>669</v>
      </c>
      <c r="AA23" s="6" t="s">
        <v>65</v>
      </c>
      <c r="AB23" s="15" t="s">
        <v>88</v>
      </c>
      <c r="AC23" s="16" t="s">
        <v>45</v>
      </c>
      <c r="AD23" s="16" t="s">
        <v>45</v>
      </c>
      <c r="AE23" s="16" t="s">
        <v>116</v>
      </c>
      <c r="AF23" s="16" t="s">
        <v>50</v>
      </c>
      <c r="AG23" s="17" t="s">
        <v>60</v>
      </c>
      <c r="AH23" s="17" t="s">
        <v>62</v>
      </c>
      <c r="AI23" s="17" t="s">
        <v>45</v>
      </c>
      <c r="AJ23" s="17" t="s">
        <v>45</v>
      </c>
      <c r="AK23" s="17" t="s">
        <v>23</v>
      </c>
      <c r="AL23" s="78" t="s">
        <v>670</v>
      </c>
      <c r="AM23" s="79"/>
      <c r="AN23" s="79"/>
      <c r="AO23" s="79"/>
      <c r="AP23" s="80"/>
    </row>
    <row r="24" spans="1:42" s="14" customFormat="1" ht="15" customHeight="1" x14ac:dyDescent="0.4">
      <c r="A24" s="11">
        <v>5</v>
      </c>
      <c r="B24" s="11">
        <v>504</v>
      </c>
      <c r="C24" s="11" t="s">
        <v>79</v>
      </c>
      <c r="D24" s="13" t="s">
        <v>671</v>
      </c>
      <c r="E24" s="33" t="s">
        <v>18</v>
      </c>
      <c r="F24" s="11" t="s">
        <v>672</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87</v>
      </c>
      <c r="Z24" s="40" t="s">
        <v>673</v>
      </c>
      <c r="AA24" s="40" t="s">
        <v>65</v>
      </c>
      <c r="AB24" s="12" t="s">
        <v>88</v>
      </c>
      <c r="AC24" s="11" t="s">
        <v>45</v>
      </c>
      <c r="AD24" s="11" t="s">
        <v>23</v>
      </c>
      <c r="AE24" s="11" t="s">
        <v>50</v>
      </c>
      <c r="AF24" s="11" t="s">
        <v>50</v>
      </c>
      <c r="AG24" s="13" t="s">
        <v>60</v>
      </c>
      <c r="AH24" s="13" t="s">
        <v>62</v>
      </c>
      <c r="AI24" s="13" t="s">
        <v>23</v>
      </c>
      <c r="AJ24" s="13" t="s">
        <v>23</v>
      </c>
      <c r="AK24" s="13" t="s">
        <v>45</v>
      </c>
      <c r="AL24" s="94" t="s">
        <v>1412</v>
      </c>
      <c r="AM24" s="95"/>
      <c r="AN24" s="95"/>
      <c r="AO24" s="95"/>
      <c r="AP24" s="96"/>
    </row>
    <row r="25" spans="1:42" s="10" customFormat="1" ht="15" customHeight="1" x14ac:dyDescent="0.4">
      <c r="A25" s="6">
        <v>5</v>
      </c>
      <c r="B25" s="6">
        <v>105</v>
      </c>
      <c r="C25" s="6" t="s">
        <v>79</v>
      </c>
      <c r="D25" s="18" t="s">
        <v>708</v>
      </c>
      <c r="E25" s="34" t="s">
        <v>18</v>
      </c>
      <c r="F25" s="18" t="s">
        <v>709</v>
      </c>
      <c r="G25" s="6" t="s">
        <v>43</v>
      </c>
      <c r="H25" s="6" t="s">
        <v>52</v>
      </c>
      <c r="I25" s="6" t="s">
        <v>84</v>
      </c>
      <c r="J25" s="6" t="s">
        <v>85</v>
      </c>
      <c r="K25" s="6" t="s">
        <v>60</v>
      </c>
      <c r="L25" s="6" t="s">
        <v>92</v>
      </c>
      <c r="M25" s="6" t="s">
        <v>45</v>
      </c>
      <c r="N25" s="6" t="s">
        <v>23</v>
      </c>
      <c r="O25" s="6" t="s">
        <v>23</v>
      </c>
      <c r="P25" s="6" t="s">
        <v>84</v>
      </c>
      <c r="Q25" s="6" t="s">
        <v>86</v>
      </c>
      <c r="R25" s="6" t="s">
        <v>710</v>
      </c>
      <c r="S25" s="6" t="s">
        <v>39</v>
      </c>
      <c r="T25" s="6">
        <v>900</v>
      </c>
      <c r="U25" s="6" t="s">
        <v>45</v>
      </c>
      <c r="V25" s="6" t="s">
        <v>84</v>
      </c>
      <c r="W25" s="6" t="s">
        <v>86</v>
      </c>
      <c r="X25" s="6" t="s">
        <v>60</v>
      </c>
      <c r="Y25" s="6" t="s">
        <v>87</v>
      </c>
      <c r="Z25" s="6" t="s">
        <v>711</v>
      </c>
      <c r="AA25" s="6" t="s">
        <v>65</v>
      </c>
      <c r="AB25" s="15" t="s">
        <v>88</v>
      </c>
      <c r="AC25" s="16" t="s">
        <v>45</v>
      </c>
      <c r="AD25" s="16" t="s">
        <v>45</v>
      </c>
      <c r="AE25" s="16" t="s">
        <v>50</v>
      </c>
      <c r="AF25" s="16" t="s">
        <v>50</v>
      </c>
      <c r="AG25" s="17" t="s">
        <v>60</v>
      </c>
      <c r="AH25" s="17" t="s">
        <v>62</v>
      </c>
      <c r="AI25" s="17" t="s">
        <v>45</v>
      </c>
      <c r="AJ25" s="17" t="s">
        <v>45</v>
      </c>
      <c r="AK25" s="17" t="s">
        <v>23</v>
      </c>
      <c r="AL25" s="78" t="s">
        <v>712</v>
      </c>
      <c r="AM25" s="79"/>
      <c r="AN25" s="79"/>
      <c r="AO25" s="79"/>
      <c r="AP25" s="80"/>
    </row>
    <row r="26" spans="1:42" s="14" customFormat="1" ht="15" customHeight="1" x14ac:dyDescent="0.4">
      <c r="A26" s="11">
        <v>5</v>
      </c>
      <c r="B26" s="11">
        <v>205</v>
      </c>
      <c r="C26" s="11" t="s">
        <v>79</v>
      </c>
      <c r="D26" s="13" t="s">
        <v>713</v>
      </c>
      <c r="E26" s="33" t="s">
        <v>18</v>
      </c>
      <c r="F26" s="11" t="s">
        <v>714</v>
      </c>
      <c r="G26" s="11" t="s">
        <v>43</v>
      </c>
      <c r="H26" s="11" t="s">
        <v>52</v>
      </c>
      <c r="I26" s="11" t="s">
        <v>84</v>
      </c>
      <c r="J26" s="11" t="s">
        <v>85</v>
      </c>
      <c r="K26" s="11" t="s">
        <v>60</v>
      </c>
      <c r="L26" s="11" t="s">
        <v>92</v>
      </c>
      <c r="M26" s="11" t="s">
        <v>45</v>
      </c>
      <c r="N26" s="11" t="s">
        <v>45</v>
      </c>
      <c r="O26" s="11" t="s">
        <v>23</v>
      </c>
      <c r="P26" s="11" t="s">
        <v>84</v>
      </c>
      <c r="Q26" s="11" t="s">
        <v>86</v>
      </c>
      <c r="R26" s="11">
        <v>745</v>
      </c>
      <c r="S26" s="40" t="s">
        <v>39</v>
      </c>
      <c r="T26" s="11">
        <v>900</v>
      </c>
      <c r="U26" s="11" t="s">
        <v>45</v>
      </c>
      <c r="V26" s="11" t="s">
        <v>84</v>
      </c>
      <c r="W26" s="11" t="s">
        <v>86</v>
      </c>
      <c r="X26" s="40" t="s">
        <v>60</v>
      </c>
      <c r="Y26" s="40" t="s">
        <v>87</v>
      </c>
      <c r="Z26" s="40" t="s">
        <v>715</v>
      </c>
      <c r="AA26" s="40" t="s">
        <v>65</v>
      </c>
      <c r="AB26" s="12" t="s">
        <v>88</v>
      </c>
      <c r="AC26" s="11" t="s">
        <v>23</v>
      </c>
      <c r="AD26" s="11" t="s">
        <v>23</v>
      </c>
      <c r="AE26" s="11" t="s">
        <v>50</v>
      </c>
      <c r="AF26" s="11" t="s">
        <v>50</v>
      </c>
      <c r="AG26" s="13" t="s">
        <v>60</v>
      </c>
      <c r="AH26" s="13" t="s">
        <v>62</v>
      </c>
      <c r="AI26" s="13" t="s">
        <v>241</v>
      </c>
      <c r="AJ26" s="13" t="s">
        <v>45</v>
      </c>
      <c r="AK26" s="13" t="s">
        <v>23</v>
      </c>
      <c r="AL26" s="94" t="s">
        <v>716</v>
      </c>
      <c r="AM26" s="95"/>
      <c r="AN26" s="95"/>
      <c r="AO26" s="95"/>
      <c r="AP26" s="96"/>
    </row>
    <row r="27" spans="1:42" s="10" customFormat="1" ht="39" customHeight="1" x14ac:dyDescent="0.4">
      <c r="A27" s="6">
        <v>5</v>
      </c>
      <c r="B27" s="6">
        <v>305</v>
      </c>
      <c r="C27" s="6" t="s">
        <v>79</v>
      </c>
      <c r="D27" s="18" t="s">
        <v>1058</v>
      </c>
      <c r="E27" s="34" t="s">
        <v>18</v>
      </c>
      <c r="F27" s="46" t="s">
        <v>1059</v>
      </c>
      <c r="G27" s="6" t="s">
        <v>43</v>
      </c>
      <c r="H27" s="6" t="s">
        <v>52</v>
      </c>
      <c r="I27" s="6" t="s">
        <v>84</v>
      </c>
      <c r="J27" s="6" t="s">
        <v>85</v>
      </c>
      <c r="K27" s="6" t="s">
        <v>60</v>
      </c>
      <c r="L27" s="6" t="s">
        <v>92</v>
      </c>
      <c r="M27" s="6" t="s">
        <v>45</v>
      </c>
      <c r="N27" s="6" t="s">
        <v>45</v>
      </c>
      <c r="O27" s="6" t="s">
        <v>23</v>
      </c>
      <c r="P27" s="6" t="s">
        <v>84</v>
      </c>
      <c r="Q27" s="6" t="s">
        <v>86</v>
      </c>
      <c r="R27" s="6">
        <v>750</v>
      </c>
      <c r="S27" s="6" t="s">
        <v>39</v>
      </c>
      <c r="T27" s="6">
        <v>900</v>
      </c>
      <c r="U27" s="6" t="s">
        <v>45</v>
      </c>
      <c r="V27" s="6" t="s">
        <v>84</v>
      </c>
      <c r="W27" s="6" t="s">
        <v>86</v>
      </c>
      <c r="X27" s="6" t="s">
        <v>60</v>
      </c>
      <c r="Y27" s="6" t="s">
        <v>141</v>
      </c>
      <c r="Z27" s="6"/>
      <c r="AA27" s="6" t="s">
        <v>65</v>
      </c>
      <c r="AB27" s="15" t="s">
        <v>88</v>
      </c>
      <c r="AC27" s="16" t="s">
        <v>45</v>
      </c>
      <c r="AD27" s="16" t="s">
        <v>45</v>
      </c>
      <c r="AE27" s="16" t="s">
        <v>50</v>
      </c>
      <c r="AF27" s="16" t="s">
        <v>50</v>
      </c>
      <c r="AG27" s="17" t="s">
        <v>60</v>
      </c>
      <c r="AH27" s="17" t="s">
        <v>62</v>
      </c>
      <c r="AI27" s="17" t="s">
        <v>45</v>
      </c>
      <c r="AJ27" s="17" t="s">
        <v>45</v>
      </c>
      <c r="AK27" s="17" t="s">
        <v>23</v>
      </c>
      <c r="AL27" s="106" t="s">
        <v>1061</v>
      </c>
      <c r="AM27" s="107"/>
      <c r="AN27" s="107"/>
      <c r="AO27" s="107"/>
      <c r="AP27" s="108"/>
    </row>
    <row r="28" spans="1:42" s="14" customFormat="1" ht="32.25" customHeight="1" x14ac:dyDescent="0.4">
      <c r="A28" s="11">
        <v>5</v>
      </c>
      <c r="B28" s="11">
        <v>405</v>
      </c>
      <c r="C28" s="11" t="s">
        <v>79</v>
      </c>
      <c r="D28" s="13" t="s">
        <v>683</v>
      </c>
      <c r="E28" s="33" t="s">
        <v>18</v>
      </c>
      <c r="F28" s="45" t="s">
        <v>684</v>
      </c>
      <c r="G28" s="11" t="s">
        <v>43</v>
      </c>
      <c r="H28" s="11" t="s">
        <v>52</v>
      </c>
      <c r="I28" s="11" t="s">
        <v>84</v>
      </c>
      <c r="J28" s="11" t="s">
        <v>85</v>
      </c>
      <c r="K28" s="11" t="s">
        <v>60</v>
      </c>
      <c r="L28" s="11" t="s">
        <v>92</v>
      </c>
      <c r="M28" s="11" t="s">
        <v>45</v>
      </c>
      <c r="N28" s="11" t="s">
        <v>45</v>
      </c>
      <c r="O28" s="11" t="s">
        <v>23</v>
      </c>
      <c r="P28" s="11" t="s">
        <v>84</v>
      </c>
      <c r="Q28" s="11" t="s">
        <v>86</v>
      </c>
      <c r="R28" s="11">
        <v>730</v>
      </c>
      <c r="S28" s="40" t="s">
        <v>39</v>
      </c>
      <c r="T28" s="11">
        <v>900</v>
      </c>
      <c r="U28" s="11" t="s">
        <v>45</v>
      </c>
      <c r="V28" s="11" t="s">
        <v>84</v>
      </c>
      <c r="W28" s="11" t="s">
        <v>86</v>
      </c>
      <c r="X28" s="40" t="s">
        <v>60</v>
      </c>
      <c r="Y28" s="40" t="s">
        <v>87</v>
      </c>
      <c r="Z28" s="40" t="s">
        <v>685</v>
      </c>
      <c r="AA28" s="40" t="s">
        <v>65</v>
      </c>
      <c r="AB28" s="12" t="s">
        <v>88</v>
      </c>
      <c r="AC28" s="11" t="s">
        <v>23</v>
      </c>
      <c r="AD28" s="11" t="s">
        <v>23</v>
      </c>
      <c r="AE28" s="11" t="s">
        <v>46</v>
      </c>
      <c r="AF28" s="11" t="s">
        <v>50</v>
      </c>
      <c r="AG28" s="13" t="s">
        <v>60</v>
      </c>
      <c r="AH28" s="13" t="s">
        <v>62</v>
      </c>
      <c r="AI28" s="13" t="s">
        <v>23</v>
      </c>
      <c r="AJ28" s="13" t="s">
        <v>23</v>
      </c>
      <c r="AK28" s="13" t="s">
        <v>23</v>
      </c>
      <c r="AL28" s="133" t="s">
        <v>686</v>
      </c>
      <c r="AM28" s="95"/>
      <c r="AN28" s="95"/>
      <c r="AO28" s="95"/>
      <c r="AP28" s="96"/>
    </row>
    <row r="29" spans="1:42" s="10" customFormat="1" ht="15" customHeight="1" x14ac:dyDescent="0.4">
      <c r="A29" s="6">
        <v>5</v>
      </c>
      <c r="B29" s="6">
        <v>505</v>
      </c>
      <c r="C29" s="6" t="s">
        <v>79</v>
      </c>
      <c r="D29" s="18" t="s">
        <v>704</v>
      </c>
      <c r="E29" s="34" t="s">
        <v>18</v>
      </c>
      <c r="F29" s="6" t="s">
        <v>705</v>
      </c>
      <c r="G29" s="6" t="s">
        <v>43</v>
      </c>
      <c r="H29" s="6" t="s">
        <v>52</v>
      </c>
      <c r="I29" s="6" t="s">
        <v>84</v>
      </c>
      <c r="J29" s="6" t="s">
        <v>85</v>
      </c>
      <c r="K29" s="6" t="s">
        <v>60</v>
      </c>
      <c r="L29" s="6" t="s">
        <v>92</v>
      </c>
      <c r="M29" s="6" t="s">
        <v>45</v>
      </c>
      <c r="N29" s="6" t="s">
        <v>45</v>
      </c>
      <c r="O29" s="6" t="s">
        <v>23</v>
      </c>
      <c r="P29" s="6" t="s">
        <v>84</v>
      </c>
      <c r="Q29" s="6" t="s">
        <v>86</v>
      </c>
      <c r="R29" s="6">
        <v>750</v>
      </c>
      <c r="S29" s="6" t="s">
        <v>39</v>
      </c>
      <c r="T29" s="6">
        <v>900</v>
      </c>
      <c r="U29" s="6" t="s">
        <v>45</v>
      </c>
      <c r="V29" s="6" t="s">
        <v>84</v>
      </c>
      <c r="W29" s="6" t="s">
        <v>86</v>
      </c>
      <c r="X29" s="6" t="s">
        <v>60</v>
      </c>
      <c r="Y29" s="6" t="s">
        <v>87</v>
      </c>
      <c r="Z29" s="6" t="s">
        <v>706</v>
      </c>
      <c r="AA29" s="6" t="s">
        <v>65</v>
      </c>
      <c r="AB29" s="15" t="s">
        <v>19</v>
      </c>
      <c r="AC29" s="16" t="s">
        <v>45</v>
      </c>
      <c r="AD29" s="16" t="s">
        <v>45</v>
      </c>
      <c r="AE29" s="16" t="s">
        <v>50</v>
      </c>
      <c r="AF29" s="16" t="s">
        <v>50</v>
      </c>
      <c r="AG29" s="17" t="s">
        <v>60</v>
      </c>
      <c r="AH29" s="17" t="s">
        <v>62</v>
      </c>
      <c r="AI29" s="17" t="s">
        <v>45</v>
      </c>
      <c r="AJ29" s="17" t="s">
        <v>45</v>
      </c>
      <c r="AK29" s="17" t="s">
        <v>45</v>
      </c>
      <c r="AL29" s="78" t="s">
        <v>707</v>
      </c>
      <c r="AM29" s="79"/>
      <c r="AN29" s="79"/>
      <c r="AO29" s="79"/>
      <c r="AP29" s="80"/>
    </row>
    <row r="30" spans="1:42" s="14" customFormat="1" ht="32.25" customHeight="1" x14ac:dyDescent="0.4">
      <c r="A30" s="11">
        <v>5</v>
      </c>
      <c r="B30" s="11">
        <v>106</v>
      </c>
      <c r="C30" s="11" t="s">
        <v>79</v>
      </c>
      <c r="D30" s="13" t="s">
        <v>720</v>
      </c>
      <c r="E30" s="33" t="s">
        <v>18</v>
      </c>
      <c r="F30" s="11" t="s">
        <v>721</v>
      </c>
      <c r="G30" s="11" t="s">
        <v>43</v>
      </c>
      <c r="H30" s="11" t="s">
        <v>52</v>
      </c>
      <c r="I30" s="11" t="s">
        <v>84</v>
      </c>
      <c r="J30" s="11" t="s">
        <v>85</v>
      </c>
      <c r="K30" s="11" t="s">
        <v>60</v>
      </c>
      <c r="L30" s="11" t="s">
        <v>92</v>
      </c>
      <c r="M30" s="11" t="s">
        <v>45</v>
      </c>
      <c r="N30" s="11" t="s">
        <v>23</v>
      </c>
      <c r="O30" s="11" t="s">
        <v>23</v>
      </c>
      <c r="P30" s="11" t="s">
        <v>84</v>
      </c>
      <c r="Q30" s="11" t="s">
        <v>86</v>
      </c>
      <c r="R30" s="11">
        <v>745</v>
      </c>
      <c r="S30" s="40" t="s">
        <v>39</v>
      </c>
      <c r="T30" s="11">
        <v>900</v>
      </c>
      <c r="U30" s="11" t="s">
        <v>45</v>
      </c>
      <c r="V30" s="11" t="s">
        <v>84</v>
      </c>
      <c r="W30" s="11" t="s">
        <v>86</v>
      </c>
      <c r="X30" s="40" t="s">
        <v>60</v>
      </c>
      <c r="Y30" s="40" t="s">
        <v>141</v>
      </c>
      <c r="Z30" s="40" t="s">
        <v>722</v>
      </c>
      <c r="AA30" s="40" t="s">
        <v>65</v>
      </c>
      <c r="AB30" s="12" t="s">
        <v>19</v>
      </c>
      <c r="AC30" s="11" t="s">
        <v>45</v>
      </c>
      <c r="AD30" s="11" t="s">
        <v>45</v>
      </c>
      <c r="AE30" s="11" t="s">
        <v>50</v>
      </c>
      <c r="AF30" s="11" t="s">
        <v>50</v>
      </c>
      <c r="AG30" s="13" t="s">
        <v>60</v>
      </c>
      <c r="AH30" s="13" t="s">
        <v>62</v>
      </c>
      <c r="AI30" s="13" t="s">
        <v>45</v>
      </c>
      <c r="AJ30" s="13" t="s">
        <v>23</v>
      </c>
      <c r="AK30" s="13" t="s">
        <v>23</v>
      </c>
      <c r="AL30" s="133" t="s">
        <v>723</v>
      </c>
      <c r="AM30" s="95"/>
      <c r="AN30" s="95"/>
      <c r="AO30" s="95"/>
      <c r="AP30" s="96"/>
    </row>
    <row r="31" spans="1:42" s="10" customFormat="1" ht="15" customHeight="1" x14ac:dyDescent="0.4">
      <c r="A31" s="6">
        <v>5</v>
      </c>
      <c r="B31" s="6">
        <v>206</v>
      </c>
      <c r="C31" s="6" t="s">
        <v>79</v>
      </c>
      <c r="D31" s="18" t="s">
        <v>717</v>
      </c>
      <c r="E31" s="34" t="s">
        <v>18</v>
      </c>
      <c r="F31" s="6" t="s">
        <v>718</v>
      </c>
      <c r="G31" s="6" t="s">
        <v>43</v>
      </c>
      <c r="H31" s="6" t="s">
        <v>52</v>
      </c>
      <c r="I31" s="6" t="s">
        <v>84</v>
      </c>
      <c r="J31" s="6" t="s">
        <v>85</v>
      </c>
      <c r="K31" s="6" t="s">
        <v>60</v>
      </c>
      <c r="L31" s="6" t="s">
        <v>92</v>
      </c>
      <c r="M31" s="6" t="s">
        <v>45</v>
      </c>
      <c r="N31" s="6" t="s">
        <v>23</v>
      </c>
      <c r="O31" s="6" t="s">
        <v>23</v>
      </c>
      <c r="P31" s="6" t="s">
        <v>84</v>
      </c>
      <c r="Q31" s="6" t="s">
        <v>86</v>
      </c>
      <c r="R31" s="6">
        <v>1350</v>
      </c>
      <c r="S31" s="6" t="s">
        <v>39</v>
      </c>
      <c r="T31" s="6">
        <v>640</v>
      </c>
      <c r="U31" s="6" t="s">
        <v>45</v>
      </c>
      <c r="V31" s="6" t="s">
        <v>84</v>
      </c>
      <c r="W31" s="6" t="s">
        <v>86</v>
      </c>
      <c r="X31" s="6" t="s">
        <v>60</v>
      </c>
      <c r="Y31" s="6" t="s">
        <v>141</v>
      </c>
      <c r="Z31" s="6"/>
      <c r="AA31" s="6" t="s">
        <v>65</v>
      </c>
      <c r="AB31" s="15" t="s">
        <v>88</v>
      </c>
      <c r="AC31" s="16" t="s">
        <v>45</v>
      </c>
      <c r="AD31" s="16" t="s">
        <v>23</v>
      </c>
      <c r="AE31" s="16" t="s">
        <v>50</v>
      </c>
      <c r="AF31" s="16" t="s">
        <v>50</v>
      </c>
      <c r="AG31" s="17" t="s">
        <v>60</v>
      </c>
      <c r="AH31" s="17" t="s">
        <v>62</v>
      </c>
      <c r="AI31" s="17" t="s">
        <v>23</v>
      </c>
      <c r="AJ31" s="17" t="s">
        <v>45</v>
      </c>
      <c r="AK31" s="17" t="s">
        <v>45</v>
      </c>
      <c r="AL31" s="78" t="s">
        <v>719</v>
      </c>
      <c r="AM31" s="79"/>
      <c r="AN31" s="79"/>
      <c r="AO31" s="79"/>
      <c r="AP31" s="80"/>
    </row>
    <row r="32" spans="1:42" s="14" customFormat="1" ht="15" customHeight="1" x14ac:dyDescent="0.4">
      <c r="A32" s="11">
        <v>5</v>
      </c>
      <c r="B32" s="11">
        <v>306</v>
      </c>
      <c r="C32" s="11" t="s">
        <v>79</v>
      </c>
      <c r="D32" s="13" t="s">
        <v>1030</v>
      </c>
      <c r="E32" s="33" t="s">
        <v>18</v>
      </c>
      <c r="F32" s="11" t="s">
        <v>1031</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60</v>
      </c>
      <c r="Y32" s="40" t="s">
        <v>531</v>
      </c>
      <c r="Z32" s="40"/>
      <c r="AA32" s="40" t="s">
        <v>65</v>
      </c>
      <c r="AB32" s="12" t="s">
        <v>88</v>
      </c>
      <c r="AC32" s="11" t="s">
        <v>45</v>
      </c>
      <c r="AD32" s="11" t="s">
        <v>23</v>
      </c>
      <c r="AE32" s="11" t="s">
        <v>50</v>
      </c>
      <c r="AF32" s="11" t="s">
        <v>50</v>
      </c>
      <c r="AG32" s="13" t="s">
        <v>60</v>
      </c>
      <c r="AH32" s="13" t="s">
        <v>62</v>
      </c>
      <c r="AI32" s="13" t="s">
        <v>23</v>
      </c>
      <c r="AJ32" s="13" t="s">
        <v>23</v>
      </c>
      <c r="AK32" s="13" t="s">
        <v>45</v>
      </c>
      <c r="AL32" s="94" t="s">
        <v>1032</v>
      </c>
      <c r="AM32" s="95"/>
      <c r="AN32" s="95"/>
      <c r="AO32" s="95"/>
      <c r="AP32" s="96"/>
    </row>
    <row r="33" spans="1:43" s="10" customFormat="1" ht="49.5" customHeight="1" x14ac:dyDescent="0.4">
      <c r="A33" s="6">
        <v>5</v>
      </c>
      <c r="B33" s="6">
        <v>406</v>
      </c>
      <c r="C33" s="6" t="s">
        <v>79</v>
      </c>
      <c r="D33" s="18" t="s">
        <v>1185</v>
      </c>
      <c r="E33" s="34" t="s">
        <v>18</v>
      </c>
      <c r="F33" s="46" t="s">
        <v>1186</v>
      </c>
      <c r="G33" s="6" t="s">
        <v>40</v>
      </c>
      <c r="H33" s="6" t="s">
        <v>52</v>
      </c>
      <c r="I33" s="6" t="s">
        <v>84</v>
      </c>
      <c r="J33" s="6" t="s">
        <v>85</v>
      </c>
      <c r="K33" s="6" t="s">
        <v>60</v>
      </c>
      <c r="L33" s="6" t="s">
        <v>92</v>
      </c>
      <c r="M33" s="6" t="s">
        <v>45</v>
      </c>
      <c r="N33" s="6" t="s">
        <v>45</v>
      </c>
      <c r="O33" s="6" t="s">
        <v>23</v>
      </c>
      <c r="P33" s="6" t="s">
        <v>84</v>
      </c>
      <c r="Q33" s="6" t="s">
        <v>86</v>
      </c>
      <c r="R33" s="6">
        <v>750</v>
      </c>
      <c r="S33" s="6" t="s">
        <v>39</v>
      </c>
      <c r="T33" s="6">
        <v>900</v>
      </c>
      <c r="U33" s="6" t="s">
        <v>45</v>
      </c>
      <c r="V33" s="6" t="s">
        <v>84</v>
      </c>
      <c r="W33" s="6" t="s">
        <v>86</v>
      </c>
      <c r="X33" s="6" t="s">
        <v>60</v>
      </c>
      <c r="Y33" s="6" t="s">
        <v>141</v>
      </c>
      <c r="Z33" s="6"/>
      <c r="AA33" s="6" t="s">
        <v>65</v>
      </c>
      <c r="AB33" s="15" t="s">
        <v>19</v>
      </c>
      <c r="AC33" s="16" t="s">
        <v>45</v>
      </c>
      <c r="AD33" s="16" t="s">
        <v>45</v>
      </c>
      <c r="AE33" s="16" t="s">
        <v>116</v>
      </c>
      <c r="AF33" s="16" t="s">
        <v>50</v>
      </c>
      <c r="AG33" s="17" t="s">
        <v>60</v>
      </c>
      <c r="AH33" s="17" t="s">
        <v>62</v>
      </c>
      <c r="AI33" s="17" t="s">
        <v>45</v>
      </c>
      <c r="AJ33" s="17" t="s">
        <v>45</v>
      </c>
      <c r="AK33" s="17" t="s">
        <v>45</v>
      </c>
      <c r="AL33" s="106" t="s">
        <v>1190</v>
      </c>
      <c r="AM33" s="107"/>
      <c r="AN33" s="107"/>
      <c r="AO33" s="107"/>
      <c r="AP33" s="108"/>
    </row>
    <row r="34" spans="1:43" s="14" customFormat="1" ht="31.5" customHeight="1" x14ac:dyDescent="0.4">
      <c r="A34" s="11">
        <v>5</v>
      </c>
      <c r="B34" s="11">
        <v>506</v>
      </c>
      <c r="C34" s="11" t="s">
        <v>79</v>
      </c>
      <c r="D34" s="13" t="s">
        <v>764</v>
      </c>
      <c r="E34" s="33" t="s">
        <v>18</v>
      </c>
      <c r="F34" s="11" t="s">
        <v>765</v>
      </c>
      <c r="G34" s="11" t="s">
        <v>43</v>
      </c>
      <c r="H34" s="11" t="s">
        <v>52</v>
      </c>
      <c r="I34" s="11" t="s">
        <v>84</v>
      </c>
      <c r="J34" s="11" t="s">
        <v>85</v>
      </c>
      <c r="K34" s="11" t="s">
        <v>60</v>
      </c>
      <c r="L34" s="11" t="s">
        <v>92</v>
      </c>
      <c r="M34" s="11" t="s">
        <v>45</v>
      </c>
      <c r="N34" s="11" t="s">
        <v>45</v>
      </c>
      <c r="O34" s="11" t="s">
        <v>23</v>
      </c>
      <c r="P34" s="11" t="s">
        <v>84</v>
      </c>
      <c r="Q34" s="11" t="s">
        <v>86</v>
      </c>
      <c r="R34" s="11" t="s">
        <v>766</v>
      </c>
      <c r="S34" s="40" t="s">
        <v>39</v>
      </c>
      <c r="T34" s="40">
        <v>900</v>
      </c>
      <c r="U34" s="11" t="s">
        <v>45</v>
      </c>
      <c r="V34" s="11" t="s">
        <v>84</v>
      </c>
      <c r="W34" s="11" t="s">
        <v>86</v>
      </c>
      <c r="X34" s="40" t="s">
        <v>60</v>
      </c>
      <c r="Y34" s="40" t="s">
        <v>104</v>
      </c>
      <c r="Z34" s="53" t="s">
        <v>767</v>
      </c>
      <c r="AA34" s="40" t="s">
        <v>65</v>
      </c>
      <c r="AB34" s="12" t="s">
        <v>88</v>
      </c>
      <c r="AC34" s="11" t="s">
        <v>45</v>
      </c>
      <c r="AD34" s="11" t="s">
        <v>45</v>
      </c>
      <c r="AE34" s="11" t="s">
        <v>50</v>
      </c>
      <c r="AF34" s="11" t="s">
        <v>50</v>
      </c>
      <c r="AG34" s="13" t="s">
        <v>60</v>
      </c>
      <c r="AH34" s="13" t="s">
        <v>62</v>
      </c>
      <c r="AI34" s="13" t="s">
        <v>45</v>
      </c>
      <c r="AJ34" s="13" t="s">
        <v>23</v>
      </c>
      <c r="AK34" s="13" t="s">
        <v>45</v>
      </c>
      <c r="AL34" s="94" t="s">
        <v>768</v>
      </c>
      <c r="AM34" s="95"/>
      <c r="AN34" s="95"/>
      <c r="AO34" s="95"/>
      <c r="AP34" s="96"/>
    </row>
    <row r="35" spans="1:43" s="2" customFormat="1" ht="11.25" customHeight="1" x14ac:dyDescent="0.4">
      <c r="A35" s="118" t="s">
        <v>12</v>
      </c>
      <c r="B35" s="119"/>
      <c r="C35" s="119"/>
      <c r="D35" s="119"/>
      <c r="E35" s="120"/>
      <c r="F35" s="127">
        <f>COUNTA(D5:D34)</f>
        <v>29</v>
      </c>
      <c r="G35" s="20" t="str">
        <f>"所有→"&amp;COUNTIF(G5:G34,"所有")&amp;"戸"</f>
        <v>所有→26戸</v>
      </c>
      <c r="H35" s="20" t="str">
        <f>"未更新→"&amp;COUNTIF(H5:H34,"未更新")&amp;"戸"</f>
        <v>未更新→29戸</v>
      </c>
      <c r="I35" s="20" t="str">
        <f>"クロス→"&amp;COUNTIF(I5:I34,"クロス")&amp;"戸"</f>
        <v>クロス→28戸</v>
      </c>
      <c r="J35" s="20" t="str">
        <f>"ベニヤ→"&amp;COUNTIF(J5:J34,"ベニヤ")&amp;"戸"</f>
        <v>ベニヤ→29戸</v>
      </c>
      <c r="K35" s="20" t="str">
        <f>"既存→"&amp;COUNTIF(K5:K34,"既存")&amp;"戸"</f>
        <v>既存→0戸</v>
      </c>
      <c r="L35" s="20" t="str">
        <f>"普通便座→"&amp;COUNTIF(L5:L34,"普通便座")&amp;"戸"</f>
        <v>普通便座→0戸</v>
      </c>
      <c r="M35" s="20" t="str">
        <f>"有→"&amp;COUNTIF(M5:M34,"有")&amp;"戸"</f>
        <v>有→0戸</v>
      </c>
      <c r="N35" s="20" t="str">
        <f>"有→"&amp;COUNTIF(N5:N34,"有")&amp;"戸"</f>
        <v>有→5戸</v>
      </c>
      <c r="O35" s="20" t="str">
        <f>"有→"&amp;COUNTIF(O5:O34,"有")&amp;"戸"</f>
        <v>有→23戸</v>
      </c>
      <c r="P35" s="20" t="str">
        <f>"クロス→"&amp;COUNTIF(P5:P34,"クロス")&amp;"戸"</f>
        <v>クロス→29戸</v>
      </c>
      <c r="Q35" s="20" t="str">
        <f>"CF→"&amp;COUNTIF(Q5:Q34,"CF")&amp;"戸"</f>
        <v>CF→29戸</v>
      </c>
      <c r="R35" s="20" t="str">
        <f>"1000→"&amp;COUNTIF(R5:R34,"1000")&amp;"戸"</f>
        <v>1000→0戸</v>
      </c>
      <c r="S35" s="20" t="str">
        <f>"可→"&amp;COUNTIF(S5:S34,"可")&amp;"戸"</f>
        <v>可→29戸</v>
      </c>
      <c r="T35" s="20" t="str">
        <f>"900→"&amp;COUNTIF(T5:T34,"900")&amp;"戸"</f>
        <v>900→26戸</v>
      </c>
      <c r="U35" s="20" t="str">
        <f>"有→"&amp;COUNTIF(U5:U34,"有")&amp;"戸"</f>
        <v>有→0戸</v>
      </c>
      <c r="V35" s="20" t="str">
        <f>"クロス→"&amp;COUNTIF(V5:V34,"クロス")&amp;"戸"</f>
        <v>クロス→29戸</v>
      </c>
      <c r="W35" s="20" t="str">
        <f>"CF→"&amp;COUNTIF(W5:W34,"CF")&amp;"戸"</f>
        <v>CF→29戸</v>
      </c>
      <c r="X35" s="20" t="str">
        <f>"既存→"&amp;COUNTIF(X5:X34,"既存")&amp;"戸"</f>
        <v>既存→2戸</v>
      </c>
      <c r="Y35" s="20" t="str">
        <f>"TOTO→"&amp;COUNTIF(Y5:Y34,"TOTO")&amp;"戸"</f>
        <v>TOTO→16戸</v>
      </c>
      <c r="Z35" s="130">
        <f>COUNTA(Z5:Z34)</f>
        <v>21</v>
      </c>
      <c r="AA35" s="20" t="str">
        <f>"可→"&amp;COUNTIF(AA5:AA34,"可")&amp;"戸"</f>
        <v>可→0戸</v>
      </c>
      <c r="AB35" s="20" t="str">
        <f>"既存→"&amp;COUNTIF(AB5:AB34,"既存")&amp;"戸"</f>
        <v>既存→5戸</v>
      </c>
      <c r="AC35" s="130">
        <f>COUNTIF(AC5:AC34,"有")</f>
        <v>5</v>
      </c>
      <c r="AD35" s="130">
        <f>COUNTIF(AD5:AD34,"有")</f>
        <v>16</v>
      </c>
      <c r="AE35" s="20" t="str">
        <f>"ポリ板→"&amp;COUNTIF(AE5:AE34,"ポリ板")&amp;"戸"</f>
        <v>ポリ板→23戸</v>
      </c>
      <c r="AF35" s="20" t="str">
        <f>"ポリ板→"&amp;COUNTIF(AF5:AF34,"ポリ板")&amp;"戸"</f>
        <v>ポリ板→28戸</v>
      </c>
      <c r="AG35" s="20" t="str">
        <f>"既存→"&amp;COUNTIF(AG5:AG34,"既存")&amp;"戸"</f>
        <v>既存→0戸</v>
      </c>
      <c r="AH35" s="20" t="str">
        <f>"洗面所→"&amp;COUNTIF(AH5:AH34,"洗面所")&amp;"戸"</f>
        <v>洗面所→29戸</v>
      </c>
      <c r="AI35" s="130">
        <f>COUNTIF(AI5:AI34,"有")</f>
        <v>9</v>
      </c>
      <c r="AJ35" s="130">
        <f>COUNTIF(AJ5:AJ34,"有")</f>
        <v>9</v>
      </c>
      <c r="AK35" s="130">
        <f>COUNTIF(AK5:AK34,"有")</f>
        <v>12</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賃貸→1戸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暖房便座→0戸</v>
      </c>
      <c r="M36" s="35" t="str">
        <f>"無→"&amp;COUNTIF(M5:M34,"無")&amp;"戸"</f>
        <v>無→29戸</v>
      </c>
      <c r="N36" s="35" t="str">
        <f>"無→"&amp;COUNTIF(N5:N34,"無")&amp;"戸"</f>
        <v>無→24戸</v>
      </c>
      <c r="O36" s="35" t="str">
        <f>"無→"&amp;COUNTIF(O5:O34,"無")&amp;"戸"</f>
        <v>無→6戸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800→0戸</v>
      </c>
      <c r="U36" s="35" t="str">
        <f>"無→"&amp;COUNTIF(U5:U34,"無")&amp;"戸"</f>
        <v>無→29戸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リフォーム済み→27戸</v>
      </c>
      <c r="Y36" s="35" t="str">
        <f>"LIXIL→"&amp;COUNTIF(Y5:Y34,"LIXIL")&amp;"戸"</f>
        <v>LIXIL→1戸</v>
      </c>
      <c r="Z36" s="131"/>
      <c r="AA36" s="35" t="str">
        <f>"不可→"&amp;COUNTIF(AA5:AA34,"不可")&amp;"戸"</f>
        <v>不可→29戸</v>
      </c>
      <c r="AB36" s="36" t="str">
        <f>"システム→"&amp;COUNTIF(AB5:AB34,"システム")&amp;"戸"</f>
        <v>システム→24戸</v>
      </c>
      <c r="AC36" s="131"/>
      <c r="AD36" s="131"/>
      <c r="AE36" s="35" t="str">
        <f>"SUS→"&amp;COUNTIF(AE5:AE34,"SUS")&amp;"戸"</f>
        <v>SUS→5戸</v>
      </c>
      <c r="AF36" s="35" t="str">
        <f>"SUS→"&amp;COUNTIF(AF5:AF34,"SUS")&amp;"戸"</f>
        <v>SUS→1戸</v>
      </c>
      <c r="AG36" s="35" t="str">
        <f>"リフォーム済み→"&amp;COUNTIF(AG5:AG34,"リフォーム済み")&amp;"戸"</f>
        <v>リフォーム済み→29戸</v>
      </c>
      <c r="AH36" s="35" t="str">
        <f>"ベランダ→"&amp;COUNTIF(AH5:AH34,"ベランダ")&amp;"戸"</f>
        <v>ベランダ→0戸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レストパル→0戸</v>
      </c>
      <c r="L37" s="35" t="str">
        <f>"WL→"&amp;COUNTIF(L5:L34,"WL")&amp;"戸"</f>
        <v>WL→29戸</v>
      </c>
      <c r="M37" s="23"/>
      <c r="N37" s="23"/>
      <c r="O37" s="23"/>
      <c r="P37" s="35" t="str">
        <f>"塗装→"&amp;COUNTIF(P5:P34,"塗装")&amp;"戸"</f>
        <v>塗装→0戸</v>
      </c>
      <c r="Q37" s="35" t="str">
        <f>"フローリング→"&amp;COUNTIF(Q5:Q34,"フローリング")&amp;"戸"</f>
        <v>フローリング→0戸</v>
      </c>
      <c r="R37" s="35" t="str">
        <f>"750→"&amp;COUNTIF(R5:R34,"750")&amp;"戸"</f>
        <v>750→17戸</v>
      </c>
      <c r="S37" s="35"/>
      <c r="T37" s="35" t="str">
        <f>"740→"&amp;COUNTIF(T5:T34,"740")&amp;"戸"</f>
        <v>740→0戸</v>
      </c>
      <c r="U37" s="23"/>
      <c r="V37" s="35" t="str">
        <f>"塗装→"&amp;COUNTIF(V5:V34,"塗装")&amp;"戸"</f>
        <v>塗装→0戸</v>
      </c>
      <c r="W37" s="35" t="str">
        <f>"フローリング→"&amp;COUNTIF(W5:W34,"フローリング")&amp;"戸"</f>
        <v>フローリング→0戸</v>
      </c>
      <c r="X37" s="35"/>
      <c r="Y37" s="35" t="str">
        <f>"日立→"&amp;COUNTIF(Y5:Y34,"日立")&amp;"戸"</f>
        <v>日立→7戸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空家→2戸</v>
      </c>
      <c r="H38" s="39"/>
      <c r="I38" s="28"/>
      <c r="J38" s="27"/>
      <c r="K38" s="35" t="str">
        <f>"一体型→"&amp;COUNTIF(K5:K34,"一体型")&amp;"戸"</f>
        <v>一体型→0戸</v>
      </c>
      <c r="L38" s="28"/>
      <c r="M38" s="28"/>
      <c r="N38" s="28"/>
      <c r="O38" s="28"/>
      <c r="P38" s="28"/>
      <c r="Q38" s="28"/>
      <c r="R38" s="35" t="str">
        <f>"600→"&amp;COUNTIF(R5:R34,"600")&amp;"戸"</f>
        <v>600→0戸</v>
      </c>
      <c r="S38" s="27"/>
      <c r="T38" s="35" t="str">
        <f>"640→"&amp;COUNTIF(T5:T34,"640")&amp;"戸"</f>
        <v>640→3戸</v>
      </c>
      <c r="U38" s="28"/>
      <c r="V38" s="27"/>
      <c r="W38" s="27"/>
      <c r="X38" s="27"/>
      <c r="Y38" s="27"/>
      <c r="Z38" s="132"/>
      <c r="AA38" s="27"/>
      <c r="AB38" s="28"/>
      <c r="AC38" s="132"/>
      <c r="AD38" s="132"/>
      <c r="AE38" s="35" t="str">
        <f>"その他→"&amp;COUNTIF(AE5:AE34,"その他")&amp;"戸"</f>
        <v>その他→1戸</v>
      </c>
      <c r="AF38" s="35" t="str">
        <f>"その他→"&amp;COUNTIF(AF5:AF34,"その他")&amp;"戸"</f>
        <v>その他→0戸</v>
      </c>
      <c r="AG38" s="39"/>
      <c r="AH38" s="39"/>
      <c r="AI38" s="132"/>
      <c r="AJ38" s="132"/>
      <c r="AK38" s="132"/>
      <c r="AL38" s="115"/>
      <c r="AM38" s="116"/>
      <c r="AN38" s="116"/>
      <c r="AO38" s="116"/>
      <c r="AP38" s="117"/>
      <c r="AQ38" s="44"/>
    </row>
    <row r="39" spans="1:43" s="2" customFormat="1" x14ac:dyDescent="0.4">
      <c r="A39" s="31"/>
      <c r="AH39" s="37"/>
      <c r="AI39" s="37"/>
      <c r="AP39" s="1"/>
    </row>
  </sheetData>
  <autoFilter ref="AI3:AK4" xr:uid="{32B090C5-0E7E-4500-84E2-D6C1B157F79E}"/>
  <mergeCells count="57">
    <mergeCell ref="AL34:AP34"/>
    <mergeCell ref="AL29:AP29"/>
    <mergeCell ref="AL30:AP30"/>
    <mergeCell ref="AL31:AP31"/>
    <mergeCell ref="AL32:AP32"/>
    <mergeCell ref="AL33:AP33"/>
    <mergeCell ref="AL11:AP11"/>
    <mergeCell ref="AL12:AP12"/>
    <mergeCell ref="AL13:AP13"/>
    <mergeCell ref="AL14:AP14"/>
    <mergeCell ref="AL15:AP15"/>
    <mergeCell ref="Z35:Z38"/>
    <mergeCell ref="AC35:AC38"/>
    <mergeCell ref="X3:AA3"/>
    <mergeCell ref="AB3:AF3"/>
    <mergeCell ref="A35:E38"/>
    <mergeCell ref="F35:F38"/>
    <mergeCell ref="AD35:AD38"/>
    <mergeCell ref="AI35:AI38"/>
    <mergeCell ref="AJ35:AJ38"/>
    <mergeCell ref="AL16:AP16"/>
    <mergeCell ref="AL17:AP17"/>
    <mergeCell ref="AL18:AP18"/>
    <mergeCell ref="AL19:AP19"/>
    <mergeCell ref="AL20:AP20"/>
    <mergeCell ref="AL21:AP21"/>
    <mergeCell ref="AL22:AP22"/>
    <mergeCell ref="AL23:AP23"/>
    <mergeCell ref="AL24:AP24"/>
    <mergeCell ref="AK35:AK38"/>
    <mergeCell ref="AL35:AP38"/>
    <mergeCell ref="AL26:AP26"/>
    <mergeCell ref="AL27:AP27"/>
    <mergeCell ref="AL28:AP28"/>
    <mergeCell ref="AL10:AP10"/>
    <mergeCell ref="AI3:AI4"/>
    <mergeCell ref="AK3:AK4"/>
    <mergeCell ref="AL3:AP4"/>
    <mergeCell ref="AL5:AP5"/>
    <mergeCell ref="AL6:AP6"/>
    <mergeCell ref="AJ3:AJ4"/>
    <mergeCell ref="AL25:AP25"/>
    <mergeCell ref="A1:AO2"/>
    <mergeCell ref="A3:A4"/>
    <mergeCell ref="B3:B4"/>
    <mergeCell ref="C3:C4"/>
    <mergeCell ref="D3:E4"/>
    <mergeCell ref="F3:F4"/>
    <mergeCell ref="G3:G4"/>
    <mergeCell ref="H3:H4"/>
    <mergeCell ref="I3:J3"/>
    <mergeCell ref="K3:Q3"/>
    <mergeCell ref="R3:W3"/>
    <mergeCell ref="AG3:AH3"/>
    <mergeCell ref="AL7:AP7"/>
    <mergeCell ref="AL8:AP8"/>
    <mergeCell ref="AL9:AP9"/>
  </mergeCells>
  <phoneticPr fontId="1"/>
  <dataValidations count="1">
    <dataValidation imeMode="off" allowBlank="1" showInputMessage="1" showErrorMessage="1" sqref="C1:C3 A39:C1048576 A1:A35 B1:B34 C5:C34" xr:uid="{6DEB9BD0-AC13-4295-A2E5-CD16C271C365}"/>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3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8AC26AC8-DAC9-4A60-84EC-2F989D235048}">
          <x14:formula1>
            <xm:f>Sheet1!$C$9:$C$11</xm:f>
          </x14:formula1>
          <xm:sqref>W5:W34 Q5:Q34</xm:sqref>
        </x14:dataValidation>
        <x14:dataValidation type="list" allowBlank="1" showInputMessage="1" showErrorMessage="1" xr:uid="{DDCC7A1C-536B-47AE-9BCE-7074CF297066}">
          <x14:formula1>
            <xm:f>Sheet1!$A$1:$A$4</xm:f>
          </x14:formula1>
          <xm:sqref>G5:G34</xm:sqref>
        </x14:dataValidation>
        <x14:dataValidation type="list" allowBlank="1" showInputMessage="1" showErrorMessage="1" xr:uid="{3D2D7A50-E993-4CC1-9224-1EECE8A347C6}">
          <x14:formula1>
            <xm:f>Sheet1!$A$6:$A$7</xm:f>
          </x14:formula1>
          <xm:sqref>H5:H34</xm:sqref>
        </x14:dataValidation>
        <x14:dataValidation type="list" allowBlank="1" showInputMessage="1" showErrorMessage="1" xr:uid="{CE72F6F9-1CBA-42B7-AE51-89B924C9F864}">
          <x14:formula1>
            <xm:f>Sheet1!$A$9:$A$11</xm:f>
          </x14:formula1>
          <xm:sqref>V5:V34 I5:I8 I10:I34 P5:P34</xm:sqref>
        </x14:dataValidation>
        <x14:dataValidation type="list" allowBlank="1" showInputMessage="1" showErrorMessage="1" xr:uid="{5C0B1933-C524-418F-B1AE-40A6EA106973}">
          <x14:formula1>
            <xm:f>Sheet1!$D$1:$D$3</xm:f>
          </x14:formula1>
          <xm:sqref>J5:J34</xm:sqref>
        </x14:dataValidation>
        <x14:dataValidation type="list" allowBlank="1" showInputMessage="1" showErrorMessage="1" xr:uid="{A1958707-A5B2-4EFF-ABC6-DCCF8ED3C1E8}">
          <x14:formula1>
            <xm:f>Sheet1!$G$9:$G$12</xm:f>
          </x14:formula1>
          <xm:sqref>K5:K34</xm:sqref>
        </x14:dataValidation>
        <x14:dataValidation type="list" allowBlank="1" showInputMessage="1" showErrorMessage="1" xr:uid="{AF14F0B0-5E90-4520-8DC1-AA8E7A8602E7}">
          <x14:formula1>
            <xm:f>Sheet1!$E$9:$E$11</xm:f>
          </x14:formula1>
          <xm:sqref>L5:L34</xm:sqref>
        </x14:dataValidation>
        <x14:dataValidation type="list" allowBlank="1" showInputMessage="1" showErrorMessage="1" xr:uid="{F0702A53-01CA-49E3-B5C8-175FCC24D3DB}">
          <x14:formula1>
            <xm:f>Sheet1!$C$6:$C$7</xm:f>
          </x14:formula1>
          <xm:sqref>U5:U34 AJ5:AK34 AC5:AD34 M5:O34</xm:sqref>
        </x14:dataValidation>
        <x14:dataValidation type="list" allowBlank="1" showInputMessage="1" showErrorMessage="1" xr:uid="{33FB0B81-0882-4B79-936A-B4524BCAC8F6}">
          <x14:formula1>
            <xm:f>Sheet1!$A$17:$A$20</xm:f>
          </x14:formula1>
          <xm:sqref>R27 R5:R15 R19 R23:R24 R29 R32:R33</xm:sqref>
        </x14:dataValidation>
        <x14:dataValidation type="list" allowBlank="1" showInputMessage="1" showErrorMessage="1" xr:uid="{F0AB3A7E-51C1-4809-854E-BC93643E74B6}">
          <x14:formula1>
            <xm:f>Sheet1!$C$17:$C$20</xm:f>
          </x14:formula1>
          <xm:sqref>T5:T18 T20:T28 T30:T34</xm:sqref>
        </x14:dataValidation>
        <x14:dataValidation type="list" allowBlank="1" showInputMessage="1" showErrorMessage="1" xr:uid="{CCD8E8C8-94C3-4290-82B6-7229E29603A1}">
          <x14:formula1>
            <xm:f>Sheet1!$A$13:$A$15</xm:f>
          </x14:formula1>
          <xm:sqref>AB5:AB34</xm:sqref>
        </x14:dataValidation>
        <x14:dataValidation type="list" allowBlank="1" showInputMessage="1" showErrorMessage="1" xr:uid="{16638124-77A1-454B-9B96-9799B761475E}">
          <x14:formula1>
            <xm:f>Sheet1!$G$1:$G$4</xm:f>
          </x14:formula1>
          <xm:sqref>AE5:AF34</xm:sqref>
        </x14:dataValidation>
        <x14:dataValidation type="list" allowBlank="1" showInputMessage="1" showErrorMessage="1" xr:uid="{FE321FF8-9546-4B4A-AA22-D54527416AD9}">
          <x14:formula1>
            <xm:f>Sheet1!$E$17:$E$18</xm:f>
          </x14:formula1>
          <xm:sqref>AG5:AG34</xm:sqref>
        </x14:dataValidation>
        <x14:dataValidation type="list" allowBlank="1" showInputMessage="1" showErrorMessage="1" xr:uid="{F9C194AC-CD9C-47A9-B09E-1856C1267692}">
          <x14:formula1>
            <xm:f>Sheet1!$G$17:$G$18</xm:f>
          </x14:formula1>
          <xm:sqref>AH5:AH34</xm:sqref>
        </x14:dataValidation>
        <x14:dataValidation type="list" allowBlank="1" showInputMessage="1" showErrorMessage="1" xr:uid="{B54B4C66-8B48-437C-94D4-7D34BE448AA9}">
          <x14:formula1>
            <xm:f>Sheet1!$I$1:$I$2</xm:f>
          </x14:formula1>
          <xm:sqref>X5:X34</xm:sqref>
        </x14:dataValidation>
        <x14:dataValidation type="list" allowBlank="1" showInputMessage="1" showErrorMessage="1" xr:uid="{A1013A1A-856A-4174-B17F-431EC463E338}">
          <x14:formula1>
            <xm:f>Sheet1!$G$6:$G$7</xm:f>
          </x14:formula1>
          <xm:sqref>S5:S34 AA5:AA34</xm:sqref>
        </x14:dataValidation>
        <x14:dataValidation type="list" allowBlank="1" showInputMessage="1" showErrorMessage="1" xr:uid="{2DCA16D5-0725-4B4A-95E2-47F5FB305C5C}">
          <x14:formula1>
            <xm:f>Sheet1!$C$6:$C$8</xm:f>
          </x14:formula1>
          <xm:sqref>AI5:AI34</xm:sqref>
        </x14:dataValidation>
        <x14:dataValidation type="list" allowBlank="1" showInputMessage="1" showErrorMessage="1" xr:uid="{0A14C593-CD65-4F13-A6E9-A95147EE2F0B}">
          <x14:formula1>
            <xm:f>Sheet1!$I$9:$I$13</xm:f>
          </x14:formula1>
          <xm:sqref>Y5:Y34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FCBDF-0187-47B7-AB65-922FBD3EE51A}">
  <sheetPr codeName="Sheet6">
    <tabColor rgb="FF92D050"/>
  </sheetPr>
  <dimension ref="A1:AT29"/>
  <sheetViews>
    <sheetView view="pageBreakPreview" zoomScaleNormal="40" zoomScaleSheetLayoutView="70" workbookViewId="0">
      <pane xSplit="5" ySplit="4" topLeftCell="F17" activePane="bottomRight" state="frozen"/>
      <selection activeCell="N11" sqref="N11"/>
      <selection pane="topRight" activeCell="N11" sqref="N11"/>
      <selection pane="bottomLeft" activeCell="N11" sqref="N11"/>
      <selection pane="bottomRight" activeCell="E18" sqref="E1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6"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1072</v>
      </c>
      <c r="P4" s="5" t="s">
        <v>16</v>
      </c>
      <c r="Q4" s="5" t="s">
        <v>15</v>
      </c>
      <c r="R4" s="5" t="s">
        <v>9</v>
      </c>
      <c r="S4" s="5" t="s">
        <v>66</v>
      </c>
      <c r="T4" s="5" t="s">
        <v>10</v>
      </c>
      <c r="U4" s="5" t="s">
        <v>17</v>
      </c>
      <c r="V4" s="5" t="s">
        <v>16</v>
      </c>
      <c r="W4" s="5" t="s">
        <v>15</v>
      </c>
      <c r="X4" s="5" t="s">
        <v>68</v>
      </c>
      <c r="Y4" s="5" t="s">
        <v>73</v>
      </c>
      <c r="Z4" s="5" t="s">
        <v>74</v>
      </c>
      <c r="AA4" s="5" t="s">
        <v>64</v>
      </c>
      <c r="AB4" s="4" t="s">
        <v>2</v>
      </c>
      <c r="AC4" s="3" t="s">
        <v>11</v>
      </c>
      <c r="AD4" s="3" t="s">
        <v>2664</v>
      </c>
      <c r="AE4" s="3" t="s">
        <v>55</v>
      </c>
      <c r="AF4" s="3" t="s">
        <v>56</v>
      </c>
      <c r="AG4" s="3" t="s">
        <v>2</v>
      </c>
      <c r="AH4" s="3" t="s">
        <v>61</v>
      </c>
      <c r="AI4" s="98"/>
      <c r="AJ4" s="100"/>
      <c r="AK4" s="100"/>
      <c r="AL4" s="89"/>
      <c r="AM4" s="102"/>
      <c r="AN4" s="102"/>
      <c r="AO4" s="102"/>
      <c r="AP4" s="90"/>
    </row>
    <row r="5" spans="1:46" s="10" customFormat="1" ht="37.5" customHeight="1" x14ac:dyDescent="0.4">
      <c r="A5" s="6">
        <v>6</v>
      </c>
      <c r="B5" s="6">
        <v>101</v>
      </c>
      <c r="C5" s="6" t="s">
        <v>79</v>
      </c>
      <c r="D5" s="18" t="s">
        <v>730</v>
      </c>
      <c r="E5" s="32" t="s">
        <v>18</v>
      </c>
      <c r="F5" s="6" t="s">
        <v>739</v>
      </c>
      <c r="G5" s="6" t="s">
        <v>43</v>
      </c>
      <c r="H5" s="6" t="s">
        <v>52</v>
      </c>
      <c r="I5" s="6" t="s">
        <v>84</v>
      </c>
      <c r="J5" s="6" t="s">
        <v>85</v>
      </c>
      <c r="K5" s="6" t="s">
        <v>60</v>
      </c>
      <c r="L5" s="6" t="s">
        <v>92</v>
      </c>
      <c r="M5" s="6" t="s">
        <v>45</v>
      </c>
      <c r="N5" s="6" t="s">
        <v>23</v>
      </c>
      <c r="O5" s="6" t="s">
        <v>23</v>
      </c>
      <c r="P5" s="6" t="s">
        <v>84</v>
      </c>
      <c r="Q5" s="6" t="s">
        <v>86</v>
      </c>
      <c r="R5" s="6">
        <v>750</v>
      </c>
      <c r="S5" s="16" t="s">
        <v>39</v>
      </c>
      <c r="T5" s="6">
        <v>900</v>
      </c>
      <c r="U5" s="6" t="s">
        <v>45</v>
      </c>
      <c r="V5" s="6" t="s">
        <v>84</v>
      </c>
      <c r="W5" s="6" t="s">
        <v>86</v>
      </c>
      <c r="X5" s="16" t="s">
        <v>60</v>
      </c>
      <c r="Y5" s="16" t="s">
        <v>87</v>
      </c>
      <c r="Z5" s="16" t="s">
        <v>124</v>
      </c>
      <c r="AA5" s="16" t="s">
        <v>65</v>
      </c>
      <c r="AB5" s="7"/>
      <c r="AC5" s="8"/>
      <c r="AD5" s="8"/>
      <c r="AE5" s="8"/>
      <c r="AF5" s="16"/>
      <c r="AG5" s="17" t="s">
        <v>60</v>
      </c>
      <c r="AH5" s="17" t="s">
        <v>62</v>
      </c>
      <c r="AI5" s="17" t="s">
        <v>45</v>
      </c>
      <c r="AJ5" s="17" t="s">
        <v>45</v>
      </c>
      <c r="AK5" s="9" t="s">
        <v>23</v>
      </c>
      <c r="AL5" s="140" t="s">
        <v>817</v>
      </c>
      <c r="AM5" s="104"/>
      <c r="AN5" s="104"/>
      <c r="AO5" s="104"/>
      <c r="AP5" s="105"/>
    </row>
    <row r="6" spans="1:46" s="14" customFormat="1" ht="15" customHeight="1" x14ac:dyDescent="0.4">
      <c r="A6" s="11">
        <v>6</v>
      </c>
      <c r="B6" s="11">
        <v>201</v>
      </c>
      <c r="C6" s="11" t="s">
        <v>79</v>
      </c>
      <c r="D6" s="13" t="s">
        <v>740</v>
      </c>
      <c r="E6" s="33" t="s">
        <v>18</v>
      </c>
      <c r="F6" s="11" t="s">
        <v>741</v>
      </c>
      <c r="G6" s="11" t="s">
        <v>43</v>
      </c>
      <c r="H6" s="11" t="s">
        <v>52</v>
      </c>
      <c r="I6" s="11" t="s">
        <v>84</v>
      </c>
      <c r="J6" s="11" t="s">
        <v>85</v>
      </c>
      <c r="K6" s="11" t="s">
        <v>60</v>
      </c>
      <c r="L6" s="11" t="s">
        <v>92</v>
      </c>
      <c r="M6" s="11" t="s">
        <v>45</v>
      </c>
      <c r="N6" s="11" t="s">
        <v>45</v>
      </c>
      <c r="O6" s="11" t="s">
        <v>23</v>
      </c>
      <c r="P6" s="11" t="s">
        <v>84</v>
      </c>
      <c r="Q6" s="11" t="s">
        <v>86</v>
      </c>
      <c r="R6" s="11">
        <v>900</v>
      </c>
      <c r="S6" s="40" t="s">
        <v>39</v>
      </c>
      <c r="T6" s="11">
        <v>900</v>
      </c>
      <c r="U6" s="11" t="s">
        <v>45</v>
      </c>
      <c r="V6" s="11" t="s">
        <v>84</v>
      </c>
      <c r="W6" s="11" t="s">
        <v>86</v>
      </c>
      <c r="X6" s="40" t="s">
        <v>60</v>
      </c>
      <c r="Y6" s="40" t="s">
        <v>87</v>
      </c>
      <c r="Z6" s="40" t="s">
        <v>742</v>
      </c>
      <c r="AA6" s="40" t="s">
        <v>65</v>
      </c>
      <c r="AB6" s="12" t="s">
        <v>88</v>
      </c>
      <c r="AC6" s="11" t="s">
        <v>45</v>
      </c>
      <c r="AD6" s="11" t="s">
        <v>23</v>
      </c>
      <c r="AE6" s="11" t="s">
        <v>50</v>
      </c>
      <c r="AF6" s="11" t="s">
        <v>50</v>
      </c>
      <c r="AG6" s="13" t="s">
        <v>60</v>
      </c>
      <c r="AH6" s="13" t="s">
        <v>62</v>
      </c>
      <c r="AI6" s="13" t="s">
        <v>45</v>
      </c>
      <c r="AJ6" s="13" t="s">
        <v>45</v>
      </c>
      <c r="AK6" s="13" t="s">
        <v>45</v>
      </c>
      <c r="AL6" s="94" t="s">
        <v>743</v>
      </c>
      <c r="AM6" s="95"/>
      <c r="AN6" s="95"/>
      <c r="AO6" s="95"/>
      <c r="AP6" s="96"/>
    </row>
    <row r="7" spans="1:46" s="10" customFormat="1" ht="32.25" customHeight="1" x14ac:dyDescent="0.4">
      <c r="A7" s="6">
        <v>6</v>
      </c>
      <c r="B7" s="6">
        <v>301</v>
      </c>
      <c r="C7" s="6" t="s">
        <v>79</v>
      </c>
      <c r="D7" s="18" t="s">
        <v>727</v>
      </c>
      <c r="E7" s="34" t="s">
        <v>18</v>
      </c>
      <c r="F7" s="46" t="s">
        <v>728</v>
      </c>
      <c r="G7" s="6" t="s">
        <v>43</v>
      </c>
      <c r="H7" s="6" t="s">
        <v>52</v>
      </c>
      <c r="I7" s="6" t="s">
        <v>84</v>
      </c>
      <c r="J7" s="6" t="s">
        <v>85</v>
      </c>
      <c r="K7" s="6" t="s">
        <v>60</v>
      </c>
      <c r="L7" s="6" t="s">
        <v>92</v>
      </c>
      <c r="M7" s="6" t="s">
        <v>45</v>
      </c>
      <c r="N7" s="6" t="s">
        <v>45</v>
      </c>
      <c r="O7" s="6" t="s">
        <v>23</v>
      </c>
      <c r="P7" s="6" t="s">
        <v>84</v>
      </c>
      <c r="Q7" s="6" t="s">
        <v>86</v>
      </c>
      <c r="R7" s="6">
        <v>750</v>
      </c>
      <c r="S7" s="6" t="s">
        <v>39</v>
      </c>
      <c r="T7" s="6">
        <v>900</v>
      </c>
      <c r="U7" s="6" t="s">
        <v>45</v>
      </c>
      <c r="V7" s="6" t="s">
        <v>84</v>
      </c>
      <c r="W7" s="6" t="s">
        <v>86</v>
      </c>
      <c r="X7" s="6" t="s">
        <v>60</v>
      </c>
      <c r="Y7" s="6" t="s">
        <v>87</v>
      </c>
      <c r="Z7" s="6" t="s">
        <v>729</v>
      </c>
      <c r="AA7" s="6" t="s">
        <v>65</v>
      </c>
      <c r="AB7" s="15" t="s">
        <v>88</v>
      </c>
      <c r="AC7" s="16" t="s">
        <v>45</v>
      </c>
      <c r="AD7" s="16" t="s">
        <v>45</v>
      </c>
      <c r="AE7" s="16" t="s">
        <v>50</v>
      </c>
      <c r="AF7" s="16" t="s">
        <v>50</v>
      </c>
      <c r="AG7" s="17" t="s">
        <v>60</v>
      </c>
      <c r="AH7" s="17" t="s">
        <v>62</v>
      </c>
      <c r="AI7" s="17" t="s">
        <v>23</v>
      </c>
      <c r="AJ7" s="17" t="s">
        <v>45</v>
      </c>
      <c r="AK7" s="17" t="s">
        <v>45</v>
      </c>
      <c r="AL7" s="106" t="s">
        <v>818</v>
      </c>
      <c r="AM7" s="79"/>
      <c r="AN7" s="79"/>
      <c r="AO7" s="79"/>
      <c r="AP7" s="80"/>
    </row>
    <row r="8" spans="1:46" s="14" customFormat="1" ht="15" customHeight="1" x14ac:dyDescent="0.4">
      <c r="A8" s="11">
        <v>6</v>
      </c>
      <c r="B8" s="11">
        <v>401</v>
      </c>
      <c r="C8" s="11" t="s">
        <v>79</v>
      </c>
      <c r="D8" s="13" t="s">
        <v>730</v>
      </c>
      <c r="E8" s="33" t="s">
        <v>18</v>
      </c>
      <c r="F8" s="11" t="s">
        <v>731</v>
      </c>
      <c r="G8" s="11" t="s">
        <v>43</v>
      </c>
      <c r="H8" s="11" t="s">
        <v>52</v>
      </c>
      <c r="I8" s="11" t="s">
        <v>84</v>
      </c>
      <c r="J8" s="11" t="s">
        <v>85</v>
      </c>
      <c r="K8" s="11" t="s">
        <v>60</v>
      </c>
      <c r="L8" s="11" t="s">
        <v>92</v>
      </c>
      <c r="M8" s="11" t="s">
        <v>45</v>
      </c>
      <c r="N8" s="11" t="s">
        <v>45</v>
      </c>
      <c r="O8" s="11" t="s">
        <v>23</v>
      </c>
      <c r="P8" s="11" t="s">
        <v>84</v>
      </c>
      <c r="Q8" s="11" t="s">
        <v>86</v>
      </c>
      <c r="R8" s="11">
        <v>750</v>
      </c>
      <c r="S8" s="40" t="s">
        <v>39</v>
      </c>
      <c r="T8" s="11">
        <v>900</v>
      </c>
      <c r="U8" s="11" t="s">
        <v>45</v>
      </c>
      <c r="V8" s="11" t="s">
        <v>84</v>
      </c>
      <c r="W8" s="11" t="s">
        <v>86</v>
      </c>
      <c r="X8" s="40" t="s">
        <v>60</v>
      </c>
      <c r="Y8" s="40" t="s">
        <v>87</v>
      </c>
      <c r="Z8" s="40" t="s">
        <v>732</v>
      </c>
      <c r="AA8" s="40" t="s">
        <v>39</v>
      </c>
      <c r="AB8" s="12" t="s">
        <v>88</v>
      </c>
      <c r="AC8" s="11" t="s">
        <v>45</v>
      </c>
      <c r="AD8" s="11" t="s">
        <v>45</v>
      </c>
      <c r="AE8" s="11" t="s">
        <v>116</v>
      </c>
      <c r="AF8" s="11" t="s">
        <v>50</v>
      </c>
      <c r="AG8" s="13" t="s">
        <v>60</v>
      </c>
      <c r="AH8" s="13" t="s">
        <v>62</v>
      </c>
      <c r="AI8" s="13" t="s">
        <v>45</v>
      </c>
      <c r="AJ8" s="13" t="s">
        <v>23</v>
      </c>
      <c r="AK8" s="13" t="s">
        <v>45</v>
      </c>
      <c r="AL8" s="94" t="s">
        <v>733</v>
      </c>
      <c r="AM8" s="95"/>
      <c r="AN8" s="95"/>
      <c r="AO8" s="95"/>
      <c r="AP8" s="96"/>
    </row>
    <row r="9" spans="1:46" s="10" customFormat="1" ht="33" customHeight="1" x14ac:dyDescent="0.4">
      <c r="A9" s="6">
        <v>6</v>
      </c>
      <c r="B9" s="6">
        <v>501</v>
      </c>
      <c r="C9" s="6" t="s">
        <v>79</v>
      </c>
      <c r="D9" s="18" t="s">
        <v>724</v>
      </c>
      <c r="E9" s="34" t="s">
        <v>18</v>
      </c>
      <c r="F9" s="6" t="s">
        <v>725</v>
      </c>
      <c r="G9" s="6" t="s">
        <v>43</v>
      </c>
      <c r="H9" s="6" t="s">
        <v>52</v>
      </c>
      <c r="I9" s="6" t="s">
        <v>84</v>
      </c>
      <c r="J9" s="6" t="s">
        <v>85</v>
      </c>
      <c r="K9" s="6" t="s">
        <v>60</v>
      </c>
      <c r="L9" s="6" t="s">
        <v>92</v>
      </c>
      <c r="M9" s="6" t="s">
        <v>45</v>
      </c>
      <c r="N9" s="6" t="s">
        <v>45</v>
      </c>
      <c r="O9" s="6" t="s">
        <v>23</v>
      </c>
      <c r="P9" s="6" t="s">
        <v>84</v>
      </c>
      <c r="Q9" s="6" t="s">
        <v>86</v>
      </c>
      <c r="R9" s="6">
        <v>740</v>
      </c>
      <c r="S9" s="6" t="s">
        <v>39</v>
      </c>
      <c r="T9" s="6">
        <v>640</v>
      </c>
      <c r="U9" s="6" t="s">
        <v>45</v>
      </c>
      <c r="V9" s="6" t="s">
        <v>84</v>
      </c>
      <c r="W9" s="6" t="s">
        <v>86</v>
      </c>
      <c r="X9" s="6" t="s">
        <v>60</v>
      </c>
      <c r="Y9" s="6" t="s">
        <v>87</v>
      </c>
      <c r="Z9" s="6" t="s">
        <v>726</v>
      </c>
      <c r="AA9" s="6" t="s">
        <v>65</v>
      </c>
      <c r="AB9" s="15" t="s">
        <v>88</v>
      </c>
      <c r="AC9" s="16" t="s">
        <v>45</v>
      </c>
      <c r="AD9" s="16" t="s">
        <v>45</v>
      </c>
      <c r="AE9" s="16" t="s">
        <v>116</v>
      </c>
      <c r="AF9" s="16" t="s">
        <v>50</v>
      </c>
      <c r="AG9" s="17" t="s">
        <v>60</v>
      </c>
      <c r="AH9" s="17" t="s">
        <v>62</v>
      </c>
      <c r="AI9" s="17" t="s">
        <v>45</v>
      </c>
      <c r="AJ9" s="17" t="s">
        <v>45</v>
      </c>
      <c r="AK9" s="17" t="s">
        <v>45</v>
      </c>
      <c r="AL9" s="106" t="s">
        <v>1413</v>
      </c>
      <c r="AM9" s="79"/>
      <c r="AN9" s="79"/>
      <c r="AO9" s="79"/>
      <c r="AP9" s="80"/>
    </row>
    <row r="10" spans="1:46" s="14" customFormat="1" ht="31.5" customHeight="1" x14ac:dyDescent="0.4">
      <c r="A10" s="11">
        <v>6</v>
      </c>
      <c r="B10" s="11">
        <v>102</v>
      </c>
      <c r="C10" s="11" t="s">
        <v>79</v>
      </c>
      <c r="D10" s="13" t="s">
        <v>632</v>
      </c>
      <c r="E10" s="33" t="s">
        <v>18</v>
      </c>
      <c r="F10" s="45" t="s">
        <v>633</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0" t="s">
        <v>87</v>
      </c>
      <c r="Z10" s="40" t="s">
        <v>634</v>
      </c>
      <c r="AA10" s="40" t="s">
        <v>65</v>
      </c>
      <c r="AB10" s="12" t="s">
        <v>88</v>
      </c>
      <c r="AC10" s="11" t="s">
        <v>23</v>
      </c>
      <c r="AD10" s="11" t="s">
        <v>23</v>
      </c>
      <c r="AE10" s="11" t="s">
        <v>50</v>
      </c>
      <c r="AF10" s="11" t="s">
        <v>50</v>
      </c>
      <c r="AG10" s="13" t="s">
        <v>60</v>
      </c>
      <c r="AH10" s="13" t="s">
        <v>62</v>
      </c>
      <c r="AI10" s="13" t="s">
        <v>45</v>
      </c>
      <c r="AJ10" s="13" t="s">
        <v>45</v>
      </c>
      <c r="AK10" s="13" t="s">
        <v>45</v>
      </c>
      <c r="AL10" s="94" t="s">
        <v>1414</v>
      </c>
      <c r="AM10" s="95"/>
      <c r="AN10" s="95"/>
      <c r="AO10" s="95"/>
      <c r="AP10" s="96"/>
    </row>
    <row r="11" spans="1:46" s="10" customFormat="1" ht="39" customHeight="1" x14ac:dyDescent="0.4">
      <c r="A11" s="6">
        <v>6</v>
      </c>
      <c r="B11" s="6">
        <v>202</v>
      </c>
      <c r="C11" s="6" t="s">
        <v>79</v>
      </c>
      <c r="D11" s="18" t="s">
        <v>744</v>
      </c>
      <c r="E11" s="34" t="s">
        <v>18</v>
      </c>
      <c r="F11" s="6" t="s">
        <v>745</v>
      </c>
      <c r="G11" s="6" t="s">
        <v>43</v>
      </c>
      <c r="H11" s="6" t="s">
        <v>52</v>
      </c>
      <c r="I11" s="6" t="s">
        <v>84</v>
      </c>
      <c r="J11" s="6" t="s">
        <v>85</v>
      </c>
      <c r="K11" s="6" t="s">
        <v>489</v>
      </c>
      <c r="L11" s="6" t="s">
        <v>92</v>
      </c>
      <c r="M11" s="6" t="s">
        <v>45</v>
      </c>
      <c r="N11" s="6" t="s">
        <v>45</v>
      </c>
      <c r="O11" s="6" t="s">
        <v>23</v>
      </c>
      <c r="P11" s="6" t="s">
        <v>84</v>
      </c>
      <c r="Q11" s="6" t="s">
        <v>86</v>
      </c>
      <c r="R11" s="6">
        <v>745</v>
      </c>
      <c r="S11" s="6" t="s">
        <v>39</v>
      </c>
      <c r="T11" s="6">
        <v>900</v>
      </c>
      <c r="U11" s="6" t="s">
        <v>45</v>
      </c>
      <c r="V11" s="6" t="s">
        <v>84</v>
      </c>
      <c r="W11" s="6" t="s">
        <v>86</v>
      </c>
      <c r="X11" s="6" t="s">
        <v>60</v>
      </c>
      <c r="Y11" s="6" t="s">
        <v>87</v>
      </c>
      <c r="Z11" s="6" t="s">
        <v>746</v>
      </c>
      <c r="AA11" s="6" t="s">
        <v>65</v>
      </c>
      <c r="AB11" s="15" t="s">
        <v>19</v>
      </c>
      <c r="AC11" s="16" t="s">
        <v>45</v>
      </c>
      <c r="AD11" s="16" t="s">
        <v>45</v>
      </c>
      <c r="AE11" s="16" t="s">
        <v>50</v>
      </c>
      <c r="AF11" s="16" t="s">
        <v>50</v>
      </c>
      <c r="AG11" s="17" t="s">
        <v>60</v>
      </c>
      <c r="AH11" s="17" t="s">
        <v>62</v>
      </c>
      <c r="AI11" s="17" t="s">
        <v>45</v>
      </c>
      <c r="AJ11" s="17" t="s">
        <v>45</v>
      </c>
      <c r="AK11" s="17" t="s">
        <v>23</v>
      </c>
      <c r="AL11" s="106" t="s">
        <v>1941</v>
      </c>
      <c r="AM11" s="107"/>
      <c r="AN11" s="107"/>
      <c r="AO11" s="107"/>
      <c r="AP11" s="108"/>
    </row>
    <row r="12" spans="1:46" s="14" customFormat="1" ht="31.5" customHeight="1" x14ac:dyDescent="0.4">
      <c r="A12" s="11">
        <v>6</v>
      </c>
      <c r="B12" s="11">
        <v>302</v>
      </c>
      <c r="C12" s="11" t="s">
        <v>79</v>
      </c>
      <c r="D12" s="13" t="s">
        <v>734</v>
      </c>
      <c r="E12" s="33" t="s">
        <v>18</v>
      </c>
      <c r="F12" s="11" t="s">
        <v>735</v>
      </c>
      <c r="G12" s="11" t="s">
        <v>43</v>
      </c>
      <c r="H12" s="11" t="s">
        <v>52</v>
      </c>
      <c r="I12" s="11" t="s">
        <v>84</v>
      </c>
      <c r="J12" s="11" t="s">
        <v>85</v>
      </c>
      <c r="K12" s="11" t="s">
        <v>60</v>
      </c>
      <c r="L12" s="11" t="s">
        <v>92</v>
      </c>
      <c r="M12" s="11" t="s">
        <v>45</v>
      </c>
      <c r="N12" s="11" t="s">
        <v>45</v>
      </c>
      <c r="O12" s="11" t="s">
        <v>45</v>
      </c>
      <c r="P12" s="11" t="s">
        <v>84</v>
      </c>
      <c r="Q12" s="11" t="s">
        <v>86</v>
      </c>
      <c r="R12" s="11">
        <v>740</v>
      </c>
      <c r="S12" s="40" t="s">
        <v>39</v>
      </c>
      <c r="T12" s="11">
        <v>900</v>
      </c>
      <c r="U12" s="11" t="s">
        <v>45</v>
      </c>
      <c r="V12" s="11" t="s">
        <v>84</v>
      </c>
      <c r="W12" s="11" t="s">
        <v>86</v>
      </c>
      <c r="X12" s="40" t="s">
        <v>60</v>
      </c>
      <c r="Y12" s="40" t="s">
        <v>141</v>
      </c>
      <c r="Z12" s="40"/>
      <c r="AA12" s="40" t="s">
        <v>65</v>
      </c>
      <c r="AB12" s="12" t="s">
        <v>88</v>
      </c>
      <c r="AC12" s="11" t="s">
        <v>45</v>
      </c>
      <c r="AD12" s="11" t="s">
        <v>23</v>
      </c>
      <c r="AE12" s="11" t="s">
        <v>50</v>
      </c>
      <c r="AF12" s="11" t="s">
        <v>50</v>
      </c>
      <c r="AG12" s="13" t="s">
        <v>60</v>
      </c>
      <c r="AH12" s="13" t="s">
        <v>62</v>
      </c>
      <c r="AI12" s="13" t="s">
        <v>45</v>
      </c>
      <c r="AJ12" s="13" t="s">
        <v>23</v>
      </c>
      <c r="AK12" s="13" t="s">
        <v>45</v>
      </c>
      <c r="AL12" s="133" t="s">
        <v>819</v>
      </c>
      <c r="AM12" s="95"/>
      <c r="AN12" s="95"/>
      <c r="AO12" s="95"/>
      <c r="AP12" s="96"/>
    </row>
    <row r="13" spans="1:46" s="10" customFormat="1" ht="32.25" customHeight="1" x14ac:dyDescent="0.4">
      <c r="A13" s="6">
        <v>6</v>
      </c>
      <c r="B13" s="6">
        <v>402</v>
      </c>
      <c r="C13" s="6" t="s">
        <v>79</v>
      </c>
      <c r="D13" s="18" t="s">
        <v>736</v>
      </c>
      <c r="E13" s="34" t="s">
        <v>18</v>
      </c>
      <c r="F13" s="6" t="s">
        <v>737</v>
      </c>
      <c r="G13" s="6" t="s">
        <v>43</v>
      </c>
      <c r="H13" s="6" t="s">
        <v>52</v>
      </c>
      <c r="I13" s="6" t="s">
        <v>84</v>
      </c>
      <c r="J13" s="6" t="s">
        <v>85</v>
      </c>
      <c r="K13" s="6" t="s">
        <v>60</v>
      </c>
      <c r="L13" s="6" t="s">
        <v>92</v>
      </c>
      <c r="M13" s="6" t="s">
        <v>45</v>
      </c>
      <c r="N13" s="6" t="s">
        <v>45</v>
      </c>
      <c r="O13" s="6" t="s">
        <v>23</v>
      </c>
      <c r="P13" s="6" t="s">
        <v>84</v>
      </c>
      <c r="Q13" s="6" t="s">
        <v>86</v>
      </c>
      <c r="R13" s="6">
        <v>740</v>
      </c>
      <c r="S13" s="6" t="s">
        <v>39</v>
      </c>
      <c r="T13" s="6">
        <v>740</v>
      </c>
      <c r="U13" s="6" t="s">
        <v>45</v>
      </c>
      <c r="V13" s="6" t="s">
        <v>84</v>
      </c>
      <c r="W13" s="6" t="s">
        <v>86</v>
      </c>
      <c r="X13" s="6" t="s">
        <v>60</v>
      </c>
      <c r="Y13" s="6" t="s">
        <v>87</v>
      </c>
      <c r="Z13" s="6" t="s">
        <v>738</v>
      </c>
      <c r="AA13" s="6" t="s">
        <v>65</v>
      </c>
      <c r="AB13" s="15" t="s">
        <v>88</v>
      </c>
      <c r="AC13" s="16" t="s">
        <v>45</v>
      </c>
      <c r="AD13" s="16" t="s">
        <v>23</v>
      </c>
      <c r="AE13" s="16" t="s">
        <v>50</v>
      </c>
      <c r="AF13" s="16" t="s">
        <v>50</v>
      </c>
      <c r="AG13" s="17" t="s">
        <v>60</v>
      </c>
      <c r="AH13" s="17" t="s">
        <v>62</v>
      </c>
      <c r="AI13" s="17" t="s">
        <v>45</v>
      </c>
      <c r="AJ13" s="17" t="s">
        <v>23</v>
      </c>
      <c r="AK13" s="17" t="s">
        <v>23</v>
      </c>
      <c r="AL13" s="106" t="s">
        <v>820</v>
      </c>
      <c r="AM13" s="79"/>
      <c r="AN13" s="79"/>
      <c r="AO13" s="79"/>
      <c r="AP13" s="80"/>
    </row>
    <row r="14" spans="1:46" s="14" customFormat="1" ht="48" customHeight="1" x14ac:dyDescent="0.4">
      <c r="A14" s="11">
        <v>6</v>
      </c>
      <c r="B14" s="11">
        <v>502</v>
      </c>
      <c r="C14" s="11" t="s">
        <v>79</v>
      </c>
      <c r="D14" s="13" t="s">
        <v>1162</v>
      </c>
      <c r="E14" s="33" t="s">
        <v>18</v>
      </c>
      <c r="F14" s="11" t="s">
        <v>1163</v>
      </c>
      <c r="G14" s="11" t="s">
        <v>22</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19</v>
      </c>
      <c r="Y14" s="40"/>
      <c r="Z14" s="40"/>
      <c r="AA14" s="40" t="s">
        <v>65</v>
      </c>
      <c r="AB14" s="12" t="s">
        <v>19</v>
      </c>
      <c r="AC14" s="11" t="s">
        <v>45</v>
      </c>
      <c r="AD14" s="11" t="s">
        <v>45</v>
      </c>
      <c r="AE14" s="11" t="s">
        <v>50</v>
      </c>
      <c r="AF14" s="11" t="s">
        <v>50</v>
      </c>
      <c r="AG14" s="13" t="s">
        <v>60</v>
      </c>
      <c r="AH14" s="13" t="s">
        <v>62</v>
      </c>
      <c r="AI14" s="13" t="s">
        <v>45</v>
      </c>
      <c r="AJ14" s="13" t="s">
        <v>23</v>
      </c>
      <c r="AK14" s="13" t="s">
        <v>45</v>
      </c>
      <c r="AL14" s="133" t="s">
        <v>1164</v>
      </c>
      <c r="AM14" s="134"/>
      <c r="AN14" s="134"/>
      <c r="AO14" s="134"/>
      <c r="AP14" s="135"/>
    </row>
    <row r="15" spans="1:46" s="10" customFormat="1" ht="31.5" customHeight="1" x14ac:dyDescent="0.4">
      <c r="A15" s="6">
        <v>6</v>
      </c>
      <c r="B15" s="6">
        <v>103</v>
      </c>
      <c r="C15" s="6" t="s">
        <v>79</v>
      </c>
      <c r="D15" s="18" t="s">
        <v>752</v>
      </c>
      <c r="E15" s="34" t="s">
        <v>18</v>
      </c>
      <c r="F15" s="46" t="s">
        <v>753</v>
      </c>
      <c r="G15" s="6" t="s">
        <v>43</v>
      </c>
      <c r="H15" s="6" t="s">
        <v>52</v>
      </c>
      <c r="I15" s="6" t="s">
        <v>84</v>
      </c>
      <c r="J15" s="6" t="s">
        <v>85</v>
      </c>
      <c r="K15" s="6" t="s">
        <v>60</v>
      </c>
      <c r="L15" s="6" t="s">
        <v>92</v>
      </c>
      <c r="M15" s="6" t="s">
        <v>45</v>
      </c>
      <c r="N15" s="6" t="s">
        <v>23</v>
      </c>
      <c r="O15" s="6" t="s">
        <v>45</v>
      </c>
      <c r="P15" s="6" t="s">
        <v>84</v>
      </c>
      <c r="Q15" s="6" t="s">
        <v>86</v>
      </c>
      <c r="R15" s="6">
        <v>740</v>
      </c>
      <c r="S15" s="6" t="s">
        <v>39</v>
      </c>
      <c r="T15" s="6">
        <v>900</v>
      </c>
      <c r="U15" s="6" t="s">
        <v>45</v>
      </c>
      <c r="V15" s="6" t="s">
        <v>84</v>
      </c>
      <c r="W15" s="6" t="s">
        <v>86</v>
      </c>
      <c r="X15" s="6" t="s">
        <v>60</v>
      </c>
      <c r="Y15" s="6" t="s">
        <v>87</v>
      </c>
      <c r="Z15" s="6" t="s">
        <v>754</v>
      </c>
      <c r="AA15" s="6" t="s">
        <v>65</v>
      </c>
      <c r="AB15" s="15" t="s">
        <v>88</v>
      </c>
      <c r="AC15" s="16" t="s">
        <v>45</v>
      </c>
      <c r="AD15" s="16" t="s">
        <v>23</v>
      </c>
      <c r="AE15" s="16" t="s">
        <v>50</v>
      </c>
      <c r="AF15" s="16" t="s">
        <v>50</v>
      </c>
      <c r="AG15" s="17" t="s">
        <v>60</v>
      </c>
      <c r="AH15" s="17" t="s">
        <v>62</v>
      </c>
      <c r="AI15" s="17" t="s">
        <v>45</v>
      </c>
      <c r="AJ15" s="17" t="s">
        <v>45</v>
      </c>
      <c r="AK15" s="17" t="s">
        <v>45</v>
      </c>
      <c r="AL15" s="106" t="s">
        <v>816</v>
      </c>
      <c r="AM15" s="79"/>
      <c r="AN15" s="79"/>
      <c r="AO15" s="79"/>
      <c r="AP15" s="80"/>
    </row>
    <row r="16" spans="1:46" s="14" customFormat="1" ht="58.5" customHeight="1" x14ac:dyDescent="0.4">
      <c r="A16" s="11">
        <v>6</v>
      </c>
      <c r="B16" s="11">
        <v>203</v>
      </c>
      <c r="C16" s="11" t="s">
        <v>79</v>
      </c>
      <c r="D16" s="13" t="s">
        <v>758</v>
      </c>
      <c r="E16" s="33" t="s">
        <v>18</v>
      </c>
      <c r="F16" s="45" t="s">
        <v>759</v>
      </c>
      <c r="G16" s="11" t="s">
        <v>43</v>
      </c>
      <c r="H16" s="11" t="s">
        <v>52</v>
      </c>
      <c r="I16" s="11" t="s">
        <v>84</v>
      </c>
      <c r="J16" s="11" t="s">
        <v>85</v>
      </c>
      <c r="K16" s="11" t="s">
        <v>60</v>
      </c>
      <c r="L16" s="11" t="s">
        <v>92</v>
      </c>
      <c r="M16" s="11" t="s">
        <v>45</v>
      </c>
      <c r="N16" s="11" t="s">
        <v>45</v>
      </c>
      <c r="O16" s="11" t="s">
        <v>45</v>
      </c>
      <c r="P16" s="11" t="s">
        <v>1092</v>
      </c>
      <c r="Q16" s="11" t="s">
        <v>86</v>
      </c>
      <c r="R16" s="11">
        <v>750</v>
      </c>
      <c r="S16" s="40" t="s">
        <v>39</v>
      </c>
      <c r="T16" s="11">
        <v>620</v>
      </c>
      <c r="U16" s="11" t="s">
        <v>45</v>
      </c>
      <c r="V16" s="11" t="s">
        <v>84</v>
      </c>
      <c r="W16" s="11" t="s">
        <v>86</v>
      </c>
      <c r="X16" s="40" t="s">
        <v>60</v>
      </c>
      <c r="Y16" s="40" t="s">
        <v>87</v>
      </c>
      <c r="Z16" s="40" t="s">
        <v>760</v>
      </c>
      <c r="AA16" s="40" t="s">
        <v>65</v>
      </c>
      <c r="AB16" s="12" t="s">
        <v>88</v>
      </c>
      <c r="AC16" s="11" t="s">
        <v>45</v>
      </c>
      <c r="AD16" s="11" t="s">
        <v>23</v>
      </c>
      <c r="AE16" s="11" t="s">
        <v>50</v>
      </c>
      <c r="AF16" s="11" t="s">
        <v>50</v>
      </c>
      <c r="AG16" s="13" t="s">
        <v>60</v>
      </c>
      <c r="AH16" s="13" t="s">
        <v>96</v>
      </c>
      <c r="AI16" s="13" t="s">
        <v>45</v>
      </c>
      <c r="AJ16" s="13" t="s">
        <v>45</v>
      </c>
      <c r="AK16" s="13" t="s">
        <v>45</v>
      </c>
      <c r="AL16" s="133" t="s">
        <v>1868</v>
      </c>
      <c r="AM16" s="134"/>
      <c r="AN16" s="134"/>
      <c r="AO16" s="134"/>
      <c r="AP16" s="135"/>
    </row>
    <row r="17" spans="1:43" s="10" customFormat="1" ht="15" customHeight="1" x14ac:dyDescent="0.4">
      <c r="A17" s="6">
        <v>6</v>
      </c>
      <c r="B17" s="6">
        <v>303</v>
      </c>
      <c r="C17" s="6" t="s">
        <v>79</v>
      </c>
      <c r="D17" s="18" t="s">
        <v>749</v>
      </c>
      <c r="E17" s="34" t="s">
        <v>18</v>
      </c>
      <c r="F17" s="6" t="s">
        <v>750</v>
      </c>
      <c r="G17" s="6" t="s">
        <v>43</v>
      </c>
      <c r="H17" s="6" t="s">
        <v>52</v>
      </c>
      <c r="I17" s="6" t="s">
        <v>84</v>
      </c>
      <c r="J17" s="6" t="s">
        <v>85</v>
      </c>
      <c r="K17" s="6" t="s">
        <v>60</v>
      </c>
      <c r="L17" s="6" t="s">
        <v>92</v>
      </c>
      <c r="M17" s="6" t="s">
        <v>45</v>
      </c>
      <c r="N17" s="6" t="s">
        <v>45</v>
      </c>
      <c r="O17" s="6" t="s">
        <v>23</v>
      </c>
      <c r="P17" s="6" t="s">
        <v>84</v>
      </c>
      <c r="Q17" s="6" t="s">
        <v>86</v>
      </c>
      <c r="R17" s="6">
        <v>745</v>
      </c>
      <c r="S17" s="6" t="s">
        <v>39</v>
      </c>
      <c r="T17" s="6">
        <v>900</v>
      </c>
      <c r="U17" s="6" t="s">
        <v>45</v>
      </c>
      <c r="V17" s="6" t="s">
        <v>84</v>
      </c>
      <c r="W17" s="6" t="s">
        <v>86</v>
      </c>
      <c r="X17" s="6" t="s">
        <v>60</v>
      </c>
      <c r="Y17" s="6" t="s">
        <v>141</v>
      </c>
      <c r="Z17" s="6"/>
      <c r="AA17" s="6" t="s">
        <v>65</v>
      </c>
      <c r="AB17" s="15" t="s">
        <v>88</v>
      </c>
      <c r="AC17" s="16" t="s">
        <v>45</v>
      </c>
      <c r="AD17" s="16" t="s">
        <v>45</v>
      </c>
      <c r="AE17" s="16" t="s">
        <v>116</v>
      </c>
      <c r="AF17" s="16" t="s">
        <v>50</v>
      </c>
      <c r="AG17" s="17" t="s">
        <v>60</v>
      </c>
      <c r="AH17" s="17" t="s">
        <v>62</v>
      </c>
      <c r="AI17" s="17" t="s">
        <v>241</v>
      </c>
      <c r="AJ17" s="17" t="s">
        <v>45</v>
      </c>
      <c r="AK17" s="17" t="s">
        <v>45</v>
      </c>
      <c r="AL17" s="78" t="s">
        <v>751</v>
      </c>
      <c r="AM17" s="79"/>
      <c r="AN17" s="79"/>
      <c r="AO17" s="79"/>
      <c r="AP17" s="80"/>
    </row>
    <row r="18" spans="1:43" s="14" customFormat="1" ht="43.5" customHeight="1" x14ac:dyDescent="0.4">
      <c r="A18" s="11">
        <v>6</v>
      </c>
      <c r="B18" s="11">
        <v>403</v>
      </c>
      <c r="C18" s="11" t="s">
        <v>79</v>
      </c>
      <c r="D18" s="13" t="s">
        <v>846</v>
      </c>
      <c r="E18" s="33" t="s">
        <v>18</v>
      </c>
      <c r="F18" s="11" t="s">
        <v>847</v>
      </c>
      <c r="G18" s="11" t="s">
        <v>40</v>
      </c>
      <c r="H18" s="11" t="s">
        <v>52</v>
      </c>
      <c r="I18" s="11" t="s">
        <v>84</v>
      </c>
      <c r="J18" s="11" t="s">
        <v>85</v>
      </c>
      <c r="K18" s="11" t="s">
        <v>60</v>
      </c>
      <c r="L18" s="11" t="s">
        <v>92</v>
      </c>
      <c r="M18" s="11" t="s">
        <v>45</v>
      </c>
      <c r="N18" s="11" t="s">
        <v>45</v>
      </c>
      <c r="O18" s="11" t="s">
        <v>45</v>
      </c>
      <c r="P18" s="11" t="s">
        <v>84</v>
      </c>
      <c r="Q18" s="11" t="s">
        <v>86</v>
      </c>
      <c r="R18" s="11">
        <v>740</v>
      </c>
      <c r="S18" s="40" t="s">
        <v>39</v>
      </c>
      <c r="T18" s="11">
        <v>900</v>
      </c>
      <c r="U18" s="11" t="s">
        <v>45</v>
      </c>
      <c r="V18" s="11" t="s">
        <v>84</v>
      </c>
      <c r="W18" s="11" t="s">
        <v>86</v>
      </c>
      <c r="X18" s="40" t="s">
        <v>19</v>
      </c>
      <c r="Y18" s="40"/>
      <c r="Z18" s="40"/>
      <c r="AA18" s="40" t="s">
        <v>65</v>
      </c>
      <c r="AB18" s="12" t="s">
        <v>88</v>
      </c>
      <c r="AC18" s="11" t="s">
        <v>45</v>
      </c>
      <c r="AD18" s="11" t="s">
        <v>45</v>
      </c>
      <c r="AE18" s="11" t="s">
        <v>116</v>
      </c>
      <c r="AF18" s="11" t="s">
        <v>50</v>
      </c>
      <c r="AG18" s="13" t="s">
        <v>60</v>
      </c>
      <c r="AH18" s="13" t="s">
        <v>62</v>
      </c>
      <c r="AI18" s="13" t="s">
        <v>45</v>
      </c>
      <c r="AJ18" s="13" t="s">
        <v>45</v>
      </c>
      <c r="AK18" s="13" t="s">
        <v>45</v>
      </c>
      <c r="AL18" s="133" t="s">
        <v>848</v>
      </c>
      <c r="AM18" s="95"/>
      <c r="AN18" s="95"/>
      <c r="AO18" s="95"/>
      <c r="AP18" s="96"/>
    </row>
    <row r="19" spans="1:43" s="10" customFormat="1" ht="42.75" customHeight="1" x14ac:dyDescent="0.4">
      <c r="A19" s="6">
        <v>6</v>
      </c>
      <c r="B19" s="6">
        <v>503</v>
      </c>
      <c r="C19" s="6" t="s">
        <v>79</v>
      </c>
      <c r="D19" s="18" t="s">
        <v>1187</v>
      </c>
      <c r="E19" s="34" t="s">
        <v>1188</v>
      </c>
      <c r="F19" s="46" t="s">
        <v>1189</v>
      </c>
      <c r="G19" s="6" t="s">
        <v>40</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1191</v>
      </c>
      <c r="AA19" s="6" t="s">
        <v>65</v>
      </c>
      <c r="AB19" s="15" t="s">
        <v>88</v>
      </c>
      <c r="AC19" s="16" t="s">
        <v>23</v>
      </c>
      <c r="AD19" s="16" t="s">
        <v>23</v>
      </c>
      <c r="AE19" s="16" t="s">
        <v>50</v>
      </c>
      <c r="AF19" s="16" t="s">
        <v>50</v>
      </c>
      <c r="AG19" s="17" t="s">
        <v>60</v>
      </c>
      <c r="AH19" s="17" t="s">
        <v>62</v>
      </c>
      <c r="AI19" s="17" t="s">
        <v>45</v>
      </c>
      <c r="AJ19" s="17" t="s">
        <v>23</v>
      </c>
      <c r="AK19" s="17" t="s">
        <v>45</v>
      </c>
      <c r="AL19" s="106" t="s">
        <v>1192</v>
      </c>
      <c r="AM19" s="107"/>
      <c r="AN19" s="107"/>
      <c r="AO19" s="107"/>
      <c r="AP19" s="108"/>
    </row>
    <row r="20" spans="1:43" s="14" customFormat="1" ht="33" customHeight="1" x14ac:dyDescent="0.4">
      <c r="A20" s="11">
        <v>6</v>
      </c>
      <c r="B20" s="11">
        <v>104</v>
      </c>
      <c r="C20" s="11" t="s">
        <v>79</v>
      </c>
      <c r="D20" s="13" t="s">
        <v>755</v>
      </c>
      <c r="E20" s="33" t="s">
        <v>18</v>
      </c>
      <c r="F20" s="11" t="s">
        <v>756</v>
      </c>
      <c r="G20" s="11" t="s">
        <v>43</v>
      </c>
      <c r="H20" s="11" t="s">
        <v>52</v>
      </c>
      <c r="I20" s="11" t="s">
        <v>84</v>
      </c>
      <c r="J20" s="11" t="s">
        <v>85</v>
      </c>
      <c r="K20" s="11" t="s">
        <v>60</v>
      </c>
      <c r="L20" s="11" t="s">
        <v>92</v>
      </c>
      <c r="M20" s="11" t="s">
        <v>45</v>
      </c>
      <c r="N20" s="11" t="s">
        <v>23</v>
      </c>
      <c r="O20" s="11" t="s">
        <v>23</v>
      </c>
      <c r="P20" s="11" t="s">
        <v>84</v>
      </c>
      <c r="Q20" s="11" t="s">
        <v>86</v>
      </c>
      <c r="R20" s="11">
        <v>740</v>
      </c>
      <c r="S20" s="40" t="s">
        <v>39</v>
      </c>
      <c r="T20" s="11">
        <v>900</v>
      </c>
      <c r="U20" s="11" t="s">
        <v>45</v>
      </c>
      <c r="V20" s="11" t="s">
        <v>84</v>
      </c>
      <c r="W20" s="11" t="s">
        <v>86</v>
      </c>
      <c r="X20" s="40" t="s">
        <v>60</v>
      </c>
      <c r="Y20" s="40" t="s">
        <v>87</v>
      </c>
      <c r="Z20" s="40" t="s">
        <v>757</v>
      </c>
      <c r="AA20" s="40" t="s">
        <v>65</v>
      </c>
      <c r="AB20" s="12" t="s">
        <v>88</v>
      </c>
      <c r="AC20" s="11" t="s">
        <v>45</v>
      </c>
      <c r="AD20" s="11" t="s">
        <v>45</v>
      </c>
      <c r="AE20" s="11" t="s">
        <v>116</v>
      </c>
      <c r="AF20" s="11" t="s">
        <v>50</v>
      </c>
      <c r="AG20" s="13" t="s">
        <v>60</v>
      </c>
      <c r="AH20" s="13" t="s">
        <v>62</v>
      </c>
      <c r="AI20" s="13" t="s">
        <v>45</v>
      </c>
      <c r="AJ20" s="13" t="s">
        <v>23</v>
      </c>
      <c r="AK20" s="13" t="s">
        <v>23</v>
      </c>
      <c r="AL20" s="133" t="s">
        <v>821</v>
      </c>
      <c r="AM20" s="95"/>
      <c r="AN20" s="95"/>
      <c r="AO20" s="95"/>
      <c r="AP20" s="96"/>
    </row>
    <row r="21" spans="1:43" s="10" customFormat="1" ht="30.75" customHeight="1" x14ac:dyDescent="0.4">
      <c r="A21" s="6">
        <v>6</v>
      </c>
      <c r="B21" s="6">
        <v>204</v>
      </c>
      <c r="C21" s="6" t="s">
        <v>79</v>
      </c>
      <c r="D21" s="18" t="s">
        <v>761</v>
      </c>
      <c r="E21" s="34" t="s">
        <v>18</v>
      </c>
      <c r="F21" s="6" t="s">
        <v>762</v>
      </c>
      <c r="G21" s="6" t="s">
        <v>43</v>
      </c>
      <c r="H21" s="6" t="s">
        <v>30</v>
      </c>
      <c r="I21" s="6" t="s">
        <v>84</v>
      </c>
      <c r="J21" s="6" t="s">
        <v>85</v>
      </c>
      <c r="K21" s="6" t="s">
        <v>60</v>
      </c>
      <c r="L21" s="6" t="s">
        <v>92</v>
      </c>
      <c r="M21" s="6" t="s">
        <v>45</v>
      </c>
      <c r="N21" s="6" t="s">
        <v>45</v>
      </c>
      <c r="O21" s="6" t="s">
        <v>45</v>
      </c>
      <c r="P21" s="6" t="s">
        <v>84</v>
      </c>
      <c r="Q21" s="6" t="s">
        <v>86</v>
      </c>
      <c r="R21" s="6">
        <v>745</v>
      </c>
      <c r="S21" s="6" t="s">
        <v>39</v>
      </c>
      <c r="T21" s="6">
        <v>740</v>
      </c>
      <c r="U21" s="6" t="s">
        <v>45</v>
      </c>
      <c r="V21" s="6" t="s">
        <v>84</v>
      </c>
      <c r="W21" s="6" t="s">
        <v>86</v>
      </c>
      <c r="X21" s="6" t="s">
        <v>60</v>
      </c>
      <c r="Y21" s="6" t="s">
        <v>87</v>
      </c>
      <c r="Z21" s="6" t="s">
        <v>763</v>
      </c>
      <c r="AA21" s="6" t="s">
        <v>65</v>
      </c>
      <c r="AB21" s="15" t="s">
        <v>88</v>
      </c>
      <c r="AC21" s="16" t="s">
        <v>45</v>
      </c>
      <c r="AD21" s="16" t="s">
        <v>23</v>
      </c>
      <c r="AE21" s="16" t="s">
        <v>116</v>
      </c>
      <c r="AF21" s="16" t="s">
        <v>116</v>
      </c>
      <c r="AG21" s="17" t="s">
        <v>60</v>
      </c>
      <c r="AH21" s="17" t="s">
        <v>62</v>
      </c>
      <c r="AI21" s="17" t="s">
        <v>45</v>
      </c>
      <c r="AJ21" s="17" t="s">
        <v>45</v>
      </c>
      <c r="AK21" s="17" t="s">
        <v>45</v>
      </c>
      <c r="AL21" s="106" t="s">
        <v>822</v>
      </c>
      <c r="AM21" s="79"/>
      <c r="AN21" s="79"/>
      <c r="AO21" s="79"/>
      <c r="AP21" s="80"/>
    </row>
    <row r="22" spans="1:43" s="14" customFormat="1" ht="40.5" customHeight="1" x14ac:dyDescent="0.4">
      <c r="A22" s="11">
        <v>6</v>
      </c>
      <c r="B22" s="11">
        <v>304</v>
      </c>
      <c r="C22" s="11" t="s">
        <v>79</v>
      </c>
      <c r="D22" s="13" t="s">
        <v>1070</v>
      </c>
      <c r="E22" s="33" t="s">
        <v>18</v>
      </c>
      <c r="F22" s="45" t="s">
        <v>1071</v>
      </c>
      <c r="G22" s="11" t="s">
        <v>40</v>
      </c>
      <c r="H22" s="11" t="s">
        <v>52</v>
      </c>
      <c r="I22" s="11" t="s">
        <v>84</v>
      </c>
      <c r="J22" s="11" t="s">
        <v>85</v>
      </c>
      <c r="K22" s="11" t="s">
        <v>60</v>
      </c>
      <c r="L22" s="11" t="s">
        <v>92</v>
      </c>
      <c r="M22" s="11" t="s">
        <v>45</v>
      </c>
      <c r="N22" s="11" t="s">
        <v>45</v>
      </c>
      <c r="O22" s="11" t="s">
        <v>23</v>
      </c>
      <c r="P22" s="11" t="s">
        <v>84</v>
      </c>
      <c r="Q22" s="11" t="s">
        <v>86</v>
      </c>
      <c r="R22" s="11">
        <v>750</v>
      </c>
      <c r="S22" s="40" t="s">
        <v>39</v>
      </c>
      <c r="T22" s="11">
        <v>800</v>
      </c>
      <c r="U22" s="11" t="s">
        <v>45</v>
      </c>
      <c r="V22" s="11" t="s">
        <v>84</v>
      </c>
      <c r="W22" s="11" t="s">
        <v>86</v>
      </c>
      <c r="X22" s="40" t="s">
        <v>19</v>
      </c>
      <c r="Y22" s="40"/>
      <c r="Z22" s="40"/>
      <c r="AA22" s="40" t="s">
        <v>39</v>
      </c>
      <c r="AB22" s="12" t="s">
        <v>88</v>
      </c>
      <c r="AC22" s="11" t="s">
        <v>45</v>
      </c>
      <c r="AD22" s="11" t="s">
        <v>45</v>
      </c>
      <c r="AE22" s="11" t="s">
        <v>50</v>
      </c>
      <c r="AF22" s="11" t="s">
        <v>50</v>
      </c>
      <c r="AG22" s="13" t="s">
        <v>60</v>
      </c>
      <c r="AH22" s="13" t="s">
        <v>62</v>
      </c>
      <c r="AI22" s="13" t="s">
        <v>45</v>
      </c>
      <c r="AJ22" s="13" t="s">
        <v>45</v>
      </c>
      <c r="AK22" s="13" t="s">
        <v>45</v>
      </c>
      <c r="AL22" s="133" t="s">
        <v>1073</v>
      </c>
      <c r="AM22" s="134"/>
      <c r="AN22" s="134"/>
      <c r="AO22" s="134"/>
      <c r="AP22" s="135"/>
    </row>
    <row r="23" spans="1:43" s="10" customFormat="1" ht="30.75" customHeight="1" x14ac:dyDescent="0.4">
      <c r="A23" s="6">
        <v>6</v>
      </c>
      <c r="B23" s="6">
        <v>404</v>
      </c>
      <c r="C23" s="6" t="s">
        <v>79</v>
      </c>
      <c r="D23" s="18" t="s">
        <v>747</v>
      </c>
      <c r="E23" s="34" t="s">
        <v>18</v>
      </c>
      <c r="F23" s="6" t="s">
        <v>748</v>
      </c>
      <c r="G23" s="6" t="s">
        <v>43</v>
      </c>
      <c r="H23" s="6" t="s">
        <v>52</v>
      </c>
      <c r="I23" s="6" t="s">
        <v>84</v>
      </c>
      <c r="J23" s="6" t="s">
        <v>85</v>
      </c>
      <c r="K23" s="6" t="s">
        <v>60</v>
      </c>
      <c r="L23" s="6" t="s">
        <v>92</v>
      </c>
      <c r="M23" s="6" t="s">
        <v>45</v>
      </c>
      <c r="N23" s="6" t="s">
        <v>45</v>
      </c>
      <c r="O23" s="6" t="s">
        <v>23</v>
      </c>
      <c r="P23" s="6" t="s">
        <v>84</v>
      </c>
      <c r="Q23" s="6" t="s">
        <v>86</v>
      </c>
      <c r="R23" s="6">
        <v>740</v>
      </c>
      <c r="S23" s="6" t="s">
        <v>39</v>
      </c>
      <c r="T23" s="6">
        <v>900</v>
      </c>
      <c r="U23" s="6" t="s">
        <v>45</v>
      </c>
      <c r="V23" s="6" t="s">
        <v>84</v>
      </c>
      <c r="W23" s="6" t="s">
        <v>86</v>
      </c>
      <c r="X23" s="6" t="s">
        <v>60</v>
      </c>
      <c r="Y23" s="6" t="s">
        <v>141</v>
      </c>
      <c r="Z23" s="6"/>
      <c r="AA23" s="6" t="s">
        <v>65</v>
      </c>
      <c r="AB23" s="15" t="s">
        <v>88</v>
      </c>
      <c r="AC23" s="16" t="s">
        <v>45</v>
      </c>
      <c r="AD23" s="16" t="s">
        <v>45</v>
      </c>
      <c r="AE23" s="16" t="s">
        <v>116</v>
      </c>
      <c r="AF23" s="16" t="s">
        <v>50</v>
      </c>
      <c r="AG23" s="17" t="s">
        <v>60</v>
      </c>
      <c r="AH23" s="17" t="s">
        <v>62</v>
      </c>
      <c r="AI23" s="17" t="s">
        <v>45</v>
      </c>
      <c r="AJ23" s="17" t="s">
        <v>23</v>
      </c>
      <c r="AK23" s="17" t="s">
        <v>45</v>
      </c>
      <c r="AL23" s="106" t="s">
        <v>823</v>
      </c>
      <c r="AM23" s="79"/>
      <c r="AN23" s="79"/>
      <c r="AO23" s="79"/>
      <c r="AP23" s="80"/>
    </row>
    <row r="24" spans="1:43" s="14" customFormat="1" ht="49.5" customHeight="1" x14ac:dyDescent="0.4">
      <c r="A24" s="11">
        <v>6</v>
      </c>
      <c r="B24" s="11">
        <v>504</v>
      </c>
      <c r="C24" s="11" t="s">
        <v>79</v>
      </c>
      <c r="D24" s="13" t="s">
        <v>1641</v>
      </c>
      <c r="E24" s="33" t="s">
        <v>18</v>
      </c>
      <c r="F24" s="11" t="s">
        <v>1642</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40">
        <v>900</v>
      </c>
      <c r="U24" s="11" t="s">
        <v>45</v>
      </c>
      <c r="V24" s="11" t="s">
        <v>84</v>
      </c>
      <c r="W24" s="11" t="s">
        <v>86</v>
      </c>
      <c r="X24" s="40" t="s">
        <v>60</v>
      </c>
      <c r="Y24" s="40" t="s">
        <v>87</v>
      </c>
      <c r="Z24" s="40" t="s">
        <v>1643</v>
      </c>
      <c r="AA24" s="40" t="s">
        <v>65</v>
      </c>
      <c r="AB24" s="12" t="s">
        <v>88</v>
      </c>
      <c r="AC24" s="11" t="s">
        <v>45</v>
      </c>
      <c r="AD24" s="11" t="s">
        <v>23</v>
      </c>
      <c r="AE24" s="11" t="s">
        <v>50</v>
      </c>
      <c r="AF24" s="11" t="s">
        <v>50</v>
      </c>
      <c r="AG24" s="13" t="s">
        <v>60</v>
      </c>
      <c r="AH24" s="13" t="s">
        <v>62</v>
      </c>
      <c r="AI24" s="13" t="s">
        <v>45</v>
      </c>
      <c r="AJ24" s="13" t="s">
        <v>45</v>
      </c>
      <c r="AK24" s="13" t="s">
        <v>45</v>
      </c>
      <c r="AL24" s="133" t="s">
        <v>1644</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所有→16戸</v>
      </c>
      <c r="H25" s="20" t="str">
        <f>"未更新→"&amp;COUNTIF(H5:H24,"未更新")&amp;"戸"</f>
        <v>未更新→19戸</v>
      </c>
      <c r="I25" s="20" t="str">
        <f>"クロス→"&amp;COUNTIF(I5:I24,"クロス")&amp;"戸"</f>
        <v>クロス→20戸</v>
      </c>
      <c r="J25" s="20" t="str">
        <f>"ベニヤ→"&amp;COUNTIF(J5:J24,"ベニヤ")&amp;"戸"</f>
        <v>ベニヤ→20戸</v>
      </c>
      <c r="K25" s="20" t="str">
        <f>"既存→"&amp;COUNTIF(K5:K24,"既存")&amp;"戸"</f>
        <v>既存→0戸</v>
      </c>
      <c r="L25" s="20" t="str">
        <f>"普通便座→"&amp;COUNTIF(L5:L24,"普通便座")&amp;"戸"</f>
        <v>普通便座→0戸</v>
      </c>
      <c r="M25" s="20" t="str">
        <f>"有→"&amp;COUNTIF(M5:M24,"有")&amp;"戸"</f>
        <v>有→0戸</v>
      </c>
      <c r="N25" s="20" t="str">
        <f>"有→"&amp;COUNTIF(N5:N24,"有")&amp;"戸"</f>
        <v>有→3戸</v>
      </c>
      <c r="O25" s="20" t="str">
        <f>"有→"&amp;COUNTIF(O5:O24,"有")&amp;"戸"</f>
        <v>有→15戸</v>
      </c>
      <c r="P25" s="20" t="str">
        <f>"クロス→"&amp;COUNTIF(P5:P24,"クロス")&amp;"戸"</f>
        <v>クロス→20戸</v>
      </c>
      <c r="Q25" s="20" t="str">
        <f>"CF→"&amp;COUNTIF(Q5:Q24,"CF")&amp;"戸"</f>
        <v>CF→20戸</v>
      </c>
      <c r="R25" s="20" t="str">
        <f>"1000→"&amp;COUNTIF(R5:R24,"1000")&amp;"戸"</f>
        <v>1000→0戸</v>
      </c>
      <c r="S25" s="20" t="str">
        <f>"可→"&amp;COUNTIF(S5:S24,"可")&amp;"戸"</f>
        <v>可→20戸</v>
      </c>
      <c r="T25" s="20" t="str">
        <f>"900→"&amp;COUNTIF(T5:T24,"900")&amp;"戸"</f>
        <v>900→15戸</v>
      </c>
      <c r="U25" s="20" t="str">
        <f>"有→"&amp;COUNTIF(U5:U24,"有")&amp;"戸"</f>
        <v>有→0戸</v>
      </c>
      <c r="V25" s="20" t="str">
        <f>"クロス→"&amp;COUNTIF(V5:V24,"クロス")&amp;"戸"</f>
        <v>クロス→20戸</v>
      </c>
      <c r="W25" s="20" t="str">
        <f>"CF→"&amp;COUNTIF(W5:W24,"CF")&amp;"戸"</f>
        <v>CF→20戸</v>
      </c>
      <c r="X25" s="20" t="str">
        <f>"既存→"&amp;COUNTIF(X5:X24,"既存")&amp;"戸"</f>
        <v>既存→3戸</v>
      </c>
      <c r="Y25" s="20" t="str">
        <f>"TOTO→"&amp;COUNTIF(Y5:Y24,"TOTO")&amp;"戸"</f>
        <v>TOTO→14戸</v>
      </c>
      <c r="Z25" s="130">
        <f>COUNTA(Z5:Z24)</f>
        <v>14</v>
      </c>
      <c r="AA25" s="20" t="str">
        <f>"可→"&amp;COUNTIF(AA5:AA24,"可")&amp;"戸"</f>
        <v>可→2戸</v>
      </c>
      <c r="AB25" s="20" t="str">
        <f>"既存→"&amp;COUNTIF(AB5:AB24,"既存")&amp;"戸"</f>
        <v>既存→2戸</v>
      </c>
      <c r="AC25" s="130">
        <f>COUNTIF(AC5:AC24,"有")</f>
        <v>2</v>
      </c>
      <c r="AD25" s="130">
        <f>COUNTIF(AD5:AD24,"有")</f>
        <v>9</v>
      </c>
      <c r="AE25" s="20" t="str">
        <f>"ポリ板→"&amp;COUNTIF(AE5:AE24,"ポリ板")&amp;"戸"</f>
        <v>ポリ板→12戸</v>
      </c>
      <c r="AF25" s="20" t="str">
        <f>"ポリ板→"&amp;COUNTIF(AF5:AF24,"ポリ板")&amp;"戸"</f>
        <v>ポリ板→18戸</v>
      </c>
      <c r="AG25" s="20" t="str">
        <f>"既存→"&amp;COUNTIF(AG5:AG24,"既存")&amp;"戸"</f>
        <v>既存→0戸</v>
      </c>
      <c r="AH25" s="20" t="str">
        <f>"洗面所→"&amp;COUNTIF(AH5:AH24,"洗面所")&amp;"戸"</f>
        <v>洗面所→19戸</v>
      </c>
      <c r="AI25" s="130">
        <f>COUNTIF(AI5:AI24,"有")</f>
        <v>1</v>
      </c>
      <c r="AJ25" s="130">
        <f>COUNTIF(AJ5:AJ24,"有")</f>
        <v>7</v>
      </c>
      <c r="AK25" s="130">
        <f>COUNTIF(AK5:AK24,"有")</f>
        <v>4</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賃貸→1戸</v>
      </c>
      <c r="H26" s="35" t="str">
        <f>"更新済み→"&amp;COUNTIF(H5:H24,"更新済み")&amp;"戸"</f>
        <v>更新済み→1戸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無→20戸</v>
      </c>
      <c r="N26" s="35" t="str">
        <f>"無→"&amp;COUNTIF(N5:N24,"無")&amp;"戸"</f>
        <v>無→17戸</v>
      </c>
      <c r="O26" s="35" t="str">
        <f>"無→"&amp;COUNTIF(O5:O24,"無")&amp;"戸"</f>
        <v>無→5戸</v>
      </c>
      <c r="P26" s="35" t="str">
        <f>"珪藻土→"&amp;COUNTIF(P5:P24,"珪藻土")&amp;"戸"</f>
        <v>珪藻土→0戸</v>
      </c>
      <c r="Q26" s="35" t="str">
        <f>"塩ビタイル→"&amp;COUNTIF(Q5:Q24,"塩ビタイル")&amp;"戸"</f>
        <v>塩ビタイル→0戸</v>
      </c>
      <c r="R26" s="35" t="str">
        <f>"900→"&amp;COUNTIF(R5:R24,"900")&amp;"戸"</f>
        <v>900→1戸</v>
      </c>
      <c r="S26" s="35" t="str">
        <f>"不可→"&amp;COUNTIF(S5:S24,"不可")&amp;"戸"</f>
        <v>不可→0戸</v>
      </c>
      <c r="T26" s="35" t="str">
        <f>"800→"&amp;COUNTIF(T5:T24,"800")&amp;"戸"</f>
        <v>800→1戸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リフォーム済み→17戸</v>
      </c>
      <c r="Y26" s="35" t="str">
        <f>"LIXIL→"&amp;COUNTIF(Y5:Y24,"LIXIL")&amp;"戸"</f>
        <v>LIXIL→0戸</v>
      </c>
      <c r="Z26" s="131"/>
      <c r="AA26" s="35" t="str">
        <f>"不可→"&amp;COUNTIF(AA5:AA24,"不可")&amp;"戸"</f>
        <v>不可→18戸</v>
      </c>
      <c r="AB26" s="36" t="str">
        <f>"システム→"&amp;COUNTIF(AB5:AB24,"システム")&amp;"戸"</f>
        <v>システム→17戸</v>
      </c>
      <c r="AC26" s="131"/>
      <c r="AD26" s="131"/>
      <c r="AE26" s="35" t="str">
        <f>"SUS→"&amp;COUNTIF(AE5:AE24,"SUS")&amp;"戸"</f>
        <v>SUS→7戸</v>
      </c>
      <c r="AF26" s="35" t="str">
        <f>"SUS→"&amp;COUNTIF(AF5:AF24,"SUS")&amp;"戸"</f>
        <v>SUS→1戸</v>
      </c>
      <c r="AG26" s="35" t="str">
        <f>"リフォーム済み→"&amp;COUNTIF(AG5:AG24,"リフォーム済み")&amp;"戸"</f>
        <v>リフォーム済み→20戸</v>
      </c>
      <c r="AH26" s="35" t="str">
        <f>"ベランダ→"&amp;COUNTIF(AH5:AH24,"ベランダ")&amp;"戸"</f>
        <v>ベランダ→1戸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レストパル→1戸</v>
      </c>
      <c r="L27" s="35" t="str">
        <f>"WL→"&amp;COUNTIF(L5:L24,"WL")&amp;"戸"</f>
        <v>WL→20戸</v>
      </c>
      <c r="M27" s="23"/>
      <c r="N27" s="23"/>
      <c r="O27" s="23"/>
      <c r="P27" s="35" t="str">
        <f>"塗装→"&amp;COUNTIF(P5:P24,"塗装")&amp;"戸"</f>
        <v>塗装→0戸</v>
      </c>
      <c r="Q27" s="35" t="str">
        <f>"フローリング→"&amp;COUNTIF(Q5:Q24,"フローリング")&amp;"戸"</f>
        <v>フローリング→0戸</v>
      </c>
      <c r="R27" s="35" t="str">
        <f>"750→"&amp;COUNTIF(R5:R24,"750")&amp;"戸"</f>
        <v>750→9戸</v>
      </c>
      <c r="S27" s="35"/>
      <c r="T27" s="35" t="str">
        <f>"740→"&amp;COUNTIF(T5:T24,"740")&amp;"戸"</f>
        <v>740→2戸</v>
      </c>
      <c r="U27" s="22"/>
      <c r="V27" s="35" t="str">
        <f>"塗装→"&amp;COUNTIF(V5:V24,"塗装")&amp;"戸"</f>
        <v>塗装→0戸</v>
      </c>
      <c r="W27" s="35" t="str">
        <f>"フローリング→"&amp;COUNTIF(W5:W24,"フローリング")&amp;"戸"</f>
        <v>フローリング→0戸</v>
      </c>
      <c r="X27" s="35"/>
      <c r="Y27" s="35" t="str">
        <f>"日立→"&amp;COUNTIF(Y5:Y24,"日立")&amp;"戸"</f>
        <v>日立→3戸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55" t="str">
        <f>"空家→"&amp;COUNTIF(G5:G24,"空家")&amp;"戸"</f>
        <v>空家→3戸</v>
      </c>
      <c r="H28" s="55"/>
      <c r="I28" s="28"/>
      <c r="J28" s="27"/>
      <c r="K28" s="55" t="str">
        <f>"一体型→"&amp;COUNTIF(K5:K24,"一体型")&amp;"戸"</f>
        <v>一体型→0戸</v>
      </c>
      <c r="L28" s="28"/>
      <c r="M28" s="28"/>
      <c r="N28" s="28"/>
      <c r="O28" s="28"/>
      <c r="P28" s="28"/>
      <c r="Q28" s="28"/>
      <c r="R28" s="55" t="str">
        <f>"740→"&amp;COUNTIF(R5:R24,"740")&amp;"戸"</f>
        <v>740→7戸</v>
      </c>
      <c r="S28" s="27"/>
      <c r="T28" s="35" t="str">
        <f>"640→"&amp;COUNTIF(T5:T24,"640")&amp;"戸"</f>
        <v>640→1戸</v>
      </c>
      <c r="U28" s="27"/>
      <c r="V28" s="27"/>
      <c r="W28" s="27"/>
      <c r="X28" s="27"/>
      <c r="Y28" s="27"/>
      <c r="Z28" s="132"/>
      <c r="AA28" s="27"/>
      <c r="AB28" s="28"/>
      <c r="AC28" s="132"/>
      <c r="AD28" s="132"/>
      <c r="AE28" s="55" t="str">
        <f>"その他→"&amp;COUNTIF(AE5:AE24,"その他")&amp;"戸"</f>
        <v>その他→0戸</v>
      </c>
      <c r="AF28" s="55" t="str">
        <f>"その他→"&amp;COUNTIF(AF5:AF24,"その他")&amp;"戸"</f>
        <v>その他→0戸</v>
      </c>
      <c r="AG28" s="55"/>
      <c r="AH28" s="55"/>
      <c r="AI28" s="132"/>
      <c r="AJ28" s="132"/>
      <c r="AK28" s="132"/>
      <c r="AL28" s="115"/>
      <c r="AM28" s="116"/>
      <c r="AN28" s="116"/>
      <c r="AO28" s="116"/>
      <c r="AP28" s="117"/>
      <c r="AQ28" s="41"/>
    </row>
    <row r="29" spans="1:43" s="2" customFormat="1" x14ac:dyDescent="0.4">
      <c r="A29" s="31"/>
      <c r="AI29" s="52"/>
      <c r="AJ29" s="52"/>
      <c r="AQ29" s="1"/>
    </row>
  </sheetData>
  <autoFilter ref="AI3:AK4" xr:uid="{5CAFCBDF-0187-47B7-AB65-922FBD3EE51A}"/>
  <mergeCells count="47">
    <mergeCell ref="AL21:AP21"/>
    <mergeCell ref="AL22:AP22"/>
    <mergeCell ref="AL23:AP23"/>
    <mergeCell ref="AL24:AP24"/>
    <mergeCell ref="A25:E28"/>
    <mergeCell ref="F25:F28"/>
    <mergeCell ref="AL25:AP28"/>
    <mergeCell ref="AI25:AI28"/>
    <mergeCell ref="AJ25:AJ28"/>
    <mergeCell ref="AK25:AK28"/>
    <mergeCell ref="AC25:AC28"/>
    <mergeCell ref="Z25:Z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D8B531B8-9ECA-414D-BB74-2C0B0D20982D}"/>
  </dataValidations>
  <printOptions horizontalCentered="1" verticalCentered="1"/>
  <pageMargins left="0.11811023622047245" right="0.11811023622047245" top="0.55118110236220474" bottom="0.19685039370078741" header="0.31496062992125984" footer="0.31496062992125984"/>
  <pageSetup paperSize="8" scale="45" orientation="landscape" r:id="rId1"/>
  <colBreaks count="1" manualBreakCount="1">
    <brk id="44" max="1048575"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7A49627F-7A34-4618-8E66-BAE054C86D11}">
          <x14:formula1>
            <xm:f>Sheet1!$G$6:$G$7</xm:f>
          </x14:formula1>
          <xm:sqref>S5:S24 AA5:AA24</xm:sqref>
        </x14:dataValidation>
        <x14:dataValidation type="list" allowBlank="1" showInputMessage="1" showErrorMessage="1" xr:uid="{BDCACC49-5BFB-43DE-8E1F-A953ED1ECC9F}">
          <x14:formula1>
            <xm:f>Sheet1!$I$1:$I$2</xm:f>
          </x14:formula1>
          <xm:sqref>X5:X24</xm:sqref>
        </x14:dataValidation>
        <x14:dataValidation type="list" allowBlank="1" showInputMessage="1" showErrorMessage="1" xr:uid="{B30FF0E1-48A1-41F2-9550-933CA3046D5A}">
          <x14:formula1>
            <xm:f>Sheet1!$G$17:$G$18</xm:f>
          </x14:formula1>
          <xm:sqref>AH5:AH24</xm:sqref>
        </x14:dataValidation>
        <x14:dataValidation type="list" allowBlank="1" showInputMessage="1" showErrorMessage="1" xr:uid="{9EFD7E94-6BFA-448E-8F18-878A711CC474}">
          <x14:formula1>
            <xm:f>Sheet1!$E$17:$E$18</xm:f>
          </x14:formula1>
          <xm:sqref>AG5:AG24</xm:sqref>
        </x14:dataValidation>
        <x14:dataValidation type="list" allowBlank="1" showInputMessage="1" showErrorMessage="1" xr:uid="{C1F79E20-BD1C-4E1E-B217-53CE5C53EE6D}">
          <x14:formula1>
            <xm:f>Sheet1!$G$1:$G$4</xm:f>
          </x14:formula1>
          <xm:sqref>AE5:AF24</xm:sqref>
        </x14:dataValidation>
        <x14:dataValidation type="list" allowBlank="1" showInputMessage="1" showErrorMessage="1" xr:uid="{D5199998-271A-4208-9590-C23CD3C18FAB}">
          <x14:formula1>
            <xm:f>Sheet1!$A$13:$A$15</xm:f>
          </x14:formula1>
          <xm:sqref>AB5:AB24</xm:sqref>
        </x14:dataValidation>
        <x14:dataValidation type="list" allowBlank="1" showInputMessage="1" showErrorMessage="1" xr:uid="{45F54B00-ACFC-4420-84B6-7B4324F7B276}">
          <x14:formula1>
            <xm:f>Sheet1!$C$17:$C$20</xm:f>
          </x14:formula1>
          <xm:sqref>T5:T6 T8:T11 T13:T15 T17:T24</xm:sqref>
        </x14:dataValidation>
        <x14:dataValidation type="list" allowBlank="1" showInputMessage="1" showErrorMessage="1" xr:uid="{0753CB90-52B5-439B-8170-EE989CB94D7A}">
          <x14:formula1>
            <xm:f>Sheet1!$A$17:$A$20</xm:f>
          </x14:formula1>
          <xm:sqref>R5:R8 R10 R24 R16 R14 R22</xm:sqref>
        </x14:dataValidation>
        <x14:dataValidation type="list" allowBlank="1" showInputMessage="1" showErrorMessage="1" xr:uid="{7B525537-305D-4D43-BF63-20E8A818CF11}">
          <x14:formula1>
            <xm:f>Sheet1!$C$6:$C$7</xm:f>
          </x14:formula1>
          <xm:sqref>AJ11:AK24 AC5:AD24 U5:U24 AJ5:AK9 M5:O24</xm:sqref>
        </x14:dataValidation>
        <x14:dataValidation type="list" allowBlank="1" showInputMessage="1" showErrorMessage="1" xr:uid="{50A000FD-C875-4B0A-A6FD-E9916439D420}">
          <x14:formula1>
            <xm:f>Sheet1!$E$9:$E$11</xm:f>
          </x14:formula1>
          <xm:sqref>L5:L24</xm:sqref>
        </x14:dataValidation>
        <x14:dataValidation type="list" allowBlank="1" showInputMessage="1" showErrorMessage="1" xr:uid="{0CE4D311-6B06-4F07-BF31-3E09537CA889}">
          <x14:formula1>
            <xm:f>Sheet1!$G$9:$G$12</xm:f>
          </x14:formula1>
          <xm:sqref>K5:K24</xm:sqref>
        </x14:dataValidation>
        <x14:dataValidation type="list" allowBlank="1" showInputMessage="1" showErrorMessage="1" xr:uid="{F87A0DC4-9344-4A60-A7A5-D5AFA6B35413}">
          <x14:formula1>
            <xm:f>Sheet1!$D$1:$D$3</xm:f>
          </x14:formula1>
          <xm:sqref>J5:J24</xm:sqref>
        </x14:dataValidation>
        <x14:dataValidation type="list" allowBlank="1" showInputMessage="1" showErrorMessage="1" xr:uid="{7E742789-8EC6-4FAD-9098-460E575809EE}">
          <x14:formula1>
            <xm:f>Sheet1!$A$9:$A$11</xm:f>
          </x14:formula1>
          <xm:sqref>V5:V24 P5:P24 I5:I24</xm:sqref>
        </x14:dataValidation>
        <x14:dataValidation type="list" allowBlank="1" showInputMessage="1" showErrorMessage="1" xr:uid="{9789E62C-4977-4A26-BA95-838A45F86127}">
          <x14:formula1>
            <xm:f>Sheet1!$A$6:$A$7</xm:f>
          </x14:formula1>
          <xm:sqref>H5:H24</xm:sqref>
        </x14:dataValidation>
        <x14:dataValidation type="list" allowBlank="1" showInputMessage="1" showErrorMessage="1" xr:uid="{2E4883BE-D5E7-4789-A091-277A7AB447E7}">
          <x14:formula1>
            <xm:f>Sheet1!$A$1:$A$4</xm:f>
          </x14:formula1>
          <xm:sqref>G5:G24</xm:sqref>
        </x14:dataValidation>
        <x14:dataValidation type="list" allowBlank="1" showInputMessage="1" showErrorMessage="1" xr:uid="{B3A8B732-2CD7-4CAC-A239-718234F0B18A}">
          <x14:formula1>
            <xm:f>Sheet1!$C$9:$C$11</xm:f>
          </x14:formula1>
          <xm:sqref>Q5:Q24 W5:W24</xm:sqref>
        </x14:dataValidation>
        <x14:dataValidation type="list" allowBlank="1" showInputMessage="1" showErrorMessage="1" xr:uid="{637AF3EF-4929-493B-8EDA-E91F4B41D006}">
          <x14:formula1>
            <xm:f>Sheet1!$C$6:$C$8</xm:f>
          </x14:formula1>
          <xm:sqref>AI5:AI24 AJ10:AK10</xm:sqref>
        </x14:dataValidation>
        <x14:dataValidation type="list" allowBlank="1" showInputMessage="1" showErrorMessage="1" xr:uid="{72EF09D5-29CD-4F21-B222-6CC8B2C0DA38}">
          <x14:formula1>
            <xm:f>Sheet1!$I$9:$I$13</xm:f>
          </x14:formula1>
          <xm:sqref>Y5:Y24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9EF66-35EA-47EE-9FCD-A5DA491BCEA1}">
  <sheetPr codeName="Sheet7">
    <tabColor rgb="FF92D050"/>
  </sheetPr>
  <dimension ref="A1:AS39"/>
  <sheetViews>
    <sheetView view="pageBreakPreview" zoomScaleNormal="40" zoomScaleSheetLayoutView="70" workbookViewId="0">
      <pane xSplit="5" ySplit="4" topLeftCell="AI29" activePane="bottomRight" state="frozen"/>
      <selection activeCell="N11" sqref="N11"/>
      <selection pane="topRight" activeCell="N11" sqref="N11"/>
      <selection pane="bottomLeft" activeCell="N11" sqref="N11"/>
      <selection pane="bottomRight" activeCell="AI22" sqref="AI22"/>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0" width="9.125" style="2" customWidth="1"/>
    <col min="41" max="41" width="25.25" style="2" customWidth="1"/>
    <col min="42" max="42" width="9.5" style="1" customWidth="1"/>
    <col min="43" max="43" width="10" style="2" customWidth="1"/>
    <col min="44" max="45" width="12" style="2" customWidth="1"/>
    <col min="46" max="50" width="12" style="1" customWidth="1"/>
    <col min="51" max="16384" width="8.625" style="1"/>
  </cols>
  <sheetData>
    <row r="1" spans="1:45"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5"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row>
    <row r="3" spans="1:45"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c r="AS3" s="1"/>
    </row>
    <row r="4" spans="1:45" s="2" customFormat="1" ht="15" customHeight="1" x14ac:dyDescent="0.4">
      <c r="A4" s="83"/>
      <c r="B4" s="84"/>
      <c r="C4" s="86"/>
      <c r="D4" s="89"/>
      <c r="E4" s="90"/>
      <c r="F4" s="84"/>
      <c r="G4" s="86"/>
      <c r="H4" s="86"/>
      <c r="I4" s="5" t="s">
        <v>16</v>
      </c>
      <c r="J4" s="5" t="s">
        <v>27</v>
      </c>
      <c r="K4" s="5" t="s">
        <v>2</v>
      </c>
      <c r="L4" s="5" t="s">
        <v>28</v>
      </c>
      <c r="M4" s="5" t="s">
        <v>14</v>
      </c>
      <c r="N4" s="5" t="s">
        <v>898</v>
      </c>
      <c r="O4" s="5" t="s">
        <v>1015</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5" s="10" customFormat="1" ht="30.75" customHeight="1" x14ac:dyDescent="0.4">
      <c r="A5" s="6">
        <v>7</v>
      </c>
      <c r="B5" s="6">
        <v>101</v>
      </c>
      <c r="C5" s="6" t="s">
        <v>79</v>
      </c>
      <c r="D5" s="18" t="s">
        <v>1170</v>
      </c>
      <c r="E5" s="32" t="s">
        <v>18</v>
      </c>
      <c r="F5" s="46" t="s">
        <v>1171</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84</v>
      </c>
      <c r="W5" s="6" t="s">
        <v>86</v>
      </c>
      <c r="X5" s="16" t="s">
        <v>60</v>
      </c>
      <c r="Y5" s="16" t="s">
        <v>87</v>
      </c>
      <c r="Z5" s="16" t="s">
        <v>1172</v>
      </c>
      <c r="AA5" s="16" t="s">
        <v>65</v>
      </c>
      <c r="AB5" s="7" t="s">
        <v>88</v>
      </c>
      <c r="AC5" s="8" t="s">
        <v>45</v>
      </c>
      <c r="AD5" s="8" t="s">
        <v>23</v>
      </c>
      <c r="AE5" s="8" t="s">
        <v>50</v>
      </c>
      <c r="AF5" s="16" t="s">
        <v>50</v>
      </c>
      <c r="AG5" s="17" t="s">
        <v>60</v>
      </c>
      <c r="AH5" s="17" t="s">
        <v>62</v>
      </c>
      <c r="AI5" s="17" t="s">
        <v>23</v>
      </c>
      <c r="AJ5" s="17" t="s">
        <v>45</v>
      </c>
      <c r="AK5" s="9" t="s">
        <v>45</v>
      </c>
      <c r="AL5" s="140" t="s">
        <v>1173</v>
      </c>
      <c r="AM5" s="141"/>
      <c r="AN5" s="141"/>
      <c r="AO5" s="141"/>
      <c r="AP5" s="142"/>
    </row>
    <row r="6" spans="1:45" s="14" customFormat="1" ht="36.75" customHeight="1" x14ac:dyDescent="0.4">
      <c r="A6" s="11">
        <v>7</v>
      </c>
      <c r="B6" s="11">
        <v>201</v>
      </c>
      <c r="C6" s="11" t="s">
        <v>79</v>
      </c>
      <c r="D6" s="13" t="s">
        <v>1174</v>
      </c>
      <c r="E6" s="33" t="s">
        <v>18</v>
      </c>
      <c r="F6" s="11" t="s">
        <v>1175</v>
      </c>
      <c r="G6" s="11" t="s">
        <v>43</v>
      </c>
      <c r="H6" s="11" t="s">
        <v>52</v>
      </c>
      <c r="I6" s="11" t="s">
        <v>84</v>
      </c>
      <c r="J6" s="11" t="s">
        <v>85</v>
      </c>
      <c r="K6" s="11" t="s">
        <v>60</v>
      </c>
      <c r="L6" s="11" t="s">
        <v>92</v>
      </c>
      <c r="M6" s="11" t="s">
        <v>45</v>
      </c>
      <c r="N6" s="11" t="s">
        <v>45</v>
      </c>
      <c r="O6" s="11" t="s">
        <v>45</v>
      </c>
      <c r="P6" s="11" t="s">
        <v>84</v>
      </c>
      <c r="Q6" s="11" t="s">
        <v>86</v>
      </c>
      <c r="R6" s="11">
        <v>750</v>
      </c>
      <c r="S6" s="40" t="s">
        <v>39</v>
      </c>
      <c r="T6" s="11">
        <v>900</v>
      </c>
      <c r="U6" s="11" t="s">
        <v>45</v>
      </c>
      <c r="V6" s="11" t="s">
        <v>84</v>
      </c>
      <c r="W6" s="11" t="s">
        <v>86</v>
      </c>
      <c r="X6" s="40" t="s">
        <v>60</v>
      </c>
      <c r="Y6" s="40" t="s">
        <v>87</v>
      </c>
      <c r="Z6" s="40" t="s">
        <v>1176</v>
      </c>
      <c r="AA6" s="40" t="s">
        <v>65</v>
      </c>
      <c r="AB6" s="12" t="s">
        <v>88</v>
      </c>
      <c r="AC6" s="11" t="s">
        <v>45</v>
      </c>
      <c r="AD6" s="11" t="s">
        <v>45</v>
      </c>
      <c r="AE6" s="11" t="s">
        <v>116</v>
      </c>
      <c r="AF6" s="11" t="s">
        <v>50</v>
      </c>
      <c r="AG6" s="13" t="s">
        <v>60</v>
      </c>
      <c r="AH6" s="13" t="s">
        <v>62</v>
      </c>
      <c r="AI6" s="13" t="s">
        <v>45</v>
      </c>
      <c r="AJ6" s="13" t="s">
        <v>45</v>
      </c>
      <c r="AK6" s="13" t="s">
        <v>23</v>
      </c>
      <c r="AL6" s="133" t="s">
        <v>1415</v>
      </c>
      <c r="AM6" s="134"/>
      <c r="AN6" s="134"/>
      <c r="AO6" s="134"/>
      <c r="AP6" s="135"/>
    </row>
    <row r="7" spans="1:45" s="10" customFormat="1" ht="30.75" customHeight="1" x14ac:dyDescent="0.4">
      <c r="A7" s="6">
        <v>7</v>
      </c>
      <c r="B7" s="6">
        <v>301</v>
      </c>
      <c r="C7" s="6" t="s">
        <v>79</v>
      </c>
      <c r="D7" s="18" t="s">
        <v>1165</v>
      </c>
      <c r="E7" s="34" t="s">
        <v>18</v>
      </c>
      <c r="F7" s="46" t="s">
        <v>1166</v>
      </c>
      <c r="G7" s="6" t="s">
        <v>43</v>
      </c>
      <c r="H7" s="6" t="s">
        <v>52</v>
      </c>
      <c r="I7" s="6" t="s">
        <v>84</v>
      </c>
      <c r="J7" s="6" t="s">
        <v>85</v>
      </c>
      <c r="K7" s="6" t="s">
        <v>60</v>
      </c>
      <c r="L7" s="6" t="s">
        <v>92</v>
      </c>
      <c r="M7" s="6" t="s">
        <v>45</v>
      </c>
      <c r="N7" s="6" t="s">
        <v>45</v>
      </c>
      <c r="O7" s="6" t="s">
        <v>45</v>
      </c>
      <c r="P7" s="6" t="s">
        <v>84</v>
      </c>
      <c r="Q7" s="6" t="s">
        <v>86</v>
      </c>
      <c r="R7" s="6">
        <v>750</v>
      </c>
      <c r="S7" s="6" t="s">
        <v>39</v>
      </c>
      <c r="T7" s="6">
        <v>900</v>
      </c>
      <c r="U7" s="6" t="s">
        <v>45</v>
      </c>
      <c r="V7" s="6" t="s">
        <v>84</v>
      </c>
      <c r="W7" s="6" t="s">
        <v>86</v>
      </c>
      <c r="X7" s="6" t="s">
        <v>60</v>
      </c>
      <c r="Y7" s="6" t="s">
        <v>1167</v>
      </c>
      <c r="Z7" s="6" t="s">
        <v>1168</v>
      </c>
      <c r="AA7" s="6" t="s">
        <v>65</v>
      </c>
      <c r="AB7" s="15" t="s">
        <v>19</v>
      </c>
      <c r="AC7" s="16" t="s">
        <v>23</v>
      </c>
      <c r="AD7" s="16" t="s">
        <v>23</v>
      </c>
      <c r="AE7" s="16" t="s">
        <v>50</v>
      </c>
      <c r="AF7" s="16" t="s">
        <v>50</v>
      </c>
      <c r="AG7" s="17" t="s">
        <v>60</v>
      </c>
      <c r="AH7" s="17" t="s">
        <v>62</v>
      </c>
      <c r="AI7" s="17" t="s">
        <v>45</v>
      </c>
      <c r="AJ7" s="17" t="s">
        <v>23</v>
      </c>
      <c r="AK7" s="17" t="s">
        <v>23</v>
      </c>
      <c r="AL7" s="78" t="s">
        <v>1416</v>
      </c>
      <c r="AM7" s="79"/>
      <c r="AN7" s="79"/>
      <c r="AO7" s="79"/>
      <c r="AP7" s="80"/>
    </row>
    <row r="8" spans="1:45" s="14" customFormat="1" ht="15" customHeight="1" x14ac:dyDescent="0.4">
      <c r="A8" s="11">
        <v>7</v>
      </c>
      <c r="B8" s="11">
        <v>401</v>
      </c>
      <c r="C8" s="11" t="s">
        <v>79</v>
      </c>
      <c r="D8" s="13" t="s">
        <v>1153</v>
      </c>
      <c r="E8" s="33" t="s">
        <v>18</v>
      </c>
      <c r="F8" s="11" t="s">
        <v>1154</v>
      </c>
      <c r="G8" s="11" t="s">
        <v>43</v>
      </c>
      <c r="H8" s="11" t="s">
        <v>52</v>
      </c>
      <c r="I8" s="11" t="s">
        <v>84</v>
      </c>
      <c r="J8" s="11" t="s">
        <v>85</v>
      </c>
      <c r="K8" s="11" t="s">
        <v>60</v>
      </c>
      <c r="L8" s="11" t="s">
        <v>92</v>
      </c>
      <c r="M8" s="11" t="s">
        <v>45</v>
      </c>
      <c r="N8" s="11" t="s">
        <v>45</v>
      </c>
      <c r="O8" s="11" t="s">
        <v>23</v>
      </c>
      <c r="P8" s="11" t="s">
        <v>84</v>
      </c>
      <c r="Q8" s="11" t="s">
        <v>86</v>
      </c>
      <c r="R8" s="11">
        <v>740</v>
      </c>
      <c r="S8" s="40" t="s">
        <v>39</v>
      </c>
      <c r="T8" s="11">
        <v>900</v>
      </c>
      <c r="U8" s="11" t="s">
        <v>45</v>
      </c>
      <c r="V8" s="11" t="s">
        <v>84</v>
      </c>
      <c r="W8" s="11" t="s">
        <v>86</v>
      </c>
      <c r="X8" s="40" t="s">
        <v>60</v>
      </c>
      <c r="Y8" s="40" t="s">
        <v>87</v>
      </c>
      <c r="Z8" s="40" t="s">
        <v>1155</v>
      </c>
      <c r="AA8" s="40" t="s">
        <v>65</v>
      </c>
      <c r="AB8" s="12" t="s">
        <v>19</v>
      </c>
      <c r="AC8" s="11" t="s">
        <v>45</v>
      </c>
      <c r="AD8" s="11" t="s">
        <v>45</v>
      </c>
      <c r="AE8" s="11" t="s">
        <v>116</v>
      </c>
      <c r="AF8" s="11" t="s">
        <v>50</v>
      </c>
      <c r="AG8" s="13" t="s">
        <v>60</v>
      </c>
      <c r="AH8" s="13" t="s">
        <v>62</v>
      </c>
      <c r="AI8" s="13" t="s">
        <v>45</v>
      </c>
      <c r="AJ8" s="13" t="s">
        <v>45</v>
      </c>
      <c r="AK8" s="13" t="s">
        <v>23</v>
      </c>
      <c r="AL8" s="94" t="s">
        <v>1417</v>
      </c>
      <c r="AM8" s="95"/>
      <c r="AN8" s="95"/>
      <c r="AO8" s="95"/>
      <c r="AP8" s="96"/>
    </row>
    <row r="9" spans="1:45" s="10" customFormat="1" ht="42" customHeight="1" x14ac:dyDescent="0.4">
      <c r="A9" s="6">
        <v>7</v>
      </c>
      <c r="B9" s="6">
        <v>501</v>
      </c>
      <c r="C9" s="6" t="s">
        <v>79</v>
      </c>
      <c r="D9" s="18" t="s">
        <v>2370</v>
      </c>
      <c r="E9" s="34" t="s">
        <v>18</v>
      </c>
      <c r="F9" s="6" t="s">
        <v>2371</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60</v>
      </c>
      <c r="Y9" s="6" t="s">
        <v>87</v>
      </c>
      <c r="Z9" s="6" t="s">
        <v>2372</v>
      </c>
      <c r="AA9" s="6" t="s">
        <v>39</v>
      </c>
      <c r="AB9" s="15" t="s">
        <v>19</v>
      </c>
      <c r="AC9" s="16" t="s">
        <v>45</v>
      </c>
      <c r="AD9" s="16" t="s">
        <v>45</v>
      </c>
      <c r="AE9" s="16" t="s">
        <v>116</v>
      </c>
      <c r="AF9" s="16" t="s">
        <v>50</v>
      </c>
      <c r="AG9" s="17" t="s">
        <v>60</v>
      </c>
      <c r="AH9" s="17" t="s">
        <v>62</v>
      </c>
      <c r="AI9" s="17" t="s">
        <v>45</v>
      </c>
      <c r="AJ9" s="17" t="s">
        <v>45</v>
      </c>
      <c r="AK9" s="17" t="s">
        <v>23</v>
      </c>
      <c r="AL9" s="106" t="s">
        <v>2373</v>
      </c>
      <c r="AM9" s="107"/>
      <c r="AN9" s="107"/>
      <c r="AO9" s="107"/>
      <c r="AP9" s="108"/>
    </row>
    <row r="10" spans="1:45" s="14" customFormat="1" ht="31.5" customHeight="1" x14ac:dyDescent="0.4">
      <c r="A10" s="11">
        <v>7</v>
      </c>
      <c r="B10" s="11">
        <v>102</v>
      </c>
      <c r="C10" s="11" t="s">
        <v>79</v>
      </c>
      <c r="D10" s="13" t="s">
        <v>1973</v>
      </c>
      <c r="E10" s="33" t="s">
        <v>18</v>
      </c>
      <c r="F10" s="45" t="s">
        <v>1974</v>
      </c>
      <c r="G10" s="11" t="s">
        <v>43</v>
      </c>
      <c r="H10" s="11" t="s">
        <v>52</v>
      </c>
      <c r="I10" s="11" t="s">
        <v>84</v>
      </c>
      <c r="J10" s="11" t="s">
        <v>85</v>
      </c>
      <c r="K10" s="11" t="s">
        <v>19</v>
      </c>
      <c r="L10" s="11" t="s">
        <v>24</v>
      </c>
      <c r="M10" s="11" t="s">
        <v>45</v>
      </c>
      <c r="N10" s="11" t="s">
        <v>45</v>
      </c>
      <c r="O10" s="11" t="s">
        <v>23</v>
      </c>
      <c r="P10" s="11" t="s">
        <v>84</v>
      </c>
      <c r="Q10" s="11" t="s">
        <v>86</v>
      </c>
      <c r="R10" s="11">
        <v>750</v>
      </c>
      <c r="S10" s="40" t="s">
        <v>39</v>
      </c>
      <c r="T10" s="11">
        <v>900</v>
      </c>
      <c r="U10" s="11" t="s">
        <v>45</v>
      </c>
      <c r="V10" s="11" t="s">
        <v>84</v>
      </c>
      <c r="W10" s="11" t="s">
        <v>86</v>
      </c>
      <c r="X10" s="40" t="s">
        <v>60</v>
      </c>
      <c r="Y10" s="40" t="s">
        <v>87</v>
      </c>
      <c r="Z10" s="40" t="s">
        <v>1975</v>
      </c>
      <c r="AA10" s="40" t="s">
        <v>39</v>
      </c>
      <c r="AB10" s="12" t="s">
        <v>19</v>
      </c>
      <c r="AC10" s="11" t="s">
        <v>45</v>
      </c>
      <c r="AD10" s="11" t="s">
        <v>45</v>
      </c>
      <c r="AE10" s="11" t="s">
        <v>116</v>
      </c>
      <c r="AF10" s="11" t="s">
        <v>50</v>
      </c>
      <c r="AG10" s="13" t="s">
        <v>60</v>
      </c>
      <c r="AH10" s="13" t="s">
        <v>62</v>
      </c>
      <c r="AI10" s="13" t="s">
        <v>45</v>
      </c>
      <c r="AJ10" s="13" t="s">
        <v>23</v>
      </c>
      <c r="AK10" s="13" t="s">
        <v>45</v>
      </c>
      <c r="AL10" s="133" t="s">
        <v>1976</v>
      </c>
      <c r="AM10" s="134"/>
      <c r="AN10" s="134"/>
      <c r="AO10" s="134"/>
      <c r="AP10" s="135"/>
    </row>
    <row r="11" spans="1:45" s="10" customFormat="1" ht="15" customHeight="1" x14ac:dyDescent="0.4">
      <c r="A11" s="6">
        <v>7</v>
      </c>
      <c r="B11" s="6">
        <v>202</v>
      </c>
      <c r="C11" s="6" t="s">
        <v>79</v>
      </c>
      <c r="D11" s="18" t="s">
        <v>1177</v>
      </c>
      <c r="E11" s="34" t="s">
        <v>18</v>
      </c>
      <c r="F11" s="6" t="s">
        <v>1178</v>
      </c>
      <c r="G11" s="6" t="s">
        <v>43</v>
      </c>
      <c r="H11" s="6" t="s">
        <v>52</v>
      </c>
      <c r="I11" s="6" t="s">
        <v>84</v>
      </c>
      <c r="J11" s="6" t="s">
        <v>85</v>
      </c>
      <c r="K11" s="6" t="s">
        <v>60</v>
      </c>
      <c r="L11" s="6" t="s">
        <v>92</v>
      </c>
      <c r="M11" s="6" t="s">
        <v>45</v>
      </c>
      <c r="N11" s="6" t="s">
        <v>45</v>
      </c>
      <c r="O11" s="6" t="s">
        <v>45</v>
      </c>
      <c r="P11" s="6" t="s">
        <v>84</v>
      </c>
      <c r="Q11" s="6" t="s">
        <v>86</v>
      </c>
      <c r="R11" s="6">
        <v>900</v>
      </c>
      <c r="S11" s="6" t="s">
        <v>39</v>
      </c>
      <c r="T11" s="6">
        <v>900</v>
      </c>
      <c r="U11" s="6" t="s">
        <v>45</v>
      </c>
      <c r="V11" s="6" t="s">
        <v>84</v>
      </c>
      <c r="W11" s="6" t="s">
        <v>86</v>
      </c>
      <c r="X11" s="6" t="s">
        <v>60</v>
      </c>
      <c r="Y11" s="6" t="s">
        <v>87</v>
      </c>
      <c r="Z11" s="6" t="s">
        <v>1179</v>
      </c>
      <c r="AA11" s="6" t="s">
        <v>65</v>
      </c>
      <c r="AB11" s="15" t="s">
        <v>19</v>
      </c>
      <c r="AC11" s="16" t="s">
        <v>45</v>
      </c>
      <c r="AD11" s="16" t="s">
        <v>23</v>
      </c>
      <c r="AE11" s="16" t="s">
        <v>50</v>
      </c>
      <c r="AF11" s="16" t="s">
        <v>50</v>
      </c>
      <c r="AG11" s="17" t="s">
        <v>60</v>
      </c>
      <c r="AH11" s="17" t="s">
        <v>62</v>
      </c>
      <c r="AI11" s="17" t="s">
        <v>45</v>
      </c>
      <c r="AJ11" s="17" t="s">
        <v>45</v>
      </c>
      <c r="AK11" s="17" t="s">
        <v>45</v>
      </c>
      <c r="AL11" s="78" t="s">
        <v>1180</v>
      </c>
      <c r="AM11" s="79"/>
      <c r="AN11" s="79"/>
      <c r="AO11" s="79"/>
      <c r="AP11" s="80"/>
    </row>
    <row r="12" spans="1:45" s="14" customFormat="1" ht="15" customHeight="1" x14ac:dyDescent="0.4">
      <c r="A12" s="11">
        <v>7</v>
      </c>
      <c r="B12" s="11">
        <v>302</v>
      </c>
      <c r="C12" s="11" t="s">
        <v>79</v>
      </c>
      <c r="D12" s="13" t="s">
        <v>1013</v>
      </c>
      <c r="E12" s="33" t="s">
        <v>18</v>
      </c>
      <c r="F12" s="11" t="s">
        <v>1014</v>
      </c>
      <c r="G12" s="11" t="s">
        <v>43</v>
      </c>
      <c r="H12" s="11" t="s">
        <v>52</v>
      </c>
      <c r="I12" s="11" t="s">
        <v>84</v>
      </c>
      <c r="J12" s="11" t="s">
        <v>85</v>
      </c>
      <c r="K12" s="11" t="s">
        <v>60</v>
      </c>
      <c r="L12" s="11" t="s">
        <v>92</v>
      </c>
      <c r="M12" s="11" t="s">
        <v>45</v>
      </c>
      <c r="N12" s="11" t="s">
        <v>45</v>
      </c>
      <c r="O12" s="11" t="s">
        <v>23</v>
      </c>
      <c r="P12" s="11" t="s">
        <v>84</v>
      </c>
      <c r="Q12" s="11" t="s">
        <v>86</v>
      </c>
      <c r="R12" s="11">
        <v>740</v>
      </c>
      <c r="S12" s="40" t="s">
        <v>39</v>
      </c>
      <c r="T12" s="11">
        <v>900</v>
      </c>
      <c r="U12" s="11" t="s">
        <v>45</v>
      </c>
      <c r="V12" s="11" t="s">
        <v>84</v>
      </c>
      <c r="W12" s="11" t="s">
        <v>86</v>
      </c>
      <c r="X12" s="40" t="s">
        <v>60</v>
      </c>
      <c r="Y12" s="40" t="s">
        <v>87</v>
      </c>
      <c r="Z12" s="40" t="s">
        <v>1016</v>
      </c>
      <c r="AA12" s="40" t="s">
        <v>65</v>
      </c>
      <c r="AB12" s="12" t="s">
        <v>19</v>
      </c>
      <c r="AC12" s="11" t="s">
        <v>45</v>
      </c>
      <c r="AD12" s="11" t="s">
        <v>45</v>
      </c>
      <c r="AE12" s="11" t="s">
        <v>116</v>
      </c>
      <c r="AF12" s="11" t="s">
        <v>50</v>
      </c>
      <c r="AG12" s="13" t="s">
        <v>60</v>
      </c>
      <c r="AH12" s="13" t="s">
        <v>62</v>
      </c>
      <c r="AI12" s="13" t="s">
        <v>45</v>
      </c>
      <c r="AJ12" s="13" t="s">
        <v>45</v>
      </c>
      <c r="AK12" s="13" t="s">
        <v>45</v>
      </c>
      <c r="AL12" s="94" t="s">
        <v>1017</v>
      </c>
      <c r="AM12" s="95"/>
      <c r="AN12" s="95"/>
      <c r="AO12" s="95"/>
      <c r="AP12" s="96"/>
    </row>
    <row r="13" spans="1:45" s="10" customFormat="1" ht="15" customHeight="1" x14ac:dyDescent="0.4">
      <c r="A13" s="6">
        <v>7</v>
      </c>
      <c r="B13" s="6">
        <v>402</v>
      </c>
      <c r="C13" s="6" t="s">
        <v>79</v>
      </c>
      <c r="D13" s="18" t="s">
        <v>1291</v>
      </c>
      <c r="E13" s="34" t="s">
        <v>18</v>
      </c>
      <c r="F13" s="6" t="s">
        <v>1292</v>
      </c>
      <c r="G13" s="6" t="s">
        <v>43</v>
      </c>
      <c r="H13" s="6" t="s">
        <v>52</v>
      </c>
      <c r="I13" s="6" t="s">
        <v>84</v>
      </c>
      <c r="J13" s="6" t="s">
        <v>85</v>
      </c>
      <c r="K13" s="6" t="s">
        <v>60</v>
      </c>
      <c r="L13" s="6" t="s">
        <v>92</v>
      </c>
      <c r="M13" s="6" t="s">
        <v>45</v>
      </c>
      <c r="N13" s="6" t="s">
        <v>45</v>
      </c>
      <c r="O13" s="6" t="s">
        <v>23</v>
      </c>
      <c r="P13" s="6" t="s">
        <v>84</v>
      </c>
      <c r="Q13" s="6" t="s">
        <v>86</v>
      </c>
      <c r="R13" s="6">
        <v>740</v>
      </c>
      <c r="S13" s="6" t="s">
        <v>39</v>
      </c>
      <c r="T13" s="6">
        <v>900</v>
      </c>
      <c r="U13" s="6" t="s">
        <v>45</v>
      </c>
      <c r="V13" s="6" t="s">
        <v>84</v>
      </c>
      <c r="W13" s="6" t="s">
        <v>86</v>
      </c>
      <c r="X13" s="6" t="s">
        <v>60</v>
      </c>
      <c r="Y13" s="6" t="s">
        <v>87</v>
      </c>
      <c r="Z13" s="6" t="s">
        <v>1293</v>
      </c>
      <c r="AA13" s="6" t="s">
        <v>65</v>
      </c>
      <c r="AB13" s="15" t="s">
        <v>88</v>
      </c>
      <c r="AC13" s="16" t="s">
        <v>45</v>
      </c>
      <c r="AD13" s="16" t="s">
        <v>45</v>
      </c>
      <c r="AE13" s="16" t="s">
        <v>116</v>
      </c>
      <c r="AF13" s="16" t="s">
        <v>50</v>
      </c>
      <c r="AG13" s="17" t="s">
        <v>60</v>
      </c>
      <c r="AH13" s="17" t="s">
        <v>62</v>
      </c>
      <c r="AI13" s="17" t="s">
        <v>45</v>
      </c>
      <c r="AJ13" s="17" t="s">
        <v>45</v>
      </c>
      <c r="AK13" s="17" t="s">
        <v>45</v>
      </c>
      <c r="AL13" s="78" t="s">
        <v>1294</v>
      </c>
      <c r="AM13" s="79"/>
      <c r="AN13" s="79"/>
      <c r="AO13" s="79"/>
      <c r="AP13" s="80"/>
    </row>
    <row r="14" spans="1:45" s="14" customFormat="1" ht="15" customHeight="1" x14ac:dyDescent="0.4">
      <c r="A14" s="11">
        <v>7</v>
      </c>
      <c r="B14" s="11">
        <v>502</v>
      </c>
      <c r="C14" s="11" t="s">
        <v>79</v>
      </c>
      <c r="D14" s="13" t="s">
        <v>1150</v>
      </c>
      <c r="E14" s="33" t="s">
        <v>18</v>
      </c>
      <c r="F14" s="11" t="s">
        <v>1151</v>
      </c>
      <c r="G14" s="11" t="s">
        <v>43</v>
      </c>
      <c r="H14" s="11" t="s">
        <v>52</v>
      </c>
      <c r="I14" s="11" t="s">
        <v>84</v>
      </c>
      <c r="J14" s="11" t="s">
        <v>85</v>
      </c>
      <c r="K14" s="11" t="s">
        <v>19</v>
      </c>
      <c r="L14" s="11" t="s">
        <v>24</v>
      </c>
      <c r="M14" s="11" t="s">
        <v>45</v>
      </c>
      <c r="N14" s="11" t="s">
        <v>45</v>
      </c>
      <c r="O14" s="11" t="s">
        <v>23</v>
      </c>
      <c r="P14" s="11" t="s">
        <v>84</v>
      </c>
      <c r="Q14" s="11" t="s">
        <v>86</v>
      </c>
      <c r="R14" s="11">
        <v>750</v>
      </c>
      <c r="S14" s="40" t="s">
        <v>39</v>
      </c>
      <c r="T14" s="11">
        <v>900</v>
      </c>
      <c r="U14" s="11" t="s">
        <v>45</v>
      </c>
      <c r="V14" s="11" t="s">
        <v>84</v>
      </c>
      <c r="W14" s="11" t="s">
        <v>86</v>
      </c>
      <c r="X14" s="40" t="s">
        <v>19</v>
      </c>
      <c r="Y14" s="40"/>
      <c r="Z14" s="40"/>
      <c r="AA14" s="40" t="s">
        <v>65</v>
      </c>
      <c r="AB14" s="12" t="s">
        <v>88</v>
      </c>
      <c r="AC14" s="11" t="s">
        <v>45</v>
      </c>
      <c r="AD14" s="11" t="s">
        <v>45</v>
      </c>
      <c r="AE14" s="11" t="s">
        <v>50</v>
      </c>
      <c r="AF14" s="11" t="s">
        <v>50</v>
      </c>
      <c r="AG14" s="13" t="s">
        <v>60</v>
      </c>
      <c r="AH14" s="13" t="s">
        <v>62</v>
      </c>
      <c r="AI14" s="13" t="s">
        <v>45</v>
      </c>
      <c r="AJ14" s="13" t="s">
        <v>23</v>
      </c>
      <c r="AK14" s="13" t="s">
        <v>45</v>
      </c>
      <c r="AL14" s="94" t="s">
        <v>1152</v>
      </c>
      <c r="AM14" s="95"/>
      <c r="AN14" s="95"/>
      <c r="AO14" s="95"/>
      <c r="AP14" s="96"/>
    </row>
    <row r="15" spans="1:45" s="10" customFormat="1" ht="15" customHeight="1" x14ac:dyDescent="0.4">
      <c r="A15" s="6">
        <v>7</v>
      </c>
      <c r="B15" s="6">
        <v>103</v>
      </c>
      <c r="C15" s="6" t="s">
        <v>79</v>
      </c>
      <c r="D15" s="18" t="s">
        <v>1229</v>
      </c>
      <c r="E15" s="34" t="s">
        <v>18</v>
      </c>
      <c r="F15" s="6" t="s">
        <v>1230</v>
      </c>
      <c r="G15" s="6" t="s">
        <v>43</v>
      </c>
      <c r="H15" s="6" t="s">
        <v>52</v>
      </c>
      <c r="I15" s="6" t="s">
        <v>84</v>
      </c>
      <c r="J15" s="6" t="s">
        <v>85</v>
      </c>
      <c r="K15" s="6" t="s">
        <v>60</v>
      </c>
      <c r="L15" s="6" t="s">
        <v>92</v>
      </c>
      <c r="M15" s="6" t="s">
        <v>45</v>
      </c>
      <c r="N15" s="6" t="s">
        <v>45</v>
      </c>
      <c r="O15" s="6" t="s">
        <v>45</v>
      </c>
      <c r="P15" s="6" t="s">
        <v>84</v>
      </c>
      <c r="Q15" s="6" t="s">
        <v>86</v>
      </c>
      <c r="R15" s="6">
        <v>750</v>
      </c>
      <c r="S15" s="6" t="s">
        <v>39</v>
      </c>
      <c r="T15" s="6">
        <v>800</v>
      </c>
      <c r="U15" s="6" t="s">
        <v>45</v>
      </c>
      <c r="V15" s="6" t="s">
        <v>84</v>
      </c>
      <c r="W15" s="6" t="s">
        <v>86</v>
      </c>
      <c r="X15" s="6" t="s">
        <v>60</v>
      </c>
      <c r="Y15" s="6" t="s">
        <v>1231</v>
      </c>
      <c r="Z15" s="6"/>
      <c r="AA15" s="6" t="s">
        <v>65</v>
      </c>
      <c r="AB15" s="15" t="s">
        <v>88</v>
      </c>
      <c r="AC15" s="16" t="s">
        <v>45</v>
      </c>
      <c r="AD15" s="16" t="s">
        <v>23</v>
      </c>
      <c r="AE15" s="16" t="s">
        <v>50</v>
      </c>
      <c r="AF15" s="16" t="s">
        <v>50</v>
      </c>
      <c r="AG15" s="17" t="s">
        <v>60</v>
      </c>
      <c r="AH15" s="17" t="s">
        <v>62</v>
      </c>
      <c r="AI15" s="17" t="s">
        <v>45</v>
      </c>
      <c r="AJ15" s="17" t="s">
        <v>45</v>
      </c>
      <c r="AK15" s="17" t="s">
        <v>45</v>
      </c>
      <c r="AL15" s="78" t="s">
        <v>1232</v>
      </c>
      <c r="AM15" s="79"/>
      <c r="AN15" s="79"/>
      <c r="AO15" s="79"/>
      <c r="AP15" s="80"/>
    </row>
    <row r="16" spans="1:45" s="14" customFormat="1" ht="67.5" customHeight="1" x14ac:dyDescent="0.4">
      <c r="A16" s="11">
        <v>7</v>
      </c>
      <c r="B16" s="11">
        <v>203</v>
      </c>
      <c r="C16" s="11" t="s">
        <v>79</v>
      </c>
      <c r="D16" s="13" t="s">
        <v>1233</v>
      </c>
      <c r="E16" s="33" t="s">
        <v>18</v>
      </c>
      <c r="F16" s="11" t="s">
        <v>1234</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1235</v>
      </c>
      <c r="AA16" s="40" t="s">
        <v>65</v>
      </c>
      <c r="AB16" s="12" t="s">
        <v>88</v>
      </c>
      <c r="AC16" s="11" t="s">
        <v>45</v>
      </c>
      <c r="AD16" s="11" t="s">
        <v>45</v>
      </c>
      <c r="AE16" s="11" t="s">
        <v>50</v>
      </c>
      <c r="AF16" s="11" t="s">
        <v>50</v>
      </c>
      <c r="AG16" s="13" t="s">
        <v>60</v>
      </c>
      <c r="AH16" s="13" t="s">
        <v>62</v>
      </c>
      <c r="AI16" s="13" t="s">
        <v>45</v>
      </c>
      <c r="AJ16" s="13" t="s">
        <v>45</v>
      </c>
      <c r="AK16" s="13" t="s">
        <v>45</v>
      </c>
      <c r="AL16" s="133" t="s">
        <v>1418</v>
      </c>
      <c r="AM16" s="134"/>
      <c r="AN16" s="134"/>
      <c r="AO16" s="134"/>
      <c r="AP16" s="135"/>
    </row>
    <row r="17" spans="1:42" s="10" customFormat="1" ht="59.25" customHeight="1" x14ac:dyDescent="0.4">
      <c r="A17" s="6">
        <v>7</v>
      </c>
      <c r="B17" s="6">
        <v>303</v>
      </c>
      <c r="C17" s="6" t="s">
        <v>79</v>
      </c>
      <c r="D17" s="18" t="s">
        <v>1312</v>
      </c>
      <c r="E17" s="34" t="s">
        <v>18</v>
      </c>
      <c r="F17" s="46" t="s">
        <v>1313</v>
      </c>
      <c r="G17" s="6" t="s">
        <v>43</v>
      </c>
      <c r="H17" s="6" t="s">
        <v>52</v>
      </c>
      <c r="I17" s="6" t="s">
        <v>84</v>
      </c>
      <c r="J17" s="6" t="s">
        <v>85</v>
      </c>
      <c r="K17" s="6" t="s">
        <v>60</v>
      </c>
      <c r="L17" s="6" t="s">
        <v>92</v>
      </c>
      <c r="M17" s="6" t="s">
        <v>45</v>
      </c>
      <c r="N17" s="6" t="s">
        <v>45</v>
      </c>
      <c r="O17" s="6" t="s">
        <v>45</v>
      </c>
      <c r="P17" s="6" t="s">
        <v>84</v>
      </c>
      <c r="Q17" s="6" t="s">
        <v>86</v>
      </c>
      <c r="R17" s="6">
        <v>750</v>
      </c>
      <c r="S17" s="6" t="s">
        <v>39</v>
      </c>
      <c r="T17" s="6">
        <v>900</v>
      </c>
      <c r="U17" s="6" t="s">
        <v>45</v>
      </c>
      <c r="V17" s="6" t="s">
        <v>84</v>
      </c>
      <c r="W17" s="6" t="s">
        <v>86</v>
      </c>
      <c r="X17" s="6" t="s">
        <v>60</v>
      </c>
      <c r="Y17" s="6" t="s">
        <v>87</v>
      </c>
      <c r="Z17" s="6"/>
      <c r="AA17" s="6" t="s">
        <v>39</v>
      </c>
      <c r="AB17" s="15" t="s">
        <v>19</v>
      </c>
      <c r="AC17" s="16" t="s">
        <v>45</v>
      </c>
      <c r="AD17" s="16" t="s">
        <v>45</v>
      </c>
      <c r="AE17" s="16" t="s">
        <v>116</v>
      </c>
      <c r="AF17" s="16" t="s">
        <v>50</v>
      </c>
      <c r="AG17" s="17" t="s">
        <v>60</v>
      </c>
      <c r="AH17" s="17" t="s">
        <v>62</v>
      </c>
      <c r="AI17" s="17" t="s">
        <v>45</v>
      </c>
      <c r="AJ17" s="17" t="s">
        <v>45</v>
      </c>
      <c r="AK17" s="17" t="s">
        <v>45</v>
      </c>
      <c r="AL17" s="106" t="s">
        <v>1315</v>
      </c>
      <c r="AM17" s="107"/>
      <c r="AN17" s="107"/>
      <c r="AO17" s="107"/>
      <c r="AP17" s="108"/>
    </row>
    <row r="18" spans="1:42" s="14" customFormat="1" ht="39.75" customHeight="1" x14ac:dyDescent="0.4">
      <c r="A18" s="11">
        <v>7</v>
      </c>
      <c r="B18" s="11">
        <v>403</v>
      </c>
      <c r="C18" s="11" t="s">
        <v>79</v>
      </c>
      <c r="D18" s="13" t="s">
        <v>1193</v>
      </c>
      <c r="E18" s="33" t="s">
        <v>18</v>
      </c>
      <c r="F18" s="45" t="s">
        <v>1194</v>
      </c>
      <c r="G18" s="11" t="s">
        <v>43</v>
      </c>
      <c r="H18" s="11" t="s">
        <v>52</v>
      </c>
      <c r="I18" s="11" t="s">
        <v>84</v>
      </c>
      <c r="J18" s="11" t="s">
        <v>85</v>
      </c>
      <c r="K18" s="11" t="s">
        <v>19</v>
      </c>
      <c r="L18" s="11" t="s">
        <v>24</v>
      </c>
      <c r="M18" s="11" t="s">
        <v>45</v>
      </c>
      <c r="N18" s="11" t="s">
        <v>45</v>
      </c>
      <c r="O18" s="11" t="s">
        <v>23</v>
      </c>
      <c r="P18" s="11" t="s">
        <v>84</v>
      </c>
      <c r="Q18" s="11" t="s">
        <v>86</v>
      </c>
      <c r="R18" s="11">
        <v>750</v>
      </c>
      <c r="S18" s="40" t="s">
        <v>39</v>
      </c>
      <c r="T18" s="11">
        <v>900</v>
      </c>
      <c r="U18" s="11" t="s">
        <v>45</v>
      </c>
      <c r="V18" s="11" t="s">
        <v>84</v>
      </c>
      <c r="W18" s="11" t="s">
        <v>86</v>
      </c>
      <c r="X18" s="40" t="s">
        <v>19</v>
      </c>
      <c r="Y18" s="40"/>
      <c r="Z18" s="40"/>
      <c r="AA18" s="40" t="s">
        <v>65</v>
      </c>
      <c r="AB18" s="12" t="s">
        <v>88</v>
      </c>
      <c r="AC18" s="11" t="s">
        <v>45</v>
      </c>
      <c r="AD18" s="11" t="s">
        <v>23</v>
      </c>
      <c r="AE18" s="11" t="s">
        <v>50</v>
      </c>
      <c r="AF18" s="11" t="s">
        <v>50</v>
      </c>
      <c r="AG18" s="13" t="s">
        <v>60</v>
      </c>
      <c r="AH18" s="13" t="s">
        <v>62</v>
      </c>
      <c r="AI18" s="13" t="s">
        <v>45</v>
      </c>
      <c r="AJ18" s="13" t="s">
        <v>45</v>
      </c>
      <c r="AK18" s="13" t="s">
        <v>45</v>
      </c>
      <c r="AL18" s="94" t="s">
        <v>1314</v>
      </c>
      <c r="AM18" s="95"/>
      <c r="AN18" s="95"/>
      <c r="AO18" s="95"/>
      <c r="AP18" s="96"/>
    </row>
    <row r="19" spans="1:42" s="10" customFormat="1" ht="30.75" customHeight="1" x14ac:dyDescent="0.4">
      <c r="A19" s="6">
        <v>7</v>
      </c>
      <c r="B19" s="6">
        <v>503</v>
      </c>
      <c r="C19" s="6" t="s">
        <v>79</v>
      </c>
      <c r="D19" s="18" t="s">
        <v>1195</v>
      </c>
      <c r="E19" s="34" t="s">
        <v>18</v>
      </c>
      <c r="F19" s="6" t="s">
        <v>1196</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1197</v>
      </c>
      <c r="AA19" s="6" t="s">
        <v>65</v>
      </c>
      <c r="AB19" s="15" t="s">
        <v>88</v>
      </c>
      <c r="AC19" s="16" t="s">
        <v>45</v>
      </c>
      <c r="AD19" s="16" t="s">
        <v>23</v>
      </c>
      <c r="AE19" s="16" t="s">
        <v>50</v>
      </c>
      <c r="AF19" s="16" t="s">
        <v>50</v>
      </c>
      <c r="AG19" s="17" t="s">
        <v>60</v>
      </c>
      <c r="AH19" s="17" t="s">
        <v>62</v>
      </c>
      <c r="AI19" s="17" t="s">
        <v>23</v>
      </c>
      <c r="AJ19" s="17" t="s">
        <v>45</v>
      </c>
      <c r="AK19" s="17" t="s">
        <v>45</v>
      </c>
      <c r="AL19" s="106" t="s">
        <v>1419</v>
      </c>
      <c r="AM19" s="107"/>
      <c r="AN19" s="107"/>
      <c r="AO19" s="107"/>
      <c r="AP19" s="108"/>
    </row>
    <row r="20" spans="1:42" s="14" customFormat="1" ht="51.75" customHeight="1" x14ac:dyDescent="0.4">
      <c r="A20" s="11">
        <v>7</v>
      </c>
      <c r="B20" s="11">
        <v>104</v>
      </c>
      <c r="C20" s="11" t="s">
        <v>79</v>
      </c>
      <c r="D20" s="13" t="s">
        <v>1237</v>
      </c>
      <c r="E20" s="33" t="s">
        <v>1236</v>
      </c>
      <c r="F20" s="45" t="s">
        <v>1238</v>
      </c>
      <c r="G20" s="11" t="s">
        <v>43</v>
      </c>
      <c r="H20" s="11" t="s">
        <v>52</v>
      </c>
      <c r="I20" s="11" t="s">
        <v>84</v>
      </c>
      <c r="J20" s="11" t="s">
        <v>85</v>
      </c>
      <c r="K20" s="11" t="s">
        <v>60</v>
      </c>
      <c r="L20" s="11" t="s">
        <v>92</v>
      </c>
      <c r="M20" s="11" t="s">
        <v>45</v>
      </c>
      <c r="N20" s="11" t="s">
        <v>23</v>
      </c>
      <c r="O20" s="11" t="s">
        <v>23</v>
      </c>
      <c r="P20" s="11" t="s">
        <v>84</v>
      </c>
      <c r="Q20" s="11" t="s">
        <v>86</v>
      </c>
      <c r="R20" s="11">
        <v>730</v>
      </c>
      <c r="S20" s="40" t="s">
        <v>39</v>
      </c>
      <c r="T20" s="11">
        <v>900</v>
      </c>
      <c r="U20" s="11" t="s">
        <v>45</v>
      </c>
      <c r="V20" s="11" t="s">
        <v>84</v>
      </c>
      <c r="W20" s="11" t="s">
        <v>86</v>
      </c>
      <c r="X20" s="40" t="s">
        <v>60</v>
      </c>
      <c r="Y20" s="40" t="s">
        <v>87</v>
      </c>
      <c r="Z20" s="40" t="s">
        <v>1239</v>
      </c>
      <c r="AA20" s="40" t="s">
        <v>65</v>
      </c>
      <c r="AB20" s="12" t="s">
        <v>88</v>
      </c>
      <c r="AC20" s="11" t="s">
        <v>45</v>
      </c>
      <c r="AD20" s="11" t="s">
        <v>23</v>
      </c>
      <c r="AE20" s="11" t="s">
        <v>50</v>
      </c>
      <c r="AF20" s="11" t="s">
        <v>50</v>
      </c>
      <c r="AG20" s="13" t="s">
        <v>60</v>
      </c>
      <c r="AH20" s="13" t="s">
        <v>62</v>
      </c>
      <c r="AI20" s="13" t="s">
        <v>45</v>
      </c>
      <c r="AJ20" s="13" t="s">
        <v>45</v>
      </c>
      <c r="AK20" s="13" t="s">
        <v>45</v>
      </c>
      <c r="AL20" s="133" t="s">
        <v>1240</v>
      </c>
      <c r="AM20" s="134"/>
      <c r="AN20" s="134"/>
      <c r="AO20" s="134"/>
      <c r="AP20" s="135"/>
    </row>
    <row r="21" spans="1:42" s="10" customFormat="1" ht="55.5" customHeight="1" x14ac:dyDescent="0.4">
      <c r="A21" s="6">
        <v>7</v>
      </c>
      <c r="B21" s="6">
        <v>204</v>
      </c>
      <c r="C21" s="6" t="s">
        <v>79</v>
      </c>
      <c r="D21" s="18" t="s">
        <v>1241</v>
      </c>
      <c r="E21" s="34" t="s">
        <v>18</v>
      </c>
      <c r="F21" s="6" t="s">
        <v>1242</v>
      </c>
      <c r="G21" s="6" t="s">
        <v>43</v>
      </c>
      <c r="H21" s="6" t="s">
        <v>52</v>
      </c>
      <c r="I21" s="6" t="s">
        <v>84</v>
      </c>
      <c r="J21" s="6" t="s">
        <v>85</v>
      </c>
      <c r="K21" s="6" t="s">
        <v>60</v>
      </c>
      <c r="L21" s="6" t="s">
        <v>92</v>
      </c>
      <c r="M21" s="6" t="s">
        <v>45</v>
      </c>
      <c r="N21" s="6" t="s">
        <v>23</v>
      </c>
      <c r="O21" s="6" t="s">
        <v>23</v>
      </c>
      <c r="P21" s="6" t="s">
        <v>84</v>
      </c>
      <c r="Q21" s="6" t="s">
        <v>86</v>
      </c>
      <c r="R21" s="6" t="s">
        <v>1243</v>
      </c>
      <c r="S21" s="6" t="s">
        <v>39</v>
      </c>
      <c r="T21" s="6">
        <v>900</v>
      </c>
      <c r="U21" s="6" t="s">
        <v>45</v>
      </c>
      <c r="V21" s="6" t="s">
        <v>84</v>
      </c>
      <c r="W21" s="6" t="s">
        <v>86</v>
      </c>
      <c r="X21" s="6" t="s">
        <v>60</v>
      </c>
      <c r="Y21" s="6" t="s">
        <v>141</v>
      </c>
      <c r="Z21" s="6"/>
      <c r="AA21" s="6" t="s">
        <v>65</v>
      </c>
      <c r="AB21" s="15" t="s">
        <v>88</v>
      </c>
      <c r="AC21" s="16" t="s">
        <v>45</v>
      </c>
      <c r="AD21" s="16" t="s">
        <v>23</v>
      </c>
      <c r="AE21" s="16" t="s">
        <v>50</v>
      </c>
      <c r="AF21" s="16" t="s">
        <v>50</v>
      </c>
      <c r="AG21" s="17" t="s">
        <v>60</v>
      </c>
      <c r="AH21" s="17" t="s">
        <v>62</v>
      </c>
      <c r="AI21" s="17" t="s">
        <v>241</v>
      </c>
      <c r="AJ21" s="17" t="s">
        <v>45</v>
      </c>
      <c r="AK21" s="17" t="s">
        <v>45</v>
      </c>
      <c r="AL21" s="106" t="s">
        <v>1244</v>
      </c>
      <c r="AM21" s="107"/>
      <c r="AN21" s="107"/>
      <c r="AO21" s="107"/>
      <c r="AP21" s="108"/>
    </row>
    <row r="22" spans="1:42" s="14" customFormat="1" ht="52.5" customHeight="1" x14ac:dyDescent="0.4">
      <c r="A22" s="11">
        <v>7</v>
      </c>
      <c r="B22" s="11">
        <v>304</v>
      </c>
      <c r="C22" s="11" t="s">
        <v>79</v>
      </c>
      <c r="D22" s="13" t="s">
        <v>1226</v>
      </c>
      <c r="E22" s="33" t="s">
        <v>18</v>
      </c>
      <c r="F22" s="11" t="s">
        <v>1227</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141</v>
      </c>
      <c r="Z22" s="40"/>
      <c r="AA22" s="40" t="s">
        <v>65</v>
      </c>
      <c r="AB22" s="12" t="s">
        <v>88</v>
      </c>
      <c r="AC22" s="11" t="s">
        <v>45</v>
      </c>
      <c r="AD22" s="11" t="s">
        <v>23</v>
      </c>
      <c r="AE22" s="11" t="s">
        <v>50</v>
      </c>
      <c r="AF22" s="11" t="s">
        <v>50</v>
      </c>
      <c r="AG22" s="13" t="s">
        <v>60</v>
      </c>
      <c r="AH22" s="13" t="s">
        <v>62</v>
      </c>
      <c r="AI22" s="13" t="s">
        <v>45</v>
      </c>
      <c r="AJ22" s="13" t="s">
        <v>23</v>
      </c>
      <c r="AK22" s="13" t="s">
        <v>23</v>
      </c>
      <c r="AL22" s="133" t="s">
        <v>1228</v>
      </c>
      <c r="AM22" s="134"/>
      <c r="AN22" s="134"/>
      <c r="AO22" s="134"/>
      <c r="AP22" s="135"/>
    </row>
    <row r="23" spans="1:42" s="10" customFormat="1" ht="36.75" customHeight="1" x14ac:dyDescent="0.4">
      <c r="A23" s="6">
        <v>7</v>
      </c>
      <c r="B23" s="6">
        <v>404</v>
      </c>
      <c r="C23" s="6" t="s">
        <v>79</v>
      </c>
      <c r="D23" s="18" t="s">
        <v>1223</v>
      </c>
      <c r="E23" s="34" t="s">
        <v>18</v>
      </c>
      <c r="F23" s="6" t="s">
        <v>1224</v>
      </c>
      <c r="G23" s="6" t="s">
        <v>22</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19</v>
      </c>
      <c r="Y23" s="6"/>
      <c r="Z23" s="6"/>
      <c r="AA23" s="6" t="s">
        <v>65</v>
      </c>
      <c r="AB23" s="15" t="s">
        <v>19</v>
      </c>
      <c r="AC23" s="16" t="s">
        <v>45</v>
      </c>
      <c r="AD23" s="16" t="s">
        <v>45</v>
      </c>
      <c r="AE23" s="16" t="s">
        <v>50</v>
      </c>
      <c r="AF23" s="16" t="s">
        <v>116</v>
      </c>
      <c r="AG23" s="17" t="s">
        <v>60</v>
      </c>
      <c r="AH23" s="17" t="s">
        <v>62</v>
      </c>
      <c r="AI23" s="17" t="s">
        <v>45</v>
      </c>
      <c r="AJ23" s="17" t="s">
        <v>45</v>
      </c>
      <c r="AK23" s="17" t="s">
        <v>23</v>
      </c>
      <c r="AL23" s="106" t="s">
        <v>1225</v>
      </c>
      <c r="AM23" s="107"/>
      <c r="AN23" s="107"/>
      <c r="AO23" s="107"/>
      <c r="AP23" s="108"/>
    </row>
    <row r="24" spans="1:42" s="14" customFormat="1" ht="40.5" customHeight="1" x14ac:dyDescent="0.4">
      <c r="A24" s="11">
        <v>7</v>
      </c>
      <c r="B24" s="11">
        <v>504</v>
      </c>
      <c r="C24" s="11" t="s">
        <v>79</v>
      </c>
      <c r="D24" s="13" t="s">
        <v>1198</v>
      </c>
      <c r="E24" s="33" t="s">
        <v>18</v>
      </c>
      <c r="F24" s="11" t="s">
        <v>1199</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87</v>
      </c>
      <c r="Z24" s="40" t="s">
        <v>1200</v>
      </c>
      <c r="AA24" s="40" t="s">
        <v>65</v>
      </c>
      <c r="AB24" s="12" t="s">
        <v>88</v>
      </c>
      <c r="AC24" s="11" t="s">
        <v>45</v>
      </c>
      <c r="AD24" s="11" t="s">
        <v>23</v>
      </c>
      <c r="AE24" s="11" t="s">
        <v>50</v>
      </c>
      <c r="AF24" s="11" t="s">
        <v>50</v>
      </c>
      <c r="AG24" s="13" t="s">
        <v>60</v>
      </c>
      <c r="AH24" s="13" t="s">
        <v>62</v>
      </c>
      <c r="AI24" s="13" t="s">
        <v>23</v>
      </c>
      <c r="AJ24" s="13" t="s">
        <v>45</v>
      </c>
      <c r="AK24" s="13" t="s">
        <v>23</v>
      </c>
      <c r="AL24" s="133" t="s">
        <v>1201</v>
      </c>
      <c r="AM24" s="134"/>
      <c r="AN24" s="134"/>
      <c r="AO24" s="134"/>
      <c r="AP24" s="135"/>
    </row>
    <row r="25" spans="1:42" s="10" customFormat="1" ht="15" customHeight="1" x14ac:dyDescent="0.4">
      <c r="A25" s="6">
        <v>7</v>
      </c>
      <c r="B25" s="6">
        <v>105</v>
      </c>
      <c r="C25" s="6" t="s">
        <v>79</v>
      </c>
      <c r="D25" s="18" t="s">
        <v>1270</v>
      </c>
      <c r="E25" s="34" t="s">
        <v>18</v>
      </c>
      <c r="F25" s="18" t="s">
        <v>1271</v>
      </c>
      <c r="G25" s="6" t="s">
        <v>43</v>
      </c>
      <c r="H25" s="6" t="s">
        <v>52</v>
      </c>
      <c r="I25" s="6" t="s">
        <v>84</v>
      </c>
      <c r="J25" s="6" t="s">
        <v>85</v>
      </c>
      <c r="K25" s="6" t="s">
        <v>60</v>
      </c>
      <c r="L25" s="6" t="s">
        <v>92</v>
      </c>
      <c r="M25" s="6" t="s">
        <v>45</v>
      </c>
      <c r="N25" s="6" t="s">
        <v>45</v>
      </c>
      <c r="O25" s="6" t="s">
        <v>23</v>
      </c>
      <c r="P25" s="6" t="s">
        <v>84</v>
      </c>
      <c r="Q25" s="6" t="s">
        <v>86</v>
      </c>
      <c r="R25" s="6">
        <v>750</v>
      </c>
      <c r="S25" s="6" t="s">
        <v>39</v>
      </c>
      <c r="T25" s="6">
        <v>900</v>
      </c>
      <c r="U25" s="6" t="s">
        <v>45</v>
      </c>
      <c r="V25" s="6" t="s">
        <v>84</v>
      </c>
      <c r="W25" s="6" t="s">
        <v>86</v>
      </c>
      <c r="X25" s="6" t="s">
        <v>60</v>
      </c>
      <c r="Y25" s="6" t="s">
        <v>87</v>
      </c>
      <c r="Z25" s="6" t="s">
        <v>1272</v>
      </c>
      <c r="AA25" s="6" t="s">
        <v>65</v>
      </c>
      <c r="AB25" s="15" t="s">
        <v>88</v>
      </c>
      <c r="AC25" s="16" t="s">
        <v>45</v>
      </c>
      <c r="AD25" s="16" t="s">
        <v>45</v>
      </c>
      <c r="AE25" s="16" t="s">
        <v>116</v>
      </c>
      <c r="AF25" s="16" t="s">
        <v>50</v>
      </c>
      <c r="AG25" s="17" t="s">
        <v>60</v>
      </c>
      <c r="AH25" s="17" t="s">
        <v>96</v>
      </c>
      <c r="AI25" s="17" t="s">
        <v>45</v>
      </c>
      <c r="AJ25" s="17" t="s">
        <v>45</v>
      </c>
      <c r="AK25" s="17" t="s">
        <v>23</v>
      </c>
      <c r="AL25" s="78" t="s">
        <v>1273</v>
      </c>
      <c r="AM25" s="79"/>
      <c r="AN25" s="79"/>
      <c r="AO25" s="79"/>
      <c r="AP25" s="80"/>
    </row>
    <row r="26" spans="1:42" s="14" customFormat="1" ht="60.75" customHeight="1" x14ac:dyDescent="0.4">
      <c r="A26" s="11">
        <v>7</v>
      </c>
      <c r="B26" s="11">
        <v>205</v>
      </c>
      <c r="C26" s="11" t="s">
        <v>79</v>
      </c>
      <c r="D26" s="13" t="s">
        <v>1287</v>
      </c>
      <c r="E26" s="33" t="s">
        <v>18</v>
      </c>
      <c r="F26" s="11" t="s">
        <v>1288</v>
      </c>
      <c r="G26" s="11" t="s">
        <v>43</v>
      </c>
      <c r="H26" s="11" t="s">
        <v>52</v>
      </c>
      <c r="I26" s="11" t="s">
        <v>84</v>
      </c>
      <c r="J26" s="11" t="s">
        <v>85</v>
      </c>
      <c r="K26" s="11" t="s">
        <v>60</v>
      </c>
      <c r="L26" s="11" t="s">
        <v>92</v>
      </c>
      <c r="M26" s="11" t="s">
        <v>45</v>
      </c>
      <c r="N26" s="11" t="s">
        <v>45</v>
      </c>
      <c r="O26" s="11" t="s">
        <v>23</v>
      </c>
      <c r="P26" s="11" t="s">
        <v>84</v>
      </c>
      <c r="Q26" s="11" t="s">
        <v>86</v>
      </c>
      <c r="R26" s="11">
        <v>750</v>
      </c>
      <c r="S26" s="40" t="s">
        <v>39</v>
      </c>
      <c r="T26" s="11">
        <v>900</v>
      </c>
      <c r="U26" s="11" t="s">
        <v>45</v>
      </c>
      <c r="V26" s="11" t="s">
        <v>84</v>
      </c>
      <c r="W26" s="11" t="s">
        <v>86</v>
      </c>
      <c r="X26" s="40" t="s">
        <v>60</v>
      </c>
      <c r="Y26" s="40" t="s">
        <v>87</v>
      </c>
      <c r="Z26" s="40" t="s">
        <v>1289</v>
      </c>
      <c r="AA26" s="40" t="s">
        <v>65</v>
      </c>
      <c r="AB26" s="12" t="s">
        <v>88</v>
      </c>
      <c r="AC26" s="11" t="s">
        <v>45</v>
      </c>
      <c r="AD26" s="11" t="s">
        <v>23</v>
      </c>
      <c r="AE26" s="11" t="s">
        <v>116</v>
      </c>
      <c r="AF26" s="11" t="s">
        <v>116</v>
      </c>
      <c r="AG26" s="13" t="s">
        <v>60</v>
      </c>
      <c r="AH26" s="13" t="s">
        <v>62</v>
      </c>
      <c r="AI26" s="13" t="s">
        <v>45</v>
      </c>
      <c r="AJ26" s="13" t="s">
        <v>45</v>
      </c>
      <c r="AK26" s="13" t="s">
        <v>23</v>
      </c>
      <c r="AL26" s="133" t="s">
        <v>1290</v>
      </c>
      <c r="AM26" s="134"/>
      <c r="AN26" s="134"/>
      <c r="AO26" s="134"/>
      <c r="AP26" s="135"/>
    </row>
    <row r="27" spans="1:42" s="10" customFormat="1" ht="105.75" customHeight="1" x14ac:dyDescent="0.4">
      <c r="A27" s="6">
        <v>7</v>
      </c>
      <c r="B27" s="6">
        <v>305</v>
      </c>
      <c r="C27" s="6" t="s">
        <v>79</v>
      </c>
      <c r="D27" s="18" t="s">
        <v>1257</v>
      </c>
      <c r="E27" s="34" t="s">
        <v>18</v>
      </c>
      <c r="F27" s="46" t="s">
        <v>1258</v>
      </c>
      <c r="G27" s="6" t="s">
        <v>43</v>
      </c>
      <c r="H27" s="6" t="s">
        <v>52</v>
      </c>
      <c r="I27" s="6" t="s">
        <v>84</v>
      </c>
      <c r="J27" s="6" t="s">
        <v>85</v>
      </c>
      <c r="K27" s="6" t="s">
        <v>60</v>
      </c>
      <c r="L27" s="6" t="s">
        <v>92</v>
      </c>
      <c r="M27" s="6" t="s">
        <v>45</v>
      </c>
      <c r="N27" s="6" t="s">
        <v>45</v>
      </c>
      <c r="O27" s="6" t="s">
        <v>45</v>
      </c>
      <c r="P27" s="6" t="s">
        <v>84</v>
      </c>
      <c r="Q27" s="6" t="s">
        <v>86</v>
      </c>
      <c r="R27" s="6">
        <v>2000</v>
      </c>
      <c r="S27" s="6" t="s">
        <v>39</v>
      </c>
      <c r="T27" s="6">
        <v>640</v>
      </c>
      <c r="U27" s="6" t="s">
        <v>45</v>
      </c>
      <c r="V27" s="6" t="s">
        <v>84</v>
      </c>
      <c r="W27" s="6" t="s">
        <v>1259</v>
      </c>
      <c r="X27" s="6" t="s">
        <v>60</v>
      </c>
      <c r="Y27" s="6" t="s">
        <v>87</v>
      </c>
      <c r="Z27" s="6" t="s">
        <v>1260</v>
      </c>
      <c r="AA27" s="6" t="s">
        <v>65</v>
      </c>
      <c r="AB27" s="15" t="s">
        <v>88</v>
      </c>
      <c r="AC27" s="16" t="s">
        <v>45</v>
      </c>
      <c r="AD27" s="16" t="s">
        <v>45</v>
      </c>
      <c r="AE27" s="16" t="s">
        <v>50</v>
      </c>
      <c r="AF27" s="16" t="s">
        <v>50</v>
      </c>
      <c r="AG27" s="17" t="s">
        <v>60</v>
      </c>
      <c r="AH27" s="17" t="s">
        <v>62</v>
      </c>
      <c r="AI27" s="17" t="s">
        <v>45</v>
      </c>
      <c r="AJ27" s="17" t="s">
        <v>45</v>
      </c>
      <c r="AK27" s="17" t="s">
        <v>45</v>
      </c>
      <c r="AL27" s="106" t="s">
        <v>1261</v>
      </c>
      <c r="AM27" s="107"/>
      <c r="AN27" s="107"/>
      <c r="AO27" s="107"/>
      <c r="AP27" s="108"/>
    </row>
    <row r="28" spans="1:42" s="14" customFormat="1" ht="56.25" customHeight="1" x14ac:dyDescent="0.4">
      <c r="A28" s="11">
        <v>7</v>
      </c>
      <c r="B28" s="11">
        <v>405</v>
      </c>
      <c r="C28" s="11" t="s">
        <v>79</v>
      </c>
      <c r="D28" s="13" t="s">
        <v>1249</v>
      </c>
      <c r="E28" s="33" t="s">
        <v>18</v>
      </c>
      <c r="F28" s="11" t="s">
        <v>1250</v>
      </c>
      <c r="G28" s="11" t="s">
        <v>43</v>
      </c>
      <c r="H28" s="11" t="s">
        <v>52</v>
      </c>
      <c r="I28" s="11" t="s">
        <v>84</v>
      </c>
      <c r="J28" s="11" t="s">
        <v>85</v>
      </c>
      <c r="K28" s="11" t="s">
        <v>60</v>
      </c>
      <c r="L28" s="11" t="s">
        <v>24</v>
      </c>
      <c r="M28" s="11" t="s">
        <v>45</v>
      </c>
      <c r="N28" s="11" t="s">
        <v>45</v>
      </c>
      <c r="O28" s="11" t="s">
        <v>23</v>
      </c>
      <c r="P28" s="11" t="s">
        <v>84</v>
      </c>
      <c r="Q28" s="11" t="s">
        <v>86</v>
      </c>
      <c r="R28" s="11">
        <v>750</v>
      </c>
      <c r="S28" s="40" t="s">
        <v>39</v>
      </c>
      <c r="T28" s="11">
        <v>900</v>
      </c>
      <c r="U28" s="11" t="s">
        <v>45</v>
      </c>
      <c r="V28" s="11" t="s">
        <v>84</v>
      </c>
      <c r="W28" s="11" t="s">
        <v>86</v>
      </c>
      <c r="X28" s="40" t="s">
        <v>60</v>
      </c>
      <c r="Y28" s="40" t="s">
        <v>87</v>
      </c>
      <c r="Z28" s="40" t="s">
        <v>1251</v>
      </c>
      <c r="AA28" s="40" t="s">
        <v>65</v>
      </c>
      <c r="AB28" s="12" t="s">
        <v>88</v>
      </c>
      <c r="AC28" s="11" t="s">
        <v>45</v>
      </c>
      <c r="AD28" s="11" t="s">
        <v>45</v>
      </c>
      <c r="AE28" s="11" t="s">
        <v>50</v>
      </c>
      <c r="AF28" s="11" t="s">
        <v>50</v>
      </c>
      <c r="AG28" s="13" t="s">
        <v>60</v>
      </c>
      <c r="AH28" s="13" t="s">
        <v>62</v>
      </c>
      <c r="AI28" s="13" t="s">
        <v>45</v>
      </c>
      <c r="AJ28" s="13" t="s">
        <v>45</v>
      </c>
      <c r="AK28" s="13" t="s">
        <v>23</v>
      </c>
      <c r="AL28" s="133" t="s">
        <v>1252</v>
      </c>
      <c r="AM28" s="134"/>
      <c r="AN28" s="134"/>
      <c r="AO28" s="134"/>
      <c r="AP28" s="135"/>
    </row>
    <row r="29" spans="1:42" s="10" customFormat="1" ht="34.5" customHeight="1" x14ac:dyDescent="0.4">
      <c r="A29" s="6">
        <v>7</v>
      </c>
      <c r="B29" s="6">
        <v>505</v>
      </c>
      <c r="C29" s="6" t="s">
        <v>79</v>
      </c>
      <c r="D29" s="18" t="s">
        <v>1245</v>
      </c>
      <c r="E29" s="34" t="s">
        <v>18</v>
      </c>
      <c r="F29" s="46" t="s">
        <v>1246</v>
      </c>
      <c r="G29" s="6" t="s">
        <v>43</v>
      </c>
      <c r="H29" s="6" t="s">
        <v>52</v>
      </c>
      <c r="I29" s="6" t="s">
        <v>84</v>
      </c>
      <c r="J29" s="6" t="s">
        <v>85</v>
      </c>
      <c r="K29" s="6" t="s">
        <v>60</v>
      </c>
      <c r="L29" s="6" t="s">
        <v>92</v>
      </c>
      <c r="M29" s="6" t="s">
        <v>45</v>
      </c>
      <c r="N29" s="6" t="s">
        <v>23</v>
      </c>
      <c r="O29" s="6" t="s">
        <v>45</v>
      </c>
      <c r="P29" s="6" t="s">
        <v>84</v>
      </c>
      <c r="Q29" s="6" t="s">
        <v>86</v>
      </c>
      <c r="R29" s="6">
        <v>750</v>
      </c>
      <c r="S29" s="6" t="s">
        <v>39</v>
      </c>
      <c r="T29" s="6">
        <v>740</v>
      </c>
      <c r="U29" s="6" t="s">
        <v>45</v>
      </c>
      <c r="V29" s="6" t="s">
        <v>84</v>
      </c>
      <c r="W29" s="6" t="s">
        <v>86</v>
      </c>
      <c r="X29" s="6" t="s">
        <v>60</v>
      </c>
      <c r="Y29" s="6" t="s">
        <v>87</v>
      </c>
      <c r="Z29" s="6" t="s">
        <v>1247</v>
      </c>
      <c r="AA29" s="6" t="s">
        <v>65</v>
      </c>
      <c r="AB29" s="15" t="s">
        <v>88</v>
      </c>
      <c r="AC29" s="16" t="s">
        <v>23</v>
      </c>
      <c r="AD29" s="16" t="s">
        <v>45</v>
      </c>
      <c r="AE29" s="16" t="s">
        <v>50</v>
      </c>
      <c r="AF29" s="16" t="s">
        <v>50</v>
      </c>
      <c r="AG29" s="17" t="s">
        <v>60</v>
      </c>
      <c r="AH29" s="17" t="s">
        <v>62</v>
      </c>
      <c r="AI29" s="17" t="s">
        <v>23</v>
      </c>
      <c r="AJ29" s="17" t="s">
        <v>45</v>
      </c>
      <c r="AK29" s="17" t="s">
        <v>45</v>
      </c>
      <c r="AL29" s="106" t="s">
        <v>1248</v>
      </c>
      <c r="AM29" s="107"/>
      <c r="AN29" s="107"/>
      <c r="AO29" s="107"/>
      <c r="AP29" s="108"/>
    </row>
    <row r="30" spans="1:42" s="14" customFormat="1" ht="60.75" customHeight="1" x14ac:dyDescent="0.4">
      <c r="A30" s="11">
        <v>7</v>
      </c>
      <c r="B30" s="11">
        <v>106</v>
      </c>
      <c r="C30" s="11" t="s">
        <v>79</v>
      </c>
      <c r="D30" s="13" t="s">
        <v>1274</v>
      </c>
      <c r="E30" s="33" t="s">
        <v>18</v>
      </c>
      <c r="F30" s="11" t="s">
        <v>1275</v>
      </c>
      <c r="G30" s="11" t="s">
        <v>43</v>
      </c>
      <c r="H30" s="11" t="s">
        <v>52</v>
      </c>
      <c r="I30" s="11" t="s">
        <v>84</v>
      </c>
      <c r="J30" s="11" t="s">
        <v>85</v>
      </c>
      <c r="K30" s="11" t="s">
        <v>60</v>
      </c>
      <c r="L30" s="11" t="s">
        <v>92</v>
      </c>
      <c r="M30" s="11" t="s">
        <v>45</v>
      </c>
      <c r="N30" s="11" t="s">
        <v>23</v>
      </c>
      <c r="O30" s="11" t="s">
        <v>45</v>
      </c>
      <c r="P30" s="45" t="s">
        <v>1299</v>
      </c>
      <c r="Q30" s="11" t="s">
        <v>25</v>
      </c>
      <c r="R30" s="11">
        <v>750</v>
      </c>
      <c r="S30" s="40" t="s">
        <v>39</v>
      </c>
      <c r="T30" s="11">
        <v>900</v>
      </c>
      <c r="U30" s="11" t="s">
        <v>45</v>
      </c>
      <c r="V30" s="11" t="s">
        <v>1300</v>
      </c>
      <c r="W30" s="11" t="s">
        <v>378</v>
      </c>
      <c r="X30" s="40" t="s">
        <v>60</v>
      </c>
      <c r="Y30" s="40" t="s">
        <v>141</v>
      </c>
      <c r="Z30" s="40"/>
      <c r="AA30" s="40" t="s">
        <v>65</v>
      </c>
      <c r="AB30" s="12" t="s">
        <v>88</v>
      </c>
      <c r="AC30" s="11" t="s">
        <v>45</v>
      </c>
      <c r="AD30" s="11" t="s">
        <v>23</v>
      </c>
      <c r="AE30" s="11" t="s">
        <v>50</v>
      </c>
      <c r="AF30" s="11" t="s">
        <v>50</v>
      </c>
      <c r="AG30" s="13" t="s">
        <v>60</v>
      </c>
      <c r="AH30" s="13" t="s">
        <v>62</v>
      </c>
      <c r="AI30" s="13" t="s">
        <v>45</v>
      </c>
      <c r="AJ30" s="13" t="s">
        <v>23</v>
      </c>
      <c r="AK30" s="13" t="s">
        <v>23</v>
      </c>
      <c r="AL30" s="133" t="s">
        <v>1276</v>
      </c>
      <c r="AM30" s="134"/>
      <c r="AN30" s="134"/>
      <c r="AO30" s="134"/>
      <c r="AP30" s="135"/>
    </row>
    <row r="31" spans="1:42" s="10" customFormat="1" ht="15" customHeight="1" x14ac:dyDescent="0.4">
      <c r="A31" s="6">
        <v>7</v>
      </c>
      <c r="B31" s="6">
        <v>206</v>
      </c>
      <c r="C31" s="6" t="s">
        <v>79</v>
      </c>
      <c r="D31" s="18" t="s">
        <v>1277</v>
      </c>
      <c r="E31" s="34" t="s">
        <v>18</v>
      </c>
      <c r="F31" s="6" t="s">
        <v>1278</v>
      </c>
      <c r="G31" s="6" t="s">
        <v>43</v>
      </c>
      <c r="H31" s="6" t="s">
        <v>52</v>
      </c>
      <c r="I31" s="6" t="s">
        <v>84</v>
      </c>
      <c r="J31" s="6" t="s">
        <v>85</v>
      </c>
      <c r="K31" s="6" t="s">
        <v>60</v>
      </c>
      <c r="L31" s="6" t="s">
        <v>92</v>
      </c>
      <c r="M31" s="6" t="s">
        <v>45</v>
      </c>
      <c r="N31" s="6" t="s">
        <v>45</v>
      </c>
      <c r="O31" s="6" t="s">
        <v>23</v>
      </c>
      <c r="P31" s="6" t="s">
        <v>84</v>
      </c>
      <c r="Q31" s="6" t="s">
        <v>86</v>
      </c>
      <c r="R31" s="6">
        <v>750</v>
      </c>
      <c r="S31" s="6" t="s">
        <v>39</v>
      </c>
      <c r="T31" s="6">
        <v>900</v>
      </c>
      <c r="U31" s="6" t="s">
        <v>45</v>
      </c>
      <c r="V31" s="6" t="s">
        <v>84</v>
      </c>
      <c r="W31" s="6" t="s">
        <v>86</v>
      </c>
      <c r="X31" s="6" t="s">
        <v>60</v>
      </c>
      <c r="Y31" s="6" t="s">
        <v>1279</v>
      </c>
      <c r="Z31" s="6" t="s">
        <v>1280</v>
      </c>
      <c r="AA31" s="6" t="s">
        <v>65</v>
      </c>
      <c r="AB31" s="15" t="s">
        <v>88</v>
      </c>
      <c r="AC31" s="16" t="s">
        <v>45</v>
      </c>
      <c r="AD31" s="16" t="s">
        <v>23</v>
      </c>
      <c r="AE31" s="16" t="s">
        <v>50</v>
      </c>
      <c r="AF31" s="16" t="s">
        <v>50</v>
      </c>
      <c r="AG31" s="17" t="s">
        <v>60</v>
      </c>
      <c r="AH31" s="17" t="s">
        <v>62</v>
      </c>
      <c r="AI31" s="17" t="s">
        <v>45</v>
      </c>
      <c r="AJ31" s="17" t="s">
        <v>45</v>
      </c>
      <c r="AK31" s="17" t="s">
        <v>45</v>
      </c>
      <c r="AL31" s="78" t="s">
        <v>1281</v>
      </c>
      <c r="AM31" s="79"/>
      <c r="AN31" s="79"/>
      <c r="AO31" s="79"/>
      <c r="AP31" s="80"/>
    </row>
    <row r="32" spans="1:42" s="14" customFormat="1" ht="36.75" customHeight="1" x14ac:dyDescent="0.4">
      <c r="A32" s="11">
        <v>7</v>
      </c>
      <c r="B32" s="11">
        <v>306</v>
      </c>
      <c r="C32" s="11" t="s">
        <v>79</v>
      </c>
      <c r="D32" s="13" t="s">
        <v>1262</v>
      </c>
      <c r="E32" s="33" t="s">
        <v>18</v>
      </c>
      <c r="F32" s="11" t="s">
        <v>1263</v>
      </c>
      <c r="G32" s="11" t="s">
        <v>43</v>
      </c>
      <c r="H32" s="11" t="s">
        <v>52</v>
      </c>
      <c r="I32" s="11" t="s">
        <v>84</v>
      </c>
      <c r="J32" s="11" t="s">
        <v>85</v>
      </c>
      <c r="K32" s="11" t="s">
        <v>60</v>
      </c>
      <c r="L32" s="11" t="s">
        <v>92</v>
      </c>
      <c r="M32" s="11" t="s">
        <v>45</v>
      </c>
      <c r="N32" s="11" t="s">
        <v>23</v>
      </c>
      <c r="O32" s="11" t="s">
        <v>45</v>
      </c>
      <c r="P32" s="11" t="s">
        <v>84</v>
      </c>
      <c r="Q32" s="11" t="s">
        <v>86</v>
      </c>
      <c r="R32" s="11">
        <v>750</v>
      </c>
      <c r="S32" s="40" t="s">
        <v>39</v>
      </c>
      <c r="T32" s="11">
        <v>900</v>
      </c>
      <c r="U32" s="11" t="s">
        <v>45</v>
      </c>
      <c r="V32" s="11" t="s">
        <v>84</v>
      </c>
      <c r="W32" s="11" t="s">
        <v>86</v>
      </c>
      <c r="X32" s="40" t="s">
        <v>60</v>
      </c>
      <c r="Y32" s="40" t="s">
        <v>87</v>
      </c>
      <c r="Z32" s="40" t="s">
        <v>1264</v>
      </c>
      <c r="AA32" s="40" t="s">
        <v>65</v>
      </c>
      <c r="AB32" s="12" t="s">
        <v>88</v>
      </c>
      <c r="AC32" s="11" t="s">
        <v>45</v>
      </c>
      <c r="AD32" s="11" t="s">
        <v>45</v>
      </c>
      <c r="AE32" s="11" t="s">
        <v>878</v>
      </c>
      <c r="AF32" s="11" t="s">
        <v>878</v>
      </c>
      <c r="AG32" s="13" t="s">
        <v>60</v>
      </c>
      <c r="AH32" s="13" t="s">
        <v>62</v>
      </c>
      <c r="AI32" s="13" t="s">
        <v>23</v>
      </c>
      <c r="AJ32" s="13" t="s">
        <v>45</v>
      </c>
      <c r="AK32" s="13" t="s">
        <v>45</v>
      </c>
      <c r="AL32" s="133" t="s">
        <v>1265</v>
      </c>
      <c r="AM32" s="134"/>
      <c r="AN32" s="134"/>
      <c r="AO32" s="134"/>
      <c r="AP32" s="135"/>
    </row>
    <row r="33" spans="1:42" s="10" customFormat="1" ht="15" customHeight="1" x14ac:dyDescent="0.4">
      <c r="A33" s="6">
        <v>7</v>
      </c>
      <c r="B33" s="6">
        <v>406</v>
      </c>
      <c r="C33" s="6" t="s">
        <v>79</v>
      </c>
      <c r="D33" s="18" t="s">
        <v>1266</v>
      </c>
      <c r="E33" s="34" t="s">
        <v>18</v>
      </c>
      <c r="F33" s="6" t="s">
        <v>1267</v>
      </c>
      <c r="G33" s="6" t="s">
        <v>43</v>
      </c>
      <c r="H33" s="6" t="s">
        <v>52</v>
      </c>
      <c r="I33" s="6" t="s">
        <v>84</v>
      </c>
      <c r="J33" s="6" t="s">
        <v>85</v>
      </c>
      <c r="K33" s="6" t="s">
        <v>60</v>
      </c>
      <c r="L33" s="6" t="s">
        <v>92</v>
      </c>
      <c r="M33" s="6" t="s">
        <v>45</v>
      </c>
      <c r="N33" s="6" t="s">
        <v>45</v>
      </c>
      <c r="O33" s="6" t="s">
        <v>23</v>
      </c>
      <c r="P33" s="6" t="s">
        <v>84</v>
      </c>
      <c r="Q33" s="6" t="s">
        <v>86</v>
      </c>
      <c r="R33" s="6">
        <v>750</v>
      </c>
      <c r="S33" s="6" t="s">
        <v>39</v>
      </c>
      <c r="T33" s="6">
        <v>900</v>
      </c>
      <c r="U33" s="6" t="s">
        <v>45</v>
      </c>
      <c r="V33" s="6" t="s">
        <v>84</v>
      </c>
      <c r="W33" s="6" t="s">
        <v>86</v>
      </c>
      <c r="X33" s="6" t="s">
        <v>60</v>
      </c>
      <c r="Y33" s="6" t="s">
        <v>1268</v>
      </c>
      <c r="Z33" s="6"/>
      <c r="AA33" s="6" t="s">
        <v>65</v>
      </c>
      <c r="AB33" s="15" t="s">
        <v>19</v>
      </c>
      <c r="AC33" s="16" t="s">
        <v>45</v>
      </c>
      <c r="AD33" s="16" t="s">
        <v>45</v>
      </c>
      <c r="AE33" s="16" t="s">
        <v>116</v>
      </c>
      <c r="AF33" s="16" t="s">
        <v>50</v>
      </c>
      <c r="AG33" s="17" t="s">
        <v>60</v>
      </c>
      <c r="AH33" s="17" t="s">
        <v>62</v>
      </c>
      <c r="AI33" s="17" t="s">
        <v>23</v>
      </c>
      <c r="AJ33" s="17" t="s">
        <v>45</v>
      </c>
      <c r="AK33" s="17" t="s">
        <v>45</v>
      </c>
      <c r="AL33" s="78" t="s">
        <v>1269</v>
      </c>
      <c r="AM33" s="79"/>
      <c r="AN33" s="79"/>
      <c r="AO33" s="79"/>
      <c r="AP33" s="80"/>
    </row>
    <row r="34" spans="1:42" s="14" customFormat="1" ht="46.5" customHeight="1" x14ac:dyDescent="0.4">
      <c r="A34" s="11">
        <v>7</v>
      </c>
      <c r="B34" s="11">
        <v>506</v>
      </c>
      <c r="C34" s="11" t="s">
        <v>79</v>
      </c>
      <c r="D34" s="13" t="s">
        <v>1253</v>
      </c>
      <c r="E34" s="33" t="s">
        <v>18</v>
      </c>
      <c r="F34" s="11" t="s">
        <v>1254</v>
      </c>
      <c r="G34" s="11" t="s">
        <v>43</v>
      </c>
      <c r="H34" s="11" t="s">
        <v>52</v>
      </c>
      <c r="I34" s="11" t="s">
        <v>84</v>
      </c>
      <c r="J34" s="11" t="s">
        <v>85</v>
      </c>
      <c r="K34" s="11" t="s">
        <v>60</v>
      </c>
      <c r="L34" s="11" t="s">
        <v>24</v>
      </c>
      <c r="M34" s="11" t="s">
        <v>45</v>
      </c>
      <c r="N34" s="11" t="s">
        <v>45</v>
      </c>
      <c r="O34" s="11" t="s">
        <v>23</v>
      </c>
      <c r="P34" s="11" t="s">
        <v>84</v>
      </c>
      <c r="Q34" s="11" t="s">
        <v>86</v>
      </c>
      <c r="R34" s="11">
        <v>750</v>
      </c>
      <c r="S34" s="40" t="s">
        <v>39</v>
      </c>
      <c r="T34" s="11">
        <v>900</v>
      </c>
      <c r="U34" s="11" t="s">
        <v>45</v>
      </c>
      <c r="V34" s="11" t="s">
        <v>84</v>
      </c>
      <c r="W34" s="11" t="s">
        <v>86</v>
      </c>
      <c r="X34" s="40" t="s">
        <v>60</v>
      </c>
      <c r="Y34" s="40" t="s">
        <v>141</v>
      </c>
      <c r="Z34" s="40" t="s">
        <v>1255</v>
      </c>
      <c r="AA34" s="40" t="s">
        <v>65</v>
      </c>
      <c r="AB34" s="12" t="s">
        <v>88</v>
      </c>
      <c r="AC34" s="11" t="s">
        <v>23</v>
      </c>
      <c r="AD34" s="11" t="s">
        <v>23</v>
      </c>
      <c r="AE34" s="11" t="s">
        <v>50</v>
      </c>
      <c r="AF34" s="11" t="s">
        <v>50</v>
      </c>
      <c r="AG34" s="13" t="s">
        <v>60</v>
      </c>
      <c r="AH34" s="13" t="s">
        <v>62</v>
      </c>
      <c r="AI34" s="13" t="s">
        <v>45</v>
      </c>
      <c r="AJ34" s="13" t="s">
        <v>45</v>
      </c>
      <c r="AK34" s="13" t="s">
        <v>23</v>
      </c>
      <c r="AL34" s="133" t="s">
        <v>1256</v>
      </c>
      <c r="AM34" s="134"/>
      <c r="AN34" s="134"/>
      <c r="AO34" s="134"/>
      <c r="AP34" s="135"/>
    </row>
    <row r="35" spans="1:42" s="2" customFormat="1" ht="11.25" customHeight="1" x14ac:dyDescent="0.4">
      <c r="A35" s="118" t="s">
        <v>12</v>
      </c>
      <c r="B35" s="119"/>
      <c r="C35" s="119"/>
      <c r="D35" s="119"/>
      <c r="E35" s="120"/>
      <c r="F35" s="127">
        <f>COUNTA(D5:D34)</f>
        <v>30</v>
      </c>
      <c r="G35" s="20" t="str">
        <f>"所有→"&amp;COUNTIF(G5:G34,"所有")&amp;"戸"</f>
        <v>所有→29戸</v>
      </c>
      <c r="H35" s="20" t="str">
        <f>"未更新→"&amp;COUNTIF(H5:H34,"未更新")&amp;"戸"</f>
        <v>未更新→30戸</v>
      </c>
      <c r="I35" s="20" t="str">
        <f>"クロス→"&amp;COUNTIF(I5:I34,"クロス")&amp;"戸"</f>
        <v>クロス→30戸</v>
      </c>
      <c r="J35" s="20" t="str">
        <f>"ベニヤ→"&amp;COUNTIF(J5:J34,"ベニヤ")&amp;"戸"</f>
        <v>ベニヤ→30戸</v>
      </c>
      <c r="K35" s="20" t="str">
        <f>"既存→"&amp;COUNTIF(K5:K34,"既存")&amp;"戸"</f>
        <v>既存→3戸</v>
      </c>
      <c r="L35" s="20" t="str">
        <f>"普通便座→"&amp;COUNTIF(L5:L34,"普通便座")&amp;"戸"</f>
        <v>普通便座→5戸</v>
      </c>
      <c r="M35" s="20" t="str">
        <f>"有→"&amp;COUNTIF(M5:M34,"有")&amp;"戸"</f>
        <v>有→0戸</v>
      </c>
      <c r="N35" s="20" t="str">
        <f>"有→"&amp;COUNTIF(N5:N34,"有")&amp;"戸"</f>
        <v>有→5戸</v>
      </c>
      <c r="O35" s="20" t="str">
        <f>"有→"&amp;COUNTIF(O5:O34,"有")&amp;"戸"</f>
        <v>有→21戸</v>
      </c>
      <c r="P35" s="20" t="str">
        <f>"クロス→"&amp;COUNTIF(P5:P34,"クロス")&amp;"戸"</f>
        <v>クロス→29戸</v>
      </c>
      <c r="Q35" s="20" t="str">
        <f>"CF→"&amp;COUNTIF(Q5:Q34,"CF")&amp;"戸"</f>
        <v>CF→29戸</v>
      </c>
      <c r="R35" s="20" t="str">
        <f>"1000→"&amp;COUNTIF(R5:R34,"1000")&amp;"戸"</f>
        <v>1000→0戸</v>
      </c>
      <c r="S35" s="20" t="str">
        <f>"可→"&amp;COUNTIF(S5:S34,"可")&amp;"戸"</f>
        <v>可→30戸</v>
      </c>
      <c r="T35" s="20" t="str">
        <f>"900→"&amp;COUNTIF(T5:T34,"900")&amp;"戸"</f>
        <v>900→27戸</v>
      </c>
      <c r="U35" s="20" t="str">
        <f>"有→"&amp;COUNTIF(U5:U34,"有")&amp;"戸"</f>
        <v>有→0戸</v>
      </c>
      <c r="V35" s="20" t="str">
        <f>"クロス→"&amp;COUNTIF(V5:V34,"クロス")&amp;"戸"</f>
        <v>クロス→30戸</v>
      </c>
      <c r="W35" s="20" t="str">
        <f>"CF→"&amp;COUNTIF(W5:W34,"CF")&amp;"戸"</f>
        <v>CF→28戸</v>
      </c>
      <c r="X35" s="20" t="str">
        <f>"既存→"&amp;COUNTIF(X5:X34,"既存")&amp;"戸"</f>
        <v>既存→3戸</v>
      </c>
      <c r="Y35" s="20" t="str">
        <f>"TOTO→"&amp;COUNTIF(Y5:Y34,"TOTO")&amp;"戸"</f>
        <v>TOTO→21戸</v>
      </c>
      <c r="Z35" s="130">
        <f>COUNTA(Z5:Z34)</f>
        <v>21</v>
      </c>
      <c r="AA35" s="20" t="str">
        <f>"可→"&amp;COUNTIF(AA5:AA34,"可")&amp;"戸"</f>
        <v>可→3戸</v>
      </c>
      <c r="AB35" s="20" t="str">
        <f>"既存→"&amp;COUNTIF(AB5:AB34,"既存")&amp;"戸"</f>
        <v>既存→9戸</v>
      </c>
      <c r="AC35" s="130">
        <f>COUNTIF(AC5:AC34,"有")</f>
        <v>3</v>
      </c>
      <c r="AD35" s="130">
        <f>COUNTIF(AD5:AD34,"有")</f>
        <v>14</v>
      </c>
      <c r="AE35" s="20" t="str">
        <f>"ポリ板→"&amp;COUNTIF(AE5:AE34,"ポリ板")&amp;"戸"</f>
        <v>ポリ板→19戸</v>
      </c>
      <c r="AF35" s="20" t="str">
        <f>"ポリ板→"&amp;COUNTIF(AF5:AF34,"ポリ板")&amp;"戸"</f>
        <v>ポリ板→27戸</v>
      </c>
      <c r="AG35" s="20" t="str">
        <f>"既存→"&amp;COUNTIF(AG5:AG34,"既存")&amp;"戸"</f>
        <v>既存→0戸</v>
      </c>
      <c r="AH35" s="20" t="str">
        <f>"洗面所→"&amp;COUNTIF(AH5:AH34,"洗面所")&amp;"戸"</f>
        <v>洗面所→29戸</v>
      </c>
      <c r="AI35" s="130">
        <f>COUNTIF(AI5:AI34,"有")</f>
        <v>6</v>
      </c>
      <c r="AJ35" s="130">
        <f>COUNTIF(AJ5:AJ34,"有")</f>
        <v>5</v>
      </c>
      <c r="AK35" s="130">
        <f>COUNTIF(AK5:AK34,"有")</f>
        <v>12</v>
      </c>
      <c r="AL35" s="109"/>
      <c r="AM35" s="110"/>
      <c r="AN35" s="110"/>
      <c r="AO35" s="110"/>
      <c r="AP35" s="111"/>
    </row>
    <row r="36" spans="1:42" s="2" customFormat="1" ht="11.25" customHeight="1" x14ac:dyDescent="0.4">
      <c r="A36" s="121"/>
      <c r="B36" s="122"/>
      <c r="C36" s="122"/>
      <c r="D36" s="122"/>
      <c r="E36" s="123"/>
      <c r="F36" s="128"/>
      <c r="G36" s="35" t="str">
        <f>"賃貸→"&amp;COUNTIF(G5:G34,"賃貸")&amp;"戸"</f>
        <v>賃貸→1戸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暖房便座→0戸</v>
      </c>
      <c r="M36" s="35" t="str">
        <f>"無→"&amp;COUNTIF(M5:M34,"無")&amp;"戸"</f>
        <v>無→30戸</v>
      </c>
      <c r="N36" s="35" t="str">
        <f>"無→"&amp;COUNTIF(N5:N34,"無")&amp;"戸"</f>
        <v>無→25戸</v>
      </c>
      <c r="O36" s="35" t="str">
        <f>"無→"&amp;COUNTIF(O5:O34,"無")&amp;"戸"</f>
        <v>無→9戸</v>
      </c>
      <c r="P36" s="35" t="str">
        <f>"珪藻土→"&amp;COUNTIF(P5:P34,"珪藻土")&amp;"戸"</f>
        <v>珪藻土→0戸</v>
      </c>
      <c r="Q36" s="35" t="str">
        <f>"塩ビタイル→"&amp;COUNTIF(Q5:Q34,"塩ビタイル")&amp;"戸"</f>
        <v>塩ビタイル→1戸</v>
      </c>
      <c r="R36" s="35" t="str">
        <f>"900→"&amp;COUNTIF(R5:R34,"900")&amp;"戸"</f>
        <v>900→1戸</v>
      </c>
      <c r="S36" s="35" t="str">
        <f>"不可→"&amp;COUNTIF(S5:S34,"不可")&amp;"戸"</f>
        <v>不可→0戸</v>
      </c>
      <c r="T36" s="35" t="str">
        <f>"800→"&amp;COUNTIF(T5:T34,"800")&amp;"戸"</f>
        <v>800→1戸</v>
      </c>
      <c r="U36" s="35" t="str">
        <f>"無→"&amp;COUNTIF(U5:U34,"無")&amp;"戸"</f>
        <v>無→30戸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リフォーム済み→27戸</v>
      </c>
      <c r="Y36" s="35" t="str">
        <f>"LIXIL→"&amp;COUNTIF(Y5:Y34,"LIXIL")&amp;"戸"</f>
        <v>LIXIL→0戸</v>
      </c>
      <c r="Z36" s="131"/>
      <c r="AA36" s="35" t="str">
        <f>"不可→"&amp;COUNTIF(AA5:AA34,"不可")&amp;"戸"</f>
        <v>不可→27戸</v>
      </c>
      <c r="AB36" s="36" t="str">
        <f>"システム→"&amp;COUNTIF(AB5:AB34,"システム")&amp;"戸"</f>
        <v>システム→21戸</v>
      </c>
      <c r="AC36" s="131"/>
      <c r="AD36" s="131"/>
      <c r="AE36" s="35" t="str">
        <f>"SUS→"&amp;COUNTIF(AE5:AE34,"SUS")&amp;"戸"</f>
        <v>SUS→10戸</v>
      </c>
      <c r="AF36" s="35" t="str">
        <f>"SUS→"&amp;COUNTIF(AF5:AF34,"SUS")&amp;"戸"</f>
        <v>SUS→2戸</v>
      </c>
      <c r="AG36" s="35" t="str">
        <f>"リフォーム済み→"&amp;COUNTIF(AG5:AG34,"リフォーム済み")&amp;"戸"</f>
        <v>リフォーム済み→30戸</v>
      </c>
      <c r="AH36" s="35" t="str">
        <f>"ベランダ→"&amp;COUNTIF(AH5:AH34,"ベランダ")&amp;"戸"</f>
        <v>ベランダ→1戸</v>
      </c>
      <c r="AI36" s="131"/>
      <c r="AJ36" s="131"/>
      <c r="AK36" s="131"/>
      <c r="AL36" s="112"/>
      <c r="AM36" s="113"/>
      <c r="AN36" s="113"/>
      <c r="AO36" s="113"/>
      <c r="AP36" s="114"/>
    </row>
    <row r="37" spans="1:42"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レストパル→0戸</v>
      </c>
      <c r="L37" s="35" t="str">
        <f>"WL→"&amp;COUNTIF(L5:L34,"WL")&amp;"戸"</f>
        <v>WL→25戸</v>
      </c>
      <c r="M37" s="23"/>
      <c r="N37" s="23"/>
      <c r="O37" s="23"/>
      <c r="P37" s="35" t="str">
        <f>"塗装→"&amp;COUNTIF(P5:P34,"塗装")&amp;"戸"</f>
        <v>塗装→0戸</v>
      </c>
      <c r="Q37" s="35" t="str">
        <f>"フローリング→"&amp;COUNTIF(Q5:Q34,"フローリング")&amp;"戸"</f>
        <v>フローリング→0戸</v>
      </c>
      <c r="R37" s="35" t="str">
        <f>"750→"&amp;COUNTIF(R5:R34,"750")&amp;"戸"</f>
        <v>750→23戸</v>
      </c>
      <c r="S37" s="35"/>
      <c r="T37" s="35" t="str">
        <f>"740→"&amp;COUNTIF(T5:T34,"740")&amp;"戸"</f>
        <v>740→1戸</v>
      </c>
      <c r="U37" s="22"/>
      <c r="V37" s="35" t="str">
        <f>"塗装→"&amp;COUNTIF(V5:V34,"塗装")&amp;"戸"</f>
        <v>塗装→0戸</v>
      </c>
      <c r="W37" s="35" t="str">
        <f>"フローリング→"&amp;COUNTIF(W5:W34,"フローリング")&amp;"戸"</f>
        <v>フローリング→1戸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ホーロー→1戸</v>
      </c>
      <c r="AF37" s="35" t="str">
        <f>"ホーロー→"&amp;COUNTIF(AF5:AF34,"ホーロー")&amp;"戸"</f>
        <v>ホーロー→1戸</v>
      </c>
      <c r="AG37" s="35"/>
      <c r="AH37" s="35"/>
      <c r="AI37" s="131"/>
      <c r="AJ37" s="131"/>
      <c r="AK37" s="131"/>
      <c r="AL37" s="112"/>
      <c r="AM37" s="113"/>
      <c r="AN37" s="113"/>
      <c r="AO37" s="113"/>
      <c r="AP37" s="114"/>
    </row>
    <row r="38" spans="1:42" s="2" customFormat="1" ht="11.25" customHeight="1" x14ac:dyDescent="0.4">
      <c r="A38" s="124"/>
      <c r="B38" s="125"/>
      <c r="C38" s="125"/>
      <c r="D38" s="125"/>
      <c r="E38" s="126"/>
      <c r="F38" s="129"/>
      <c r="G38" s="35" t="str">
        <f>"空家→"&amp;COUNTIF(G5:G34,"空家")&amp;"戸"</f>
        <v>空家→0戸</v>
      </c>
      <c r="H38" s="39"/>
      <c r="I38" s="28"/>
      <c r="J38" s="27"/>
      <c r="K38" s="35" t="str">
        <f>"一体型→"&amp;COUNTIF(K5:K34,"一体型")&amp;"戸"</f>
        <v>一体型→0戸</v>
      </c>
      <c r="L38" s="28"/>
      <c r="M38" s="28"/>
      <c r="N38" s="28"/>
      <c r="O38" s="28"/>
      <c r="P38" s="28"/>
      <c r="Q38" s="28"/>
      <c r="R38" s="35" t="str">
        <f>"740→"&amp;COUNTIF(R5:R34,"740")&amp;"戸"</f>
        <v>740→3戸</v>
      </c>
      <c r="S38" s="27"/>
      <c r="T38" s="35" t="str">
        <f>"640→"&amp;COUNTIF(T5:T34,"640")&amp;"戸"</f>
        <v>640→1戸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row>
    <row r="39" spans="1:42" s="2" customFormat="1" x14ac:dyDescent="0.4">
      <c r="A39" s="31"/>
      <c r="AH39" s="37"/>
      <c r="AI39" s="37"/>
      <c r="AP39" s="1"/>
    </row>
  </sheetData>
  <autoFilter ref="AI3:AK4" xr:uid="{6869EF66-35EA-47EE-9FCD-A5DA491BCEA1}"/>
  <mergeCells count="57">
    <mergeCell ref="AL11:AP11"/>
    <mergeCell ref="AL12:AP12"/>
    <mergeCell ref="AL13:AP13"/>
    <mergeCell ref="A35:E38"/>
    <mergeCell ref="F35:F38"/>
    <mergeCell ref="AI35:AI38"/>
    <mergeCell ref="AJ35:AJ38"/>
    <mergeCell ref="AL31:AP31"/>
    <mergeCell ref="AL32:AP32"/>
    <mergeCell ref="AL33:AP33"/>
    <mergeCell ref="AL34:AP34"/>
    <mergeCell ref="Z35:Z38"/>
    <mergeCell ref="AC35:AC38"/>
    <mergeCell ref="AL14:AP14"/>
    <mergeCell ref="AL15:AP15"/>
    <mergeCell ref="AL16:AP16"/>
    <mergeCell ref="A1:AO2"/>
    <mergeCell ref="A3:A4"/>
    <mergeCell ref="B3:B4"/>
    <mergeCell ref="C3:C4"/>
    <mergeCell ref="D3:E4"/>
    <mergeCell ref="F3:F4"/>
    <mergeCell ref="G3:G4"/>
    <mergeCell ref="H3:H4"/>
    <mergeCell ref="I3:J3"/>
    <mergeCell ref="K3:Q3"/>
    <mergeCell ref="R3:W3"/>
    <mergeCell ref="X3:AA3"/>
    <mergeCell ref="AB3:AF3"/>
    <mergeCell ref="AJ3:AJ4"/>
    <mergeCell ref="AG3:AH3"/>
    <mergeCell ref="AK3:AK4"/>
    <mergeCell ref="AL3:AP4"/>
    <mergeCell ref="AL5:AP5"/>
    <mergeCell ref="AL6:AP6"/>
    <mergeCell ref="AI3:AI4"/>
    <mergeCell ref="AL10:AP10"/>
    <mergeCell ref="AL7:AP7"/>
    <mergeCell ref="AL8:AP8"/>
    <mergeCell ref="AL9:AP9"/>
    <mergeCell ref="AL17:AP17"/>
    <mergeCell ref="AL18:AP18"/>
    <mergeCell ref="AL19:AP19"/>
    <mergeCell ref="AL20:AP20"/>
    <mergeCell ref="AL21:AP21"/>
    <mergeCell ref="AD35:AD38"/>
    <mergeCell ref="AL22:AP22"/>
    <mergeCell ref="AL23:AP23"/>
    <mergeCell ref="AL24:AP24"/>
    <mergeCell ref="AK35:AK38"/>
    <mergeCell ref="AL35:AP38"/>
    <mergeCell ref="AL26:AP26"/>
    <mergeCell ref="AL27:AP27"/>
    <mergeCell ref="AL28:AP28"/>
    <mergeCell ref="AL29:AP29"/>
    <mergeCell ref="AL30:AP30"/>
    <mergeCell ref="AL25:AP25"/>
  </mergeCells>
  <phoneticPr fontId="1"/>
  <dataValidations count="1">
    <dataValidation imeMode="off" allowBlank="1" showInputMessage="1" showErrorMessage="1" sqref="C1:C3 A39:C1048576 A1:A35 B1:B34 C5:C34" xr:uid="{77A89FBB-5C86-48D8-B2DB-182146287A9D}"/>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3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5A617A1F-6699-4CFC-870B-E4EAC4491FF8}">
          <x14:formula1>
            <xm:f>Sheet1!$G$6:$G$7</xm:f>
          </x14:formula1>
          <xm:sqref>S5:S34 AA5:AA34</xm:sqref>
        </x14:dataValidation>
        <x14:dataValidation type="list" allowBlank="1" showInputMessage="1" showErrorMessage="1" xr:uid="{9C782414-DF53-4938-933B-E0F3E8F82045}">
          <x14:formula1>
            <xm:f>Sheet1!$I$1:$I$2</xm:f>
          </x14:formula1>
          <xm:sqref>X5:X34</xm:sqref>
        </x14:dataValidation>
        <x14:dataValidation type="list" allowBlank="1" showInputMessage="1" showErrorMessage="1" xr:uid="{876FC997-F947-4C50-BD9B-27DABD38B213}">
          <x14:formula1>
            <xm:f>Sheet1!$G$17:$G$18</xm:f>
          </x14:formula1>
          <xm:sqref>AH5:AH34</xm:sqref>
        </x14:dataValidation>
        <x14:dataValidation type="list" allowBlank="1" showInputMessage="1" showErrorMessage="1" xr:uid="{472E51C5-246D-4D02-BF3A-D14A552831CC}">
          <x14:formula1>
            <xm:f>Sheet1!$G$1:$G$4</xm:f>
          </x14:formula1>
          <xm:sqref>AE5:AF34</xm:sqref>
        </x14:dataValidation>
        <x14:dataValidation type="list" allowBlank="1" showInputMessage="1" showErrorMessage="1" xr:uid="{A30A2CCB-7D66-4786-9C3D-C3C2007107AE}">
          <x14:formula1>
            <xm:f>Sheet1!$A$13:$A$15</xm:f>
          </x14:formula1>
          <xm:sqref>AB5:AB34</xm:sqref>
        </x14:dataValidation>
        <x14:dataValidation type="list" allowBlank="1" showInputMessage="1" showErrorMessage="1" xr:uid="{1EF40EE7-EDEF-425D-B6B4-EC99AEE425EC}">
          <x14:formula1>
            <xm:f>Sheet1!$C$17:$C$20</xm:f>
          </x14:formula1>
          <xm:sqref>T5:T34</xm:sqref>
        </x14:dataValidation>
        <x14:dataValidation type="list" allowBlank="1" showInputMessage="1" showErrorMessage="1" xr:uid="{B8BA5062-E9AD-4274-B4C6-AF7312B47457}">
          <x14:formula1>
            <xm:f>Sheet1!$A$17:$A$20</xm:f>
          </x14:formula1>
          <xm:sqref>R9:R11 R5:R7 R28:R34 R22:R26 R14:R19</xm:sqref>
        </x14:dataValidation>
        <x14:dataValidation type="list" allowBlank="1" showInputMessage="1" showErrorMessage="1" xr:uid="{0CB98E46-1417-477F-B25D-5778062B23E0}">
          <x14:formula1>
            <xm:f>Sheet1!$C$6:$C$7</xm:f>
          </x14:formula1>
          <xm:sqref>U5:U34 AJ5:AK34 AC5:AD34 M5:O34</xm:sqref>
        </x14:dataValidation>
        <x14:dataValidation type="list" allowBlank="1" showInputMessage="1" showErrorMessage="1" xr:uid="{123C2E30-64A1-4195-A107-7B7D9A414498}">
          <x14:formula1>
            <xm:f>Sheet1!$E$9:$E$11</xm:f>
          </x14:formula1>
          <xm:sqref>L5:L34</xm:sqref>
        </x14:dataValidation>
        <x14:dataValidation type="list" allowBlank="1" showInputMessage="1" showErrorMessage="1" xr:uid="{9737C009-66BE-4738-B3D1-6C2AFCBD2C53}">
          <x14:formula1>
            <xm:f>Sheet1!$G$9:$G$12</xm:f>
          </x14:formula1>
          <xm:sqref>K5:K34</xm:sqref>
        </x14:dataValidation>
        <x14:dataValidation type="list" allowBlank="1" showInputMessage="1" showErrorMessage="1" xr:uid="{204EFD0E-58CA-4C36-9FCF-7A7C59FD0CF8}">
          <x14:formula1>
            <xm:f>Sheet1!$D$1:$D$3</xm:f>
          </x14:formula1>
          <xm:sqref>J5:J34</xm:sqref>
        </x14:dataValidation>
        <x14:dataValidation type="list" allowBlank="1" showInputMessage="1" showErrorMessage="1" xr:uid="{262A19E1-CE97-4724-8075-CC11096EF046}">
          <x14:formula1>
            <xm:f>Sheet1!$A$9:$A$11</xm:f>
          </x14:formula1>
          <xm:sqref>V5:V34 I5:I34 P5:P29 P31:P34</xm:sqref>
        </x14:dataValidation>
        <x14:dataValidation type="list" allowBlank="1" showInputMessage="1" showErrorMessage="1" xr:uid="{C98E94C9-6CA7-4CF3-873C-51036BA5A0C5}">
          <x14:formula1>
            <xm:f>Sheet1!$A$6:$A$7</xm:f>
          </x14:formula1>
          <xm:sqref>H5:H34</xm:sqref>
        </x14:dataValidation>
        <x14:dataValidation type="list" allowBlank="1" showInputMessage="1" showErrorMessage="1" xr:uid="{53DD33A3-1629-4C41-A5B9-BA26E7CD62DB}">
          <x14:formula1>
            <xm:f>Sheet1!$A$1:$A$4</xm:f>
          </x14:formula1>
          <xm:sqref>G5:G34</xm:sqref>
        </x14:dataValidation>
        <x14:dataValidation type="list" allowBlank="1" showInputMessage="1" showErrorMessage="1" xr:uid="{8D68DABA-06BD-426D-8C48-A040CFCB70AB}">
          <x14:formula1>
            <xm:f>Sheet1!$C$9:$C$11</xm:f>
          </x14:formula1>
          <xm:sqref>Q5:Q34 W5:W26 W28:W34</xm:sqref>
        </x14:dataValidation>
        <x14:dataValidation type="list" allowBlank="1" showInputMessage="1" showErrorMessage="1" xr:uid="{CCDDC386-0F74-43EF-84E9-4E5CF691F3C8}">
          <x14:formula1>
            <xm:f>Sheet1!$E$17:$E$18</xm:f>
          </x14:formula1>
          <xm:sqref>AG5:AG34</xm:sqref>
        </x14:dataValidation>
        <x14:dataValidation type="list" allowBlank="1" showInputMessage="1" showErrorMessage="1" xr:uid="{BB2DBC97-EACB-4340-B770-08E79DE7984C}">
          <x14:formula1>
            <xm:f>Sheet1!$C$6:$C$8</xm:f>
          </x14:formula1>
          <xm:sqref>AI5:AI34</xm:sqref>
        </x14:dataValidation>
        <x14:dataValidation type="list" allowBlank="1" showInputMessage="1" showErrorMessage="1" xr:uid="{289B2BA5-8350-41F1-83D0-CDAF7EA62F18}">
          <x14:formula1>
            <xm:f>Sheet1!$I$9:$I$13</xm:f>
          </x14:formula1>
          <xm:sqref>Y5:Y14 Y16:Y32 Y34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792A4-B9EB-4291-BDCE-F3F369A49B40}">
  <sheetPr codeName="Sheet8">
    <tabColor rgb="FF92D050"/>
  </sheetPr>
  <dimension ref="A1:AS39"/>
  <sheetViews>
    <sheetView view="pageBreakPreview" zoomScaleNormal="40" zoomScaleSheetLayoutView="70" workbookViewId="0">
      <pane xSplit="5" ySplit="4" topLeftCell="AI5" activePane="bottomRight" state="frozen"/>
      <selection activeCell="N11" sqref="N11"/>
      <selection pane="topRight" activeCell="N11" sqref="N11"/>
      <selection pane="bottomLeft" activeCell="N11" sqref="N11"/>
      <selection pane="bottomRight" activeCell="AL6" sqref="AL6:AP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0" width="9.125" style="2" customWidth="1"/>
    <col min="41" max="41" width="25.25" style="2" customWidth="1"/>
    <col min="42" max="42" width="9.5" style="1" customWidth="1"/>
    <col min="43" max="43" width="10" style="2" customWidth="1"/>
    <col min="44" max="45" width="12" style="2" customWidth="1"/>
    <col min="46" max="50" width="12" style="1" customWidth="1"/>
    <col min="51" max="16384" width="8.625" style="1"/>
  </cols>
  <sheetData>
    <row r="1" spans="1:45"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5"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row>
    <row r="3" spans="1:45"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c r="AS3" s="1"/>
    </row>
    <row r="4" spans="1:45" s="2" customFormat="1" ht="15" customHeight="1" x14ac:dyDescent="0.4">
      <c r="A4" s="83"/>
      <c r="B4" s="84"/>
      <c r="C4" s="86"/>
      <c r="D4" s="89"/>
      <c r="E4" s="90"/>
      <c r="F4" s="84"/>
      <c r="G4" s="86"/>
      <c r="H4" s="86"/>
      <c r="I4" s="5" t="s">
        <v>16</v>
      </c>
      <c r="J4" s="5" t="s">
        <v>27</v>
      </c>
      <c r="K4" s="5" t="s">
        <v>2</v>
      </c>
      <c r="L4" s="5" t="s">
        <v>28</v>
      </c>
      <c r="M4" s="5" t="s">
        <v>14</v>
      </c>
      <c r="N4" s="5" t="s">
        <v>898</v>
      </c>
      <c r="O4" s="5" t="s">
        <v>918</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5" s="10" customFormat="1" ht="35.25" customHeight="1" x14ac:dyDescent="0.4">
      <c r="A5" s="6">
        <v>8</v>
      </c>
      <c r="B5" s="6">
        <v>101</v>
      </c>
      <c r="C5" s="6" t="s">
        <v>79</v>
      </c>
      <c r="D5" s="18" t="s">
        <v>2756</v>
      </c>
      <c r="E5" s="32" t="s">
        <v>18</v>
      </c>
      <c r="F5" s="6" t="s">
        <v>2757</v>
      </c>
      <c r="G5" s="6" t="s">
        <v>40</v>
      </c>
      <c r="H5" s="6" t="s">
        <v>52</v>
      </c>
      <c r="I5" s="6" t="s">
        <v>84</v>
      </c>
      <c r="J5" s="6" t="s">
        <v>85</v>
      </c>
      <c r="K5" s="6" t="s">
        <v>60</v>
      </c>
      <c r="L5" s="6" t="s">
        <v>92</v>
      </c>
      <c r="M5" s="6" t="s">
        <v>45</v>
      </c>
      <c r="N5" s="6" t="s">
        <v>45</v>
      </c>
      <c r="O5" s="6" t="s">
        <v>23</v>
      </c>
      <c r="P5" s="6" t="s">
        <v>84</v>
      </c>
      <c r="Q5" s="6" t="s">
        <v>86</v>
      </c>
      <c r="R5" s="6" t="s">
        <v>2758</v>
      </c>
      <c r="S5" s="16" t="s">
        <v>39</v>
      </c>
      <c r="T5" s="6">
        <v>900</v>
      </c>
      <c r="U5" s="6" t="s">
        <v>45</v>
      </c>
      <c r="V5" s="6" t="s">
        <v>84</v>
      </c>
      <c r="W5" s="6" t="s">
        <v>86</v>
      </c>
      <c r="X5" s="16" t="s">
        <v>60</v>
      </c>
      <c r="Y5" s="16" t="s">
        <v>2759</v>
      </c>
      <c r="Z5" s="16"/>
      <c r="AA5" s="16" t="s">
        <v>39</v>
      </c>
      <c r="AB5" s="7" t="s">
        <v>88</v>
      </c>
      <c r="AC5" s="8" t="s">
        <v>45</v>
      </c>
      <c r="AD5" s="8" t="s">
        <v>23</v>
      </c>
      <c r="AE5" s="8" t="s">
        <v>50</v>
      </c>
      <c r="AF5" s="8" t="s">
        <v>50</v>
      </c>
      <c r="AG5" s="17" t="s">
        <v>60</v>
      </c>
      <c r="AH5" s="17" t="s">
        <v>62</v>
      </c>
      <c r="AI5" s="17" t="s">
        <v>45</v>
      </c>
      <c r="AJ5" s="17" t="s">
        <v>23</v>
      </c>
      <c r="AK5" s="9" t="s">
        <v>45</v>
      </c>
      <c r="AL5" s="140" t="s">
        <v>2765</v>
      </c>
      <c r="AM5" s="141"/>
      <c r="AN5" s="141"/>
      <c r="AO5" s="141"/>
      <c r="AP5" s="142"/>
    </row>
    <row r="6" spans="1:45" s="14" customFormat="1" ht="60.75" customHeight="1" x14ac:dyDescent="0.4">
      <c r="A6" s="11">
        <v>8</v>
      </c>
      <c r="B6" s="11">
        <v>201</v>
      </c>
      <c r="C6" s="11" t="s">
        <v>79</v>
      </c>
      <c r="D6" s="13" t="s">
        <v>1316</v>
      </c>
      <c r="E6" s="33" t="s">
        <v>18</v>
      </c>
      <c r="F6" s="45" t="s">
        <v>1317</v>
      </c>
      <c r="G6" s="11" t="s">
        <v>43</v>
      </c>
      <c r="H6" s="11" t="s">
        <v>52</v>
      </c>
      <c r="I6" s="11" t="s">
        <v>84</v>
      </c>
      <c r="J6" s="11" t="s">
        <v>85</v>
      </c>
      <c r="K6" s="11" t="s">
        <v>60</v>
      </c>
      <c r="L6" s="11" t="s">
        <v>92</v>
      </c>
      <c r="M6" s="11" t="s">
        <v>45</v>
      </c>
      <c r="N6" s="11" t="s">
        <v>45</v>
      </c>
      <c r="O6" s="11" t="s">
        <v>45</v>
      </c>
      <c r="P6" s="11" t="s">
        <v>84</v>
      </c>
      <c r="Q6" s="11" t="s">
        <v>86</v>
      </c>
      <c r="R6" s="11">
        <v>750</v>
      </c>
      <c r="S6" s="40" t="s">
        <v>39</v>
      </c>
      <c r="T6" s="11">
        <v>900</v>
      </c>
      <c r="U6" s="11" t="s">
        <v>45</v>
      </c>
      <c r="V6" s="11" t="s">
        <v>84</v>
      </c>
      <c r="W6" s="11" t="s">
        <v>86</v>
      </c>
      <c r="X6" s="40" t="s">
        <v>60</v>
      </c>
      <c r="Y6" s="40" t="s">
        <v>87</v>
      </c>
      <c r="Z6" s="40"/>
      <c r="AA6" s="40" t="s">
        <v>39</v>
      </c>
      <c r="AB6" s="12" t="s">
        <v>19</v>
      </c>
      <c r="AC6" s="11" t="s">
        <v>45</v>
      </c>
      <c r="AD6" s="11" t="s">
        <v>45</v>
      </c>
      <c r="AE6" s="11" t="s">
        <v>116</v>
      </c>
      <c r="AF6" s="11" t="s">
        <v>50</v>
      </c>
      <c r="AG6" s="13" t="s">
        <v>60</v>
      </c>
      <c r="AH6" s="13" t="s">
        <v>62</v>
      </c>
      <c r="AI6" s="13" t="s">
        <v>45</v>
      </c>
      <c r="AJ6" s="13" t="s">
        <v>45</v>
      </c>
      <c r="AK6" s="13" t="s">
        <v>23</v>
      </c>
      <c r="AL6" s="133" t="s">
        <v>1318</v>
      </c>
      <c r="AM6" s="134"/>
      <c r="AN6" s="134"/>
      <c r="AO6" s="134"/>
      <c r="AP6" s="135"/>
    </row>
    <row r="7" spans="1:45" s="10" customFormat="1" ht="58.5" customHeight="1" x14ac:dyDescent="0.4">
      <c r="A7" s="6">
        <v>8</v>
      </c>
      <c r="B7" s="6">
        <v>301</v>
      </c>
      <c r="C7" s="6" t="s">
        <v>79</v>
      </c>
      <c r="D7" s="18" t="s">
        <v>1304</v>
      </c>
      <c r="E7" s="34" t="s">
        <v>18</v>
      </c>
      <c r="F7" s="6" t="s">
        <v>1305</v>
      </c>
      <c r="G7" s="6" t="s">
        <v>43</v>
      </c>
      <c r="H7" s="6" t="s">
        <v>52</v>
      </c>
      <c r="I7" s="6" t="s">
        <v>84</v>
      </c>
      <c r="J7" s="6" t="s">
        <v>85</v>
      </c>
      <c r="K7" s="6" t="s">
        <v>60</v>
      </c>
      <c r="L7" s="6" t="s">
        <v>92</v>
      </c>
      <c r="M7" s="6" t="s">
        <v>45</v>
      </c>
      <c r="N7" s="6" t="s">
        <v>23</v>
      </c>
      <c r="O7" s="6" t="s">
        <v>23</v>
      </c>
      <c r="P7" s="6" t="s">
        <v>84</v>
      </c>
      <c r="Q7" s="6" t="s">
        <v>86</v>
      </c>
      <c r="R7" s="6">
        <v>750</v>
      </c>
      <c r="S7" s="6" t="s">
        <v>39</v>
      </c>
      <c r="T7" s="6">
        <v>900</v>
      </c>
      <c r="U7" s="6" t="s">
        <v>45</v>
      </c>
      <c r="V7" s="6" t="s">
        <v>84</v>
      </c>
      <c r="W7" s="6" t="s">
        <v>86</v>
      </c>
      <c r="X7" s="6" t="s">
        <v>60</v>
      </c>
      <c r="Y7" s="6" t="s">
        <v>87</v>
      </c>
      <c r="Z7" s="6" t="s">
        <v>1306</v>
      </c>
      <c r="AA7" s="6" t="s">
        <v>39</v>
      </c>
      <c r="AB7" s="15" t="s">
        <v>19</v>
      </c>
      <c r="AC7" s="16" t="s">
        <v>45</v>
      </c>
      <c r="AD7" s="16" t="s">
        <v>45</v>
      </c>
      <c r="AE7" s="16" t="s">
        <v>116</v>
      </c>
      <c r="AF7" s="16" t="s">
        <v>50</v>
      </c>
      <c r="AG7" s="17" t="s">
        <v>60</v>
      </c>
      <c r="AH7" s="17" t="s">
        <v>62</v>
      </c>
      <c r="AI7" s="17" t="s">
        <v>45</v>
      </c>
      <c r="AJ7" s="17" t="s">
        <v>45</v>
      </c>
      <c r="AK7" s="17" t="s">
        <v>45</v>
      </c>
      <c r="AL7" s="106" t="s">
        <v>1310</v>
      </c>
      <c r="AM7" s="107"/>
      <c r="AN7" s="107"/>
      <c r="AO7" s="107"/>
      <c r="AP7" s="108"/>
    </row>
    <row r="8" spans="1:45" s="14" customFormat="1" ht="54" customHeight="1" x14ac:dyDescent="0.4">
      <c r="A8" s="11">
        <v>8</v>
      </c>
      <c r="B8" s="11">
        <v>401</v>
      </c>
      <c r="C8" s="11" t="s">
        <v>79</v>
      </c>
      <c r="D8" s="13" t="s">
        <v>1307</v>
      </c>
      <c r="E8" s="33" t="s">
        <v>18</v>
      </c>
      <c r="F8" s="11" t="s">
        <v>1308</v>
      </c>
      <c r="G8" s="11" t="s">
        <v>43</v>
      </c>
      <c r="H8" s="11" t="s">
        <v>52</v>
      </c>
      <c r="I8" s="11" t="s">
        <v>84</v>
      </c>
      <c r="J8" s="11" t="s">
        <v>85</v>
      </c>
      <c r="K8" s="11" t="s">
        <v>431</v>
      </c>
      <c r="L8" s="11" t="s">
        <v>92</v>
      </c>
      <c r="M8" s="11" t="s">
        <v>45</v>
      </c>
      <c r="N8" s="11" t="s">
        <v>45</v>
      </c>
      <c r="O8" s="11" t="s">
        <v>45</v>
      </c>
      <c r="P8" s="11" t="s">
        <v>84</v>
      </c>
      <c r="Q8" s="11" t="s">
        <v>86</v>
      </c>
      <c r="R8" s="11">
        <v>590</v>
      </c>
      <c r="S8" s="40" t="s">
        <v>39</v>
      </c>
      <c r="T8" s="11">
        <v>620</v>
      </c>
      <c r="U8" s="11" t="s">
        <v>45</v>
      </c>
      <c r="V8" s="11" t="s">
        <v>84</v>
      </c>
      <c r="W8" s="11" t="s">
        <v>86</v>
      </c>
      <c r="X8" s="40" t="s">
        <v>60</v>
      </c>
      <c r="Y8" s="40" t="s">
        <v>344</v>
      </c>
      <c r="Z8" s="53" t="s">
        <v>1309</v>
      </c>
      <c r="AA8" s="40" t="s">
        <v>39</v>
      </c>
      <c r="AB8" s="12" t="s">
        <v>88</v>
      </c>
      <c r="AC8" s="11" t="s">
        <v>45</v>
      </c>
      <c r="AD8" s="11" t="s">
        <v>23</v>
      </c>
      <c r="AE8" s="11" t="s">
        <v>50</v>
      </c>
      <c r="AF8" s="11" t="s">
        <v>50</v>
      </c>
      <c r="AG8" s="13" t="s">
        <v>60</v>
      </c>
      <c r="AH8" s="13" t="s">
        <v>62</v>
      </c>
      <c r="AI8" s="13" t="s">
        <v>45</v>
      </c>
      <c r="AJ8" s="13" t="s">
        <v>45</v>
      </c>
      <c r="AK8" s="13" t="s">
        <v>45</v>
      </c>
      <c r="AL8" s="133" t="s">
        <v>1311</v>
      </c>
      <c r="AM8" s="134"/>
      <c r="AN8" s="134"/>
      <c r="AO8" s="134"/>
      <c r="AP8" s="135"/>
    </row>
    <row r="9" spans="1:45" s="10" customFormat="1" ht="40.5" customHeight="1" x14ac:dyDescent="0.4">
      <c r="A9" s="6">
        <v>8</v>
      </c>
      <c r="B9" s="6">
        <v>501</v>
      </c>
      <c r="C9" s="6" t="s">
        <v>79</v>
      </c>
      <c r="D9" s="18" t="s">
        <v>1301</v>
      </c>
      <c r="E9" s="34" t="s">
        <v>18</v>
      </c>
      <c r="F9" s="46" t="s">
        <v>1302</v>
      </c>
      <c r="G9" s="6" t="s">
        <v>43</v>
      </c>
      <c r="H9" s="6" t="s">
        <v>52</v>
      </c>
      <c r="I9" s="6" t="s">
        <v>84</v>
      </c>
      <c r="J9" s="6" t="s">
        <v>85</v>
      </c>
      <c r="K9" s="6" t="s">
        <v>60</v>
      </c>
      <c r="L9" s="6" t="s">
        <v>92</v>
      </c>
      <c r="M9" s="6" t="s">
        <v>45</v>
      </c>
      <c r="N9" s="6" t="s">
        <v>45</v>
      </c>
      <c r="O9" s="6" t="s">
        <v>45</v>
      </c>
      <c r="P9" s="6" t="s">
        <v>84</v>
      </c>
      <c r="Q9" s="6" t="s">
        <v>86</v>
      </c>
      <c r="R9" s="6">
        <v>740</v>
      </c>
      <c r="S9" s="6" t="s">
        <v>39</v>
      </c>
      <c r="T9" s="6">
        <v>900</v>
      </c>
      <c r="U9" s="6" t="s">
        <v>45</v>
      </c>
      <c r="V9" s="6" t="s">
        <v>84</v>
      </c>
      <c r="W9" s="6" t="s">
        <v>86</v>
      </c>
      <c r="X9" s="6" t="s">
        <v>60</v>
      </c>
      <c r="Y9" s="6" t="s">
        <v>104</v>
      </c>
      <c r="Z9" s="6"/>
      <c r="AA9" s="6" t="s">
        <v>65</v>
      </c>
      <c r="AB9" s="15" t="s">
        <v>88</v>
      </c>
      <c r="AC9" s="16" t="s">
        <v>23</v>
      </c>
      <c r="AD9" s="16" t="s">
        <v>23</v>
      </c>
      <c r="AE9" s="16" t="s">
        <v>50</v>
      </c>
      <c r="AF9" s="16" t="s">
        <v>50</v>
      </c>
      <c r="AG9" s="17" t="s">
        <v>60</v>
      </c>
      <c r="AH9" s="17" t="s">
        <v>62</v>
      </c>
      <c r="AI9" s="17" t="s">
        <v>45</v>
      </c>
      <c r="AJ9" s="17" t="s">
        <v>23</v>
      </c>
      <c r="AK9" s="17" t="s">
        <v>23</v>
      </c>
      <c r="AL9" s="106" t="s">
        <v>1303</v>
      </c>
      <c r="AM9" s="107"/>
      <c r="AN9" s="107"/>
      <c r="AO9" s="107"/>
      <c r="AP9" s="108"/>
    </row>
    <row r="10" spans="1:45" s="14" customFormat="1" ht="35.25" customHeight="1" x14ac:dyDescent="0.4">
      <c r="A10" s="11">
        <v>8</v>
      </c>
      <c r="B10" s="11">
        <v>102</v>
      </c>
      <c r="C10" s="11" t="s">
        <v>79</v>
      </c>
      <c r="D10" s="13" t="s">
        <v>1327</v>
      </c>
      <c r="E10" s="33" t="s">
        <v>18</v>
      </c>
      <c r="F10" s="45" t="s">
        <v>1322</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900</v>
      </c>
      <c r="U10" s="11" t="s">
        <v>45</v>
      </c>
      <c r="V10" s="11" t="s">
        <v>84</v>
      </c>
      <c r="W10" s="11" t="s">
        <v>86</v>
      </c>
      <c r="X10" s="40" t="s">
        <v>60</v>
      </c>
      <c r="Y10" s="40" t="s">
        <v>87</v>
      </c>
      <c r="Z10" s="40" t="s">
        <v>1323</v>
      </c>
      <c r="AA10" s="40" t="s">
        <v>39</v>
      </c>
      <c r="AB10" s="12" t="s">
        <v>88</v>
      </c>
      <c r="AC10" s="11" t="s">
        <v>45</v>
      </c>
      <c r="AD10" s="11" t="s">
        <v>23</v>
      </c>
      <c r="AE10" s="11" t="s">
        <v>50</v>
      </c>
      <c r="AF10" s="11" t="s">
        <v>50</v>
      </c>
      <c r="AG10" s="13" t="s">
        <v>60</v>
      </c>
      <c r="AH10" s="13" t="s">
        <v>62</v>
      </c>
      <c r="AI10" s="13" t="s">
        <v>45</v>
      </c>
      <c r="AJ10" s="13" t="s">
        <v>45</v>
      </c>
      <c r="AK10" s="13" t="s">
        <v>45</v>
      </c>
      <c r="AL10" s="94" t="s">
        <v>1324</v>
      </c>
      <c r="AM10" s="95"/>
      <c r="AN10" s="95"/>
      <c r="AO10" s="95"/>
      <c r="AP10" s="96"/>
    </row>
    <row r="11" spans="1:45" s="10" customFormat="1" ht="39.75" customHeight="1" x14ac:dyDescent="0.4">
      <c r="A11" s="6">
        <v>8</v>
      </c>
      <c r="B11" s="6">
        <v>202</v>
      </c>
      <c r="C11" s="6" t="s">
        <v>79</v>
      </c>
      <c r="D11" s="18" t="s">
        <v>1319</v>
      </c>
      <c r="E11" s="34" t="s">
        <v>18</v>
      </c>
      <c r="F11" s="46" t="s">
        <v>1320</v>
      </c>
      <c r="G11" s="6" t="s">
        <v>43</v>
      </c>
      <c r="H11" s="6" t="s">
        <v>52</v>
      </c>
      <c r="I11" s="6" t="s">
        <v>84</v>
      </c>
      <c r="J11" s="6" t="s">
        <v>85</v>
      </c>
      <c r="K11" s="6" t="s">
        <v>60</v>
      </c>
      <c r="L11" s="6" t="s">
        <v>92</v>
      </c>
      <c r="M11" s="6" t="s">
        <v>45</v>
      </c>
      <c r="N11" s="6" t="s">
        <v>45</v>
      </c>
      <c r="O11" s="6" t="s">
        <v>45</v>
      </c>
      <c r="P11" s="6" t="s">
        <v>84</v>
      </c>
      <c r="Q11" s="6" t="s">
        <v>86</v>
      </c>
      <c r="R11" s="6">
        <v>750</v>
      </c>
      <c r="S11" s="6" t="s">
        <v>39</v>
      </c>
      <c r="T11" s="6">
        <v>900</v>
      </c>
      <c r="U11" s="6" t="s">
        <v>45</v>
      </c>
      <c r="V11" s="6" t="s">
        <v>84</v>
      </c>
      <c r="W11" s="6" t="s">
        <v>86</v>
      </c>
      <c r="X11" s="6" t="s">
        <v>60</v>
      </c>
      <c r="Y11" s="6" t="s">
        <v>87</v>
      </c>
      <c r="Z11" s="6" t="s">
        <v>1321</v>
      </c>
      <c r="AA11" s="6" t="s">
        <v>39</v>
      </c>
      <c r="AB11" s="15" t="s">
        <v>88</v>
      </c>
      <c r="AC11" s="16" t="s">
        <v>45</v>
      </c>
      <c r="AD11" s="16" t="s">
        <v>23</v>
      </c>
      <c r="AE11" s="16" t="s">
        <v>50</v>
      </c>
      <c r="AF11" s="16" t="s">
        <v>50</v>
      </c>
      <c r="AG11" s="17" t="s">
        <v>60</v>
      </c>
      <c r="AH11" s="17" t="s">
        <v>62</v>
      </c>
      <c r="AI11" s="17" t="s">
        <v>45</v>
      </c>
      <c r="AJ11" s="17" t="s">
        <v>45</v>
      </c>
      <c r="AK11" s="17" t="s">
        <v>45</v>
      </c>
      <c r="AL11" s="78" t="s">
        <v>1328</v>
      </c>
      <c r="AM11" s="79"/>
      <c r="AN11" s="79"/>
      <c r="AO11" s="79"/>
      <c r="AP11" s="80"/>
    </row>
    <row r="12" spans="1:45" s="14" customFormat="1" ht="46.5" customHeight="1" x14ac:dyDescent="0.4">
      <c r="A12" s="11">
        <v>8</v>
      </c>
      <c r="B12" s="11">
        <v>302</v>
      </c>
      <c r="C12" s="11" t="s">
        <v>79</v>
      </c>
      <c r="D12" s="13" t="s">
        <v>1330</v>
      </c>
      <c r="E12" s="33" t="s">
        <v>18</v>
      </c>
      <c r="F12" s="11" t="s">
        <v>1331</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900</v>
      </c>
      <c r="U12" s="11" t="s">
        <v>45</v>
      </c>
      <c r="V12" s="11" t="s">
        <v>84</v>
      </c>
      <c r="W12" s="11" t="s">
        <v>86</v>
      </c>
      <c r="X12" s="40" t="s">
        <v>60</v>
      </c>
      <c r="Y12" s="40" t="s">
        <v>87</v>
      </c>
      <c r="Z12" s="40" t="s">
        <v>1332</v>
      </c>
      <c r="AA12" s="40" t="s">
        <v>39</v>
      </c>
      <c r="AB12" s="12" t="s">
        <v>88</v>
      </c>
      <c r="AC12" s="11" t="s">
        <v>45</v>
      </c>
      <c r="AD12" s="11" t="s">
        <v>45</v>
      </c>
      <c r="AE12" s="11" t="s">
        <v>116</v>
      </c>
      <c r="AF12" s="11" t="s">
        <v>50</v>
      </c>
      <c r="AG12" s="13" t="s">
        <v>60</v>
      </c>
      <c r="AH12" s="13" t="s">
        <v>62</v>
      </c>
      <c r="AI12" s="13" t="s">
        <v>23</v>
      </c>
      <c r="AJ12" s="13" t="s">
        <v>45</v>
      </c>
      <c r="AK12" s="13" t="s">
        <v>45</v>
      </c>
      <c r="AL12" s="133" t="s">
        <v>1333</v>
      </c>
      <c r="AM12" s="134"/>
      <c r="AN12" s="134"/>
      <c r="AO12" s="134"/>
      <c r="AP12" s="135"/>
    </row>
    <row r="13" spans="1:45" s="10" customFormat="1" ht="15" customHeight="1" x14ac:dyDescent="0.4">
      <c r="A13" s="6">
        <v>8</v>
      </c>
      <c r="B13" s="6">
        <v>402</v>
      </c>
      <c r="C13" s="6" t="s">
        <v>79</v>
      </c>
      <c r="D13" s="18" t="s">
        <v>1325</v>
      </c>
      <c r="E13" s="34" t="s">
        <v>18</v>
      </c>
      <c r="F13" s="6" t="s">
        <v>1326</v>
      </c>
      <c r="G13" s="6" t="s">
        <v>22</v>
      </c>
      <c r="H13" s="6" t="s">
        <v>52</v>
      </c>
      <c r="I13" s="6" t="s">
        <v>84</v>
      </c>
      <c r="J13" s="6" t="s">
        <v>85</v>
      </c>
      <c r="K13" s="6" t="s">
        <v>60</v>
      </c>
      <c r="L13" s="6" t="s">
        <v>92</v>
      </c>
      <c r="M13" s="6" t="s">
        <v>45</v>
      </c>
      <c r="N13" s="6" t="s">
        <v>45</v>
      </c>
      <c r="O13" s="6" t="s">
        <v>45</v>
      </c>
      <c r="P13" s="6" t="s">
        <v>84</v>
      </c>
      <c r="Q13" s="6" t="s">
        <v>86</v>
      </c>
      <c r="R13" s="6">
        <v>750</v>
      </c>
      <c r="S13" s="6" t="s">
        <v>39</v>
      </c>
      <c r="T13" s="6">
        <v>900</v>
      </c>
      <c r="U13" s="6" t="s">
        <v>45</v>
      </c>
      <c r="V13" s="6" t="s">
        <v>84</v>
      </c>
      <c r="W13" s="6" t="s">
        <v>86</v>
      </c>
      <c r="X13" s="6" t="s">
        <v>60</v>
      </c>
      <c r="Y13" s="6" t="s">
        <v>87</v>
      </c>
      <c r="Z13" s="6"/>
      <c r="AA13" s="6" t="s">
        <v>39</v>
      </c>
      <c r="AB13" s="15" t="s">
        <v>88</v>
      </c>
      <c r="AC13" s="16" t="s">
        <v>23</v>
      </c>
      <c r="AD13" s="16" t="s">
        <v>23</v>
      </c>
      <c r="AE13" s="16" t="s">
        <v>50</v>
      </c>
      <c r="AF13" s="16" t="s">
        <v>50</v>
      </c>
      <c r="AG13" s="17" t="s">
        <v>60</v>
      </c>
      <c r="AH13" s="17" t="s">
        <v>62</v>
      </c>
      <c r="AI13" s="17" t="s">
        <v>45</v>
      </c>
      <c r="AJ13" s="17" t="s">
        <v>45</v>
      </c>
      <c r="AK13" s="17" t="s">
        <v>45</v>
      </c>
      <c r="AL13" s="78" t="s">
        <v>1329</v>
      </c>
      <c r="AM13" s="79"/>
      <c r="AN13" s="79"/>
      <c r="AO13" s="79"/>
      <c r="AP13" s="80"/>
    </row>
    <row r="14" spans="1:45" s="14" customFormat="1" ht="51.75" customHeight="1" x14ac:dyDescent="0.4">
      <c r="A14" s="11">
        <v>8</v>
      </c>
      <c r="B14" s="11">
        <v>502</v>
      </c>
      <c r="C14" s="11" t="s">
        <v>79</v>
      </c>
      <c r="D14" s="13" t="s">
        <v>1364</v>
      </c>
      <c r="E14" s="33" t="s">
        <v>18</v>
      </c>
      <c r="F14" s="11" t="s">
        <v>1365</v>
      </c>
      <c r="G14" s="11" t="s">
        <v>43</v>
      </c>
      <c r="H14" s="11" t="s">
        <v>52</v>
      </c>
      <c r="I14" s="11" t="s">
        <v>84</v>
      </c>
      <c r="J14" s="11" t="s">
        <v>85</v>
      </c>
      <c r="K14" s="11" t="s">
        <v>60</v>
      </c>
      <c r="L14" s="11" t="s">
        <v>92</v>
      </c>
      <c r="M14" s="11" t="s">
        <v>23</v>
      </c>
      <c r="N14" s="11" t="s">
        <v>45</v>
      </c>
      <c r="O14" s="11" t="s">
        <v>23</v>
      </c>
      <c r="P14" s="11" t="s">
        <v>84</v>
      </c>
      <c r="Q14" s="11" t="s">
        <v>86</v>
      </c>
      <c r="R14" s="11">
        <v>750</v>
      </c>
      <c r="S14" s="40" t="s">
        <v>39</v>
      </c>
      <c r="T14" s="11"/>
      <c r="U14" s="11" t="s">
        <v>45</v>
      </c>
      <c r="V14" s="11" t="s">
        <v>84</v>
      </c>
      <c r="W14" s="11" t="s">
        <v>86</v>
      </c>
      <c r="X14" s="40" t="s">
        <v>60</v>
      </c>
      <c r="Y14" s="40" t="s">
        <v>1366</v>
      </c>
      <c r="Z14" s="40"/>
      <c r="AA14" s="40" t="s">
        <v>65</v>
      </c>
      <c r="AB14" s="12" t="s">
        <v>88</v>
      </c>
      <c r="AC14" s="11" t="s">
        <v>45</v>
      </c>
      <c r="AD14" s="11" t="s">
        <v>23</v>
      </c>
      <c r="AE14" s="11" t="s">
        <v>50</v>
      </c>
      <c r="AF14" s="11" t="s">
        <v>50</v>
      </c>
      <c r="AG14" s="13" t="s">
        <v>60</v>
      </c>
      <c r="AH14" s="13" t="s">
        <v>96</v>
      </c>
      <c r="AI14" s="61" t="s">
        <v>45</v>
      </c>
      <c r="AJ14" s="13" t="s">
        <v>45</v>
      </c>
      <c r="AK14" s="13" t="s">
        <v>45</v>
      </c>
      <c r="AL14" s="133" t="s">
        <v>2743</v>
      </c>
      <c r="AM14" s="134"/>
      <c r="AN14" s="134"/>
      <c r="AO14" s="134"/>
      <c r="AP14" s="135"/>
    </row>
    <row r="15" spans="1:45" s="10" customFormat="1" ht="50.25" customHeight="1" x14ac:dyDescent="0.4">
      <c r="A15" s="6">
        <v>8</v>
      </c>
      <c r="B15" s="6">
        <v>103</v>
      </c>
      <c r="C15" s="6" t="s">
        <v>79</v>
      </c>
      <c r="D15" s="18" t="s">
        <v>1367</v>
      </c>
      <c r="E15" s="34" t="s">
        <v>18</v>
      </c>
      <c r="F15" s="46" t="s">
        <v>1368</v>
      </c>
      <c r="G15" s="6" t="s">
        <v>43</v>
      </c>
      <c r="H15" s="6" t="s">
        <v>52</v>
      </c>
      <c r="I15" s="6" t="s">
        <v>84</v>
      </c>
      <c r="J15" s="6" t="s">
        <v>85</v>
      </c>
      <c r="K15" s="6" t="s">
        <v>60</v>
      </c>
      <c r="L15" s="6" t="s">
        <v>92</v>
      </c>
      <c r="M15" s="6" t="s">
        <v>45</v>
      </c>
      <c r="N15" s="6" t="s">
        <v>45</v>
      </c>
      <c r="O15" s="6" t="s">
        <v>23</v>
      </c>
      <c r="P15" s="6" t="s">
        <v>84</v>
      </c>
      <c r="Q15" s="6" t="s">
        <v>86</v>
      </c>
      <c r="R15" s="6">
        <v>750</v>
      </c>
      <c r="S15" s="6" t="s">
        <v>39</v>
      </c>
      <c r="T15" s="6">
        <v>640</v>
      </c>
      <c r="U15" s="6" t="s">
        <v>45</v>
      </c>
      <c r="V15" s="6" t="s">
        <v>84</v>
      </c>
      <c r="W15" s="6" t="s">
        <v>86</v>
      </c>
      <c r="X15" s="6" t="s">
        <v>60</v>
      </c>
      <c r="Y15" s="6" t="s">
        <v>141</v>
      </c>
      <c r="Z15" s="6"/>
      <c r="AA15" s="6" t="s">
        <v>65</v>
      </c>
      <c r="AB15" s="15" t="s">
        <v>88</v>
      </c>
      <c r="AC15" s="16" t="s">
        <v>45</v>
      </c>
      <c r="AD15" s="16" t="s">
        <v>23</v>
      </c>
      <c r="AE15" s="16" t="s">
        <v>50</v>
      </c>
      <c r="AF15" s="16" t="s">
        <v>50</v>
      </c>
      <c r="AG15" s="17" t="s">
        <v>60</v>
      </c>
      <c r="AH15" s="17" t="s">
        <v>62</v>
      </c>
      <c r="AI15" s="17" t="s">
        <v>241</v>
      </c>
      <c r="AJ15" s="17" t="s">
        <v>45</v>
      </c>
      <c r="AK15" s="17" t="s">
        <v>23</v>
      </c>
      <c r="AL15" s="106" t="s">
        <v>2699</v>
      </c>
      <c r="AM15" s="107"/>
      <c r="AN15" s="107"/>
      <c r="AO15" s="107"/>
      <c r="AP15" s="108"/>
    </row>
    <row r="16" spans="1:45" s="14" customFormat="1" ht="36.75" customHeight="1" x14ac:dyDescent="0.4">
      <c r="A16" s="11">
        <v>8</v>
      </c>
      <c r="B16" s="11">
        <v>203</v>
      </c>
      <c r="C16" s="11" t="s">
        <v>79</v>
      </c>
      <c r="D16" s="13" t="s">
        <v>1338</v>
      </c>
      <c r="E16" s="33" t="s">
        <v>18</v>
      </c>
      <c r="F16" s="11" t="s">
        <v>1339</v>
      </c>
      <c r="G16" s="11" t="s">
        <v>43</v>
      </c>
      <c r="H16" s="11" t="s">
        <v>52</v>
      </c>
      <c r="I16" s="11" t="s">
        <v>84</v>
      </c>
      <c r="J16" s="11" t="s">
        <v>85</v>
      </c>
      <c r="K16" s="11" t="s">
        <v>19</v>
      </c>
      <c r="L16" s="11" t="s">
        <v>24</v>
      </c>
      <c r="M16" s="11" t="s">
        <v>45</v>
      </c>
      <c r="N16" s="11" t="s">
        <v>45</v>
      </c>
      <c r="O16" s="11" t="s">
        <v>45</v>
      </c>
      <c r="P16" s="11" t="s">
        <v>84</v>
      </c>
      <c r="Q16" s="11" t="s">
        <v>86</v>
      </c>
      <c r="R16" s="11">
        <v>750</v>
      </c>
      <c r="S16" s="40" t="s">
        <v>39</v>
      </c>
      <c r="T16" s="11">
        <v>900</v>
      </c>
      <c r="U16" s="11" t="s">
        <v>45</v>
      </c>
      <c r="V16" s="11" t="s">
        <v>84</v>
      </c>
      <c r="W16" s="11" t="s">
        <v>86</v>
      </c>
      <c r="X16" s="40" t="s">
        <v>19</v>
      </c>
      <c r="Y16" s="40"/>
      <c r="Z16" s="40"/>
      <c r="AA16" s="40" t="s">
        <v>65</v>
      </c>
      <c r="AB16" s="12" t="s">
        <v>19</v>
      </c>
      <c r="AC16" s="11" t="s">
        <v>45</v>
      </c>
      <c r="AD16" s="11" t="s">
        <v>45</v>
      </c>
      <c r="AE16" s="11" t="s">
        <v>50</v>
      </c>
      <c r="AF16" s="11" t="s">
        <v>50</v>
      </c>
      <c r="AG16" s="13" t="s">
        <v>60</v>
      </c>
      <c r="AH16" s="13" t="s">
        <v>62</v>
      </c>
      <c r="AI16" s="13" t="s">
        <v>45</v>
      </c>
      <c r="AJ16" s="13" t="s">
        <v>45</v>
      </c>
      <c r="AK16" s="13" t="s">
        <v>23</v>
      </c>
      <c r="AL16" s="133" t="s">
        <v>1340</v>
      </c>
      <c r="AM16" s="134"/>
      <c r="AN16" s="134"/>
      <c r="AO16" s="134"/>
      <c r="AP16" s="135"/>
    </row>
    <row r="17" spans="1:42" s="10" customFormat="1" ht="15" customHeight="1" x14ac:dyDescent="0.4">
      <c r="A17" s="6">
        <v>8</v>
      </c>
      <c r="B17" s="6">
        <v>303</v>
      </c>
      <c r="C17" s="6" t="s">
        <v>79</v>
      </c>
      <c r="D17" s="18" t="s">
        <v>1369</v>
      </c>
      <c r="E17" s="34" t="s">
        <v>18</v>
      </c>
      <c r="F17" s="6" t="s">
        <v>1370</v>
      </c>
      <c r="G17" s="6" t="s">
        <v>43</v>
      </c>
      <c r="H17" s="6" t="s">
        <v>52</v>
      </c>
      <c r="I17" s="6" t="s">
        <v>84</v>
      </c>
      <c r="J17" s="6" t="s">
        <v>85</v>
      </c>
      <c r="K17" s="6" t="s">
        <v>489</v>
      </c>
      <c r="L17" s="6" t="s">
        <v>92</v>
      </c>
      <c r="M17" s="6" t="s">
        <v>45</v>
      </c>
      <c r="N17" s="6" t="s">
        <v>45</v>
      </c>
      <c r="O17" s="6" t="s">
        <v>23</v>
      </c>
      <c r="P17" s="6" t="s">
        <v>1372</v>
      </c>
      <c r="Q17" s="6" t="s">
        <v>86</v>
      </c>
      <c r="R17" s="6">
        <v>900</v>
      </c>
      <c r="S17" s="6" t="s">
        <v>39</v>
      </c>
      <c r="T17" s="6">
        <v>900</v>
      </c>
      <c r="U17" s="6" t="s">
        <v>45</v>
      </c>
      <c r="V17" s="6" t="s">
        <v>1372</v>
      </c>
      <c r="W17" s="6" t="s">
        <v>86</v>
      </c>
      <c r="X17" s="6" t="s">
        <v>60</v>
      </c>
      <c r="Y17" s="6" t="s">
        <v>87</v>
      </c>
      <c r="Z17" s="6" t="s">
        <v>1371</v>
      </c>
      <c r="AA17" s="6" t="s">
        <v>39</v>
      </c>
      <c r="AB17" s="15" t="s">
        <v>88</v>
      </c>
      <c r="AC17" s="16" t="s">
        <v>23</v>
      </c>
      <c r="AD17" s="16" t="s">
        <v>23</v>
      </c>
      <c r="AE17" s="16" t="s">
        <v>50</v>
      </c>
      <c r="AF17" s="16" t="s">
        <v>50</v>
      </c>
      <c r="AG17" s="17" t="s">
        <v>60</v>
      </c>
      <c r="AH17" s="17" t="s">
        <v>62</v>
      </c>
      <c r="AI17" s="17" t="s">
        <v>45</v>
      </c>
      <c r="AJ17" s="17" t="s">
        <v>45</v>
      </c>
      <c r="AK17" s="17" t="s">
        <v>45</v>
      </c>
      <c r="AL17" s="78" t="s">
        <v>1373</v>
      </c>
      <c r="AM17" s="79"/>
      <c r="AN17" s="79"/>
      <c r="AO17" s="79"/>
      <c r="AP17" s="80"/>
    </row>
    <row r="18" spans="1:42" s="14" customFormat="1" ht="35.25" customHeight="1" x14ac:dyDescent="0.4">
      <c r="A18" s="11">
        <v>8</v>
      </c>
      <c r="B18" s="11">
        <v>403</v>
      </c>
      <c r="C18" s="11" t="s">
        <v>79</v>
      </c>
      <c r="D18" s="13" t="s">
        <v>1374</v>
      </c>
      <c r="E18" s="33" t="s">
        <v>18</v>
      </c>
      <c r="F18" s="45" t="s">
        <v>1375</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87</v>
      </c>
      <c r="Z18" s="40" t="s">
        <v>1376</v>
      </c>
      <c r="AA18" s="40" t="s">
        <v>65</v>
      </c>
      <c r="AB18" s="12" t="s">
        <v>88</v>
      </c>
      <c r="AC18" s="11" t="s">
        <v>23</v>
      </c>
      <c r="AD18" s="11" t="s">
        <v>23</v>
      </c>
      <c r="AE18" s="11" t="s">
        <v>50</v>
      </c>
      <c r="AF18" s="11" t="s">
        <v>50</v>
      </c>
      <c r="AG18" s="13" t="s">
        <v>60</v>
      </c>
      <c r="AH18" s="13" t="s">
        <v>62</v>
      </c>
      <c r="AI18" s="13" t="s">
        <v>45</v>
      </c>
      <c r="AJ18" s="13" t="s">
        <v>45</v>
      </c>
      <c r="AK18" s="13" t="s">
        <v>23</v>
      </c>
      <c r="AL18" s="94" t="s">
        <v>1377</v>
      </c>
      <c r="AM18" s="95"/>
      <c r="AN18" s="95"/>
      <c r="AO18" s="95"/>
      <c r="AP18" s="96"/>
    </row>
    <row r="19" spans="1:42" s="10" customFormat="1" ht="38.25" customHeight="1" x14ac:dyDescent="0.4">
      <c r="A19" s="6">
        <v>8</v>
      </c>
      <c r="B19" s="6">
        <v>503</v>
      </c>
      <c r="C19" s="6" t="s">
        <v>79</v>
      </c>
      <c r="D19" s="18" t="s">
        <v>919</v>
      </c>
      <c r="E19" s="34" t="s">
        <v>18</v>
      </c>
      <c r="F19" s="6" t="s">
        <v>920</v>
      </c>
      <c r="G19" s="6" t="s">
        <v>38</v>
      </c>
      <c r="H19" s="6" t="s">
        <v>52</v>
      </c>
      <c r="I19" s="6" t="s">
        <v>84</v>
      </c>
      <c r="J19" s="6" t="s">
        <v>84</v>
      </c>
      <c r="K19" s="6" t="s">
        <v>60</v>
      </c>
      <c r="L19" s="6" t="s">
        <v>92</v>
      </c>
      <c r="M19" s="6" t="s">
        <v>45</v>
      </c>
      <c r="N19" s="6" t="s">
        <v>45</v>
      </c>
      <c r="O19" s="6" t="s">
        <v>45</v>
      </c>
      <c r="P19" s="6" t="s">
        <v>84</v>
      </c>
      <c r="Q19" s="6" t="s">
        <v>86</v>
      </c>
      <c r="R19" s="6">
        <v>750</v>
      </c>
      <c r="S19" s="6" t="s">
        <v>39</v>
      </c>
      <c r="T19" s="6">
        <v>800</v>
      </c>
      <c r="U19" s="6" t="s">
        <v>45</v>
      </c>
      <c r="V19" s="6" t="s">
        <v>84</v>
      </c>
      <c r="W19" s="6" t="s">
        <v>86</v>
      </c>
      <c r="X19" s="6" t="s">
        <v>60</v>
      </c>
      <c r="Y19" s="6" t="s">
        <v>344</v>
      </c>
      <c r="Z19" s="46" t="s">
        <v>921</v>
      </c>
      <c r="AA19" s="6" t="s">
        <v>65</v>
      </c>
      <c r="AB19" s="15" t="s">
        <v>88</v>
      </c>
      <c r="AC19" s="16" t="s">
        <v>45</v>
      </c>
      <c r="AD19" s="16" t="s">
        <v>45</v>
      </c>
      <c r="AE19" s="16" t="s">
        <v>50</v>
      </c>
      <c r="AF19" s="16" t="s">
        <v>50</v>
      </c>
      <c r="AG19" s="17" t="s">
        <v>60</v>
      </c>
      <c r="AH19" s="17" t="s">
        <v>62</v>
      </c>
      <c r="AI19" s="17" t="s">
        <v>23</v>
      </c>
      <c r="AJ19" s="17" t="s">
        <v>23</v>
      </c>
      <c r="AK19" s="17" t="s">
        <v>45</v>
      </c>
      <c r="AL19" s="106" t="s">
        <v>922</v>
      </c>
      <c r="AM19" s="107"/>
      <c r="AN19" s="107"/>
      <c r="AO19" s="107"/>
      <c r="AP19" s="108"/>
    </row>
    <row r="20" spans="1:42" s="14" customFormat="1" ht="75.75" customHeight="1" x14ac:dyDescent="0.4">
      <c r="A20" s="11">
        <v>8</v>
      </c>
      <c r="B20" s="11">
        <v>104</v>
      </c>
      <c r="C20" s="11" t="s">
        <v>79</v>
      </c>
      <c r="D20" s="13" t="s">
        <v>2289</v>
      </c>
      <c r="E20" s="33" t="s">
        <v>18</v>
      </c>
      <c r="F20" s="11" t="s">
        <v>2290</v>
      </c>
      <c r="G20" s="11" t="s">
        <v>40</v>
      </c>
      <c r="H20" s="11" t="s">
        <v>52</v>
      </c>
      <c r="I20" s="11" t="s">
        <v>84</v>
      </c>
      <c r="J20" s="11" t="s">
        <v>85</v>
      </c>
      <c r="K20" s="11" t="s">
        <v>60</v>
      </c>
      <c r="L20" s="11" t="s">
        <v>92</v>
      </c>
      <c r="M20" s="11" t="s">
        <v>45</v>
      </c>
      <c r="N20" s="11" t="s">
        <v>45</v>
      </c>
      <c r="O20" s="11" t="s">
        <v>23</v>
      </c>
      <c r="P20" s="11" t="s">
        <v>84</v>
      </c>
      <c r="Q20" s="11" t="s">
        <v>86</v>
      </c>
      <c r="R20" s="11">
        <v>740</v>
      </c>
      <c r="S20" s="40" t="s">
        <v>39</v>
      </c>
      <c r="T20" s="11">
        <v>900</v>
      </c>
      <c r="U20" s="11" t="s">
        <v>45</v>
      </c>
      <c r="V20" s="11" t="s">
        <v>84</v>
      </c>
      <c r="W20" s="11" t="s">
        <v>86</v>
      </c>
      <c r="X20" s="40" t="s">
        <v>60</v>
      </c>
      <c r="Y20" s="40" t="s">
        <v>87</v>
      </c>
      <c r="Z20" s="40" t="s">
        <v>2291</v>
      </c>
      <c r="AA20" s="40" t="s">
        <v>39</v>
      </c>
      <c r="AB20" s="12" t="s">
        <v>88</v>
      </c>
      <c r="AC20" s="11" t="s">
        <v>45</v>
      </c>
      <c r="AD20" s="11" t="s">
        <v>23</v>
      </c>
      <c r="AE20" s="11" t="s">
        <v>116</v>
      </c>
      <c r="AF20" s="11" t="s">
        <v>50</v>
      </c>
      <c r="AG20" s="13" t="s">
        <v>60</v>
      </c>
      <c r="AH20" s="13" t="s">
        <v>62</v>
      </c>
      <c r="AI20" s="13" t="s">
        <v>45</v>
      </c>
      <c r="AJ20" s="13" t="s">
        <v>23</v>
      </c>
      <c r="AK20" s="13" t="s">
        <v>45</v>
      </c>
      <c r="AL20" s="133" t="s">
        <v>2744</v>
      </c>
      <c r="AM20" s="134"/>
      <c r="AN20" s="134"/>
      <c r="AO20" s="134"/>
      <c r="AP20" s="135"/>
    </row>
    <row r="21" spans="1:42" s="10" customFormat="1" ht="31.5" customHeight="1" x14ac:dyDescent="0.4">
      <c r="A21" s="6">
        <v>8</v>
      </c>
      <c r="B21" s="6">
        <v>204</v>
      </c>
      <c r="C21" s="6" t="s">
        <v>79</v>
      </c>
      <c r="D21" s="18" t="s">
        <v>1341</v>
      </c>
      <c r="E21" s="34" t="s">
        <v>18</v>
      </c>
      <c r="F21" s="6" t="s">
        <v>1342</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1343</v>
      </c>
      <c r="AA21" s="6" t="s">
        <v>65</v>
      </c>
      <c r="AB21" s="15" t="s">
        <v>88</v>
      </c>
      <c r="AC21" s="16" t="s">
        <v>45</v>
      </c>
      <c r="AD21" s="16" t="s">
        <v>45</v>
      </c>
      <c r="AE21" s="16" t="s">
        <v>116</v>
      </c>
      <c r="AF21" s="16" t="s">
        <v>50</v>
      </c>
      <c r="AG21" s="17" t="s">
        <v>60</v>
      </c>
      <c r="AH21" s="17" t="s">
        <v>62</v>
      </c>
      <c r="AI21" s="17" t="s">
        <v>45</v>
      </c>
      <c r="AJ21" s="17" t="s">
        <v>45</v>
      </c>
      <c r="AK21" s="17" t="s">
        <v>23</v>
      </c>
      <c r="AL21" s="106" t="s">
        <v>1344</v>
      </c>
      <c r="AM21" s="107"/>
      <c r="AN21" s="107"/>
      <c r="AO21" s="107"/>
      <c r="AP21" s="108"/>
    </row>
    <row r="22" spans="1:42" s="14" customFormat="1" ht="55.5" customHeight="1" x14ac:dyDescent="0.4">
      <c r="A22" s="11">
        <v>8</v>
      </c>
      <c r="B22" s="11">
        <v>304</v>
      </c>
      <c r="C22" s="11" t="s">
        <v>79</v>
      </c>
      <c r="D22" s="13" t="s">
        <v>1345</v>
      </c>
      <c r="E22" s="33" t="s">
        <v>18</v>
      </c>
      <c r="F22" s="11" t="s">
        <v>1346</v>
      </c>
      <c r="G22" s="11" t="s">
        <v>43</v>
      </c>
      <c r="H22" s="11" t="s">
        <v>52</v>
      </c>
      <c r="I22" s="11" t="s">
        <v>84</v>
      </c>
      <c r="J22" s="11" t="s">
        <v>85</v>
      </c>
      <c r="K22" s="11" t="s">
        <v>60</v>
      </c>
      <c r="L22" s="11" t="s">
        <v>92</v>
      </c>
      <c r="M22" s="11" t="s">
        <v>45</v>
      </c>
      <c r="N22" s="11" t="s">
        <v>23</v>
      </c>
      <c r="O22" s="11" t="s">
        <v>23</v>
      </c>
      <c r="P22" s="11" t="s">
        <v>84</v>
      </c>
      <c r="Q22" s="11" t="s">
        <v>86</v>
      </c>
      <c r="R22" s="11">
        <v>730</v>
      </c>
      <c r="S22" s="40" t="s">
        <v>39</v>
      </c>
      <c r="T22" s="11">
        <v>900</v>
      </c>
      <c r="U22" s="11" t="s">
        <v>45</v>
      </c>
      <c r="V22" s="11" t="s">
        <v>84</v>
      </c>
      <c r="W22" s="11" t="s">
        <v>86</v>
      </c>
      <c r="X22" s="40" t="s">
        <v>60</v>
      </c>
      <c r="Y22" s="40" t="s">
        <v>141</v>
      </c>
      <c r="Z22" s="40"/>
      <c r="AA22" s="40"/>
      <c r="AB22" s="12" t="s">
        <v>88</v>
      </c>
      <c r="AC22" s="11" t="s">
        <v>45</v>
      </c>
      <c r="AD22" s="11" t="s">
        <v>23</v>
      </c>
      <c r="AE22" s="11" t="s">
        <v>50</v>
      </c>
      <c r="AF22" s="11" t="s">
        <v>50</v>
      </c>
      <c r="AG22" s="13" t="s">
        <v>60</v>
      </c>
      <c r="AH22" s="13" t="s">
        <v>62</v>
      </c>
      <c r="AI22" s="13" t="s">
        <v>45</v>
      </c>
      <c r="AJ22" s="13" t="s">
        <v>45</v>
      </c>
      <c r="AK22" s="13" t="s">
        <v>45</v>
      </c>
      <c r="AL22" s="133" t="s">
        <v>1347</v>
      </c>
      <c r="AM22" s="134"/>
      <c r="AN22" s="134"/>
      <c r="AO22" s="134"/>
      <c r="AP22" s="135"/>
    </row>
    <row r="23" spans="1:42" s="10" customFormat="1" ht="37.5" customHeight="1" x14ac:dyDescent="0.4">
      <c r="A23" s="6">
        <v>8</v>
      </c>
      <c r="B23" s="6">
        <v>404</v>
      </c>
      <c r="C23" s="6" t="s">
        <v>79</v>
      </c>
      <c r="D23" s="18" t="s">
        <v>1348</v>
      </c>
      <c r="E23" s="34" t="s">
        <v>18</v>
      </c>
      <c r="F23" s="6" t="s">
        <v>1349</v>
      </c>
      <c r="G23" s="6" t="s">
        <v>43</v>
      </c>
      <c r="H23" s="6" t="s">
        <v>52</v>
      </c>
      <c r="I23" s="6" t="s">
        <v>84</v>
      </c>
      <c r="J23" s="6" t="s">
        <v>85</v>
      </c>
      <c r="K23" s="6" t="s">
        <v>489</v>
      </c>
      <c r="L23" s="6" t="s">
        <v>92</v>
      </c>
      <c r="M23" s="6" t="s">
        <v>45</v>
      </c>
      <c r="N23" s="6" t="s">
        <v>45</v>
      </c>
      <c r="O23" s="6" t="s">
        <v>45</v>
      </c>
      <c r="P23" s="6" t="s">
        <v>84</v>
      </c>
      <c r="Q23" s="6" t="s">
        <v>86</v>
      </c>
      <c r="R23" s="6">
        <v>740</v>
      </c>
      <c r="S23" s="6" t="s">
        <v>39</v>
      </c>
      <c r="T23" s="6">
        <v>900</v>
      </c>
      <c r="U23" s="6" t="s">
        <v>45</v>
      </c>
      <c r="V23" s="6" t="s">
        <v>84</v>
      </c>
      <c r="W23" s="6" t="s">
        <v>86</v>
      </c>
      <c r="X23" s="6" t="s">
        <v>60</v>
      </c>
      <c r="Y23" s="6" t="s">
        <v>87</v>
      </c>
      <c r="Z23" s="6" t="s">
        <v>1350</v>
      </c>
      <c r="AA23" s="6" t="s">
        <v>39</v>
      </c>
      <c r="AB23" s="15" t="s">
        <v>88</v>
      </c>
      <c r="AC23" s="16" t="s">
        <v>45</v>
      </c>
      <c r="AD23" s="16" t="s">
        <v>23</v>
      </c>
      <c r="AE23" s="16" t="s">
        <v>50</v>
      </c>
      <c r="AF23" s="16" t="s">
        <v>50</v>
      </c>
      <c r="AG23" s="17" t="s">
        <v>60</v>
      </c>
      <c r="AH23" s="17" t="s">
        <v>62</v>
      </c>
      <c r="AI23" s="17" t="s">
        <v>45</v>
      </c>
      <c r="AJ23" s="17" t="s">
        <v>45</v>
      </c>
      <c r="AK23" s="17" t="s">
        <v>45</v>
      </c>
      <c r="AL23" s="106" t="s">
        <v>1351</v>
      </c>
      <c r="AM23" s="107"/>
      <c r="AN23" s="107"/>
      <c r="AO23" s="107"/>
      <c r="AP23" s="108"/>
    </row>
    <row r="24" spans="1:42" s="14" customFormat="1" ht="36.75" customHeight="1" x14ac:dyDescent="0.4">
      <c r="A24" s="11">
        <v>8</v>
      </c>
      <c r="B24" s="11">
        <v>504</v>
      </c>
      <c r="C24" s="11" t="s">
        <v>79</v>
      </c>
      <c r="D24" s="13" t="s">
        <v>1680</v>
      </c>
      <c r="E24" s="33" t="s">
        <v>18</v>
      </c>
      <c r="F24" s="11" t="s">
        <v>1681</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141</v>
      </c>
      <c r="Z24" s="40"/>
      <c r="AA24" s="40" t="s">
        <v>65</v>
      </c>
      <c r="AB24" s="12" t="s">
        <v>19</v>
      </c>
      <c r="AC24" s="11" t="s">
        <v>45</v>
      </c>
      <c r="AD24" s="11" t="s">
        <v>45</v>
      </c>
      <c r="AE24" s="11" t="s">
        <v>50</v>
      </c>
      <c r="AF24" s="11" t="s">
        <v>50</v>
      </c>
      <c r="AG24" s="13" t="s">
        <v>60</v>
      </c>
      <c r="AH24" s="13" t="s">
        <v>62</v>
      </c>
      <c r="AI24" s="13" t="s">
        <v>45</v>
      </c>
      <c r="AJ24" s="13" t="s">
        <v>45</v>
      </c>
      <c r="AK24" s="13" t="s">
        <v>45</v>
      </c>
      <c r="AL24" s="133" t="s">
        <v>1682</v>
      </c>
      <c r="AM24" s="134"/>
      <c r="AN24" s="134"/>
      <c r="AO24" s="134"/>
      <c r="AP24" s="135"/>
    </row>
    <row r="25" spans="1:42" s="10" customFormat="1" ht="15" customHeight="1" x14ac:dyDescent="0.4">
      <c r="A25" s="6">
        <v>8</v>
      </c>
      <c r="B25" s="6">
        <v>105</v>
      </c>
      <c r="C25" s="6" t="s">
        <v>79</v>
      </c>
      <c r="D25" s="18" t="s">
        <v>1378</v>
      </c>
      <c r="E25" s="34" t="s">
        <v>18</v>
      </c>
      <c r="F25" s="18" t="s">
        <v>1379</v>
      </c>
      <c r="G25" s="6" t="s">
        <v>43</v>
      </c>
      <c r="H25" s="6" t="s">
        <v>52</v>
      </c>
      <c r="I25" s="6" t="s">
        <v>84</v>
      </c>
      <c r="J25" s="6" t="s">
        <v>85</v>
      </c>
      <c r="K25" s="6" t="s">
        <v>60</v>
      </c>
      <c r="L25" s="6" t="s">
        <v>92</v>
      </c>
      <c r="M25" s="6" t="s">
        <v>45</v>
      </c>
      <c r="N25" s="6" t="s">
        <v>45</v>
      </c>
      <c r="O25" s="6" t="s">
        <v>23</v>
      </c>
      <c r="P25" s="6" t="s">
        <v>84</v>
      </c>
      <c r="Q25" s="6" t="s">
        <v>86</v>
      </c>
      <c r="R25" s="6">
        <v>750</v>
      </c>
      <c r="S25" s="6" t="s">
        <v>39</v>
      </c>
      <c r="T25" s="6">
        <v>800</v>
      </c>
      <c r="U25" s="6" t="s">
        <v>45</v>
      </c>
      <c r="V25" s="6" t="s">
        <v>84</v>
      </c>
      <c r="W25" s="6" t="s">
        <v>86</v>
      </c>
      <c r="X25" s="6" t="s">
        <v>60</v>
      </c>
      <c r="Y25" s="6" t="s">
        <v>87</v>
      </c>
      <c r="Z25" s="6" t="s">
        <v>1380</v>
      </c>
      <c r="AA25" s="6" t="s">
        <v>65</v>
      </c>
      <c r="AB25" s="15" t="s">
        <v>88</v>
      </c>
      <c r="AC25" s="16" t="s">
        <v>45</v>
      </c>
      <c r="AD25" s="16" t="s">
        <v>45</v>
      </c>
      <c r="AE25" s="16" t="s">
        <v>50</v>
      </c>
      <c r="AF25" s="16" t="s">
        <v>1382</v>
      </c>
      <c r="AG25" s="17" t="s">
        <v>60</v>
      </c>
      <c r="AH25" s="17" t="s">
        <v>62</v>
      </c>
      <c r="AI25" s="17" t="s">
        <v>45</v>
      </c>
      <c r="AJ25" s="17" t="s">
        <v>45</v>
      </c>
      <c r="AK25" s="17" t="s">
        <v>23</v>
      </c>
      <c r="AL25" s="78" t="s">
        <v>1381</v>
      </c>
      <c r="AM25" s="79"/>
      <c r="AN25" s="79"/>
      <c r="AO25" s="79"/>
      <c r="AP25" s="80"/>
    </row>
    <row r="26" spans="1:42" s="14" customFormat="1" ht="36.75" customHeight="1" x14ac:dyDescent="0.4">
      <c r="A26" s="11">
        <v>8</v>
      </c>
      <c r="B26" s="11">
        <v>205</v>
      </c>
      <c r="C26" s="11" t="s">
        <v>79</v>
      </c>
      <c r="D26" s="13" t="s">
        <v>2700</v>
      </c>
      <c r="E26" s="33" t="s">
        <v>18</v>
      </c>
      <c r="F26" s="11" t="s">
        <v>2701</v>
      </c>
      <c r="G26" s="11" t="s">
        <v>43</v>
      </c>
      <c r="H26" s="11" t="s">
        <v>52</v>
      </c>
      <c r="I26" s="11" t="s">
        <v>84</v>
      </c>
      <c r="J26" s="11" t="s">
        <v>85</v>
      </c>
      <c r="K26" s="11" t="s">
        <v>60</v>
      </c>
      <c r="L26" s="11" t="s">
        <v>92</v>
      </c>
      <c r="M26" s="11" t="s">
        <v>45</v>
      </c>
      <c r="N26" s="11" t="s">
        <v>45</v>
      </c>
      <c r="O26" s="11" t="s">
        <v>45</v>
      </c>
      <c r="P26" s="11" t="s">
        <v>84</v>
      </c>
      <c r="Q26" s="11" t="s">
        <v>86</v>
      </c>
      <c r="R26" s="11">
        <v>750</v>
      </c>
      <c r="S26" s="40" t="s">
        <v>39</v>
      </c>
      <c r="T26" s="11">
        <v>900</v>
      </c>
      <c r="U26" s="11" t="s">
        <v>45</v>
      </c>
      <c r="V26" s="11" t="s">
        <v>84</v>
      </c>
      <c r="W26" s="11" t="s">
        <v>86</v>
      </c>
      <c r="X26" s="40" t="s">
        <v>60</v>
      </c>
      <c r="Y26" s="40" t="s">
        <v>531</v>
      </c>
      <c r="Z26" s="40"/>
      <c r="AA26" s="40" t="s">
        <v>65</v>
      </c>
      <c r="AB26" s="12" t="s">
        <v>88</v>
      </c>
      <c r="AC26" s="11" t="s">
        <v>45</v>
      </c>
      <c r="AD26" s="11" t="s">
        <v>23</v>
      </c>
      <c r="AE26" s="11" t="s">
        <v>50</v>
      </c>
      <c r="AF26" s="11" t="s">
        <v>50</v>
      </c>
      <c r="AG26" s="13" t="s">
        <v>60</v>
      </c>
      <c r="AH26" s="13" t="s">
        <v>62</v>
      </c>
      <c r="AI26" s="13" t="s">
        <v>45</v>
      </c>
      <c r="AJ26" s="13" t="s">
        <v>45</v>
      </c>
      <c r="AK26" s="13" t="s">
        <v>45</v>
      </c>
      <c r="AL26" s="133" t="s">
        <v>2702</v>
      </c>
      <c r="AM26" s="134"/>
      <c r="AN26" s="134"/>
      <c r="AO26" s="134"/>
      <c r="AP26" s="135"/>
    </row>
    <row r="27" spans="1:42" s="10" customFormat="1" ht="48.75" customHeight="1" x14ac:dyDescent="0.4">
      <c r="A27" s="6">
        <v>8</v>
      </c>
      <c r="B27" s="6">
        <v>305</v>
      </c>
      <c r="C27" s="6" t="s">
        <v>79</v>
      </c>
      <c r="D27" s="18" t="s">
        <v>1383</v>
      </c>
      <c r="E27" s="34" t="s">
        <v>18</v>
      </c>
      <c r="F27" s="6" t="s">
        <v>1384</v>
      </c>
      <c r="G27" s="6" t="s">
        <v>43</v>
      </c>
      <c r="H27" s="6" t="s">
        <v>52</v>
      </c>
      <c r="I27" s="6" t="s">
        <v>84</v>
      </c>
      <c r="J27" s="6" t="s">
        <v>85</v>
      </c>
      <c r="K27" s="6" t="s">
        <v>60</v>
      </c>
      <c r="L27" s="6" t="s">
        <v>92</v>
      </c>
      <c r="M27" s="6" t="s">
        <v>45</v>
      </c>
      <c r="N27" s="6" t="s">
        <v>45</v>
      </c>
      <c r="O27" s="6" t="s">
        <v>45</v>
      </c>
      <c r="P27" s="6" t="s">
        <v>84</v>
      </c>
      <c r="Q27" s="6" t="s">
        <v>86</v>
      </c>
      <c r="R27" s="6">
        <v>750</v>
      </c>
      <c r="S27" s="6" t="s">
        <v>39</v>
      </c>
      <c r="T27" s="6">
        <v>900</v>
      </c>
      <c r="U27" s="6" t="s">
        <v>45</v>
      </c>
      <c r="V27" s="6" t="s">
        <v>84</v>
      </c>
      <c r="W27" s="6" t="s">
        <v>86</v>
      </c>
      <c r="X27" s="6" t="s">
        <v>19</v>
      </c>
      <c r="Y27" s="6"/>
      <c r="Z27" s="6"/>
      <c r="AA27" s="6" t="s">
        <v>65</v>
      </c>
      <c r="AB27" s="15" t="s">
        <v>88</v>
      </c>
      <c r="AC27" s="16" t="s">
        <v>45</v>
      </c>
      <c r="AD27" s="16" t="s">
        <v>45</v>
      </c>
      <c r="AE27" s="16" t="s">
        <v>50</v>
      </c>
      <c r="AF27" s="16" t="s">
        <v>50</v>
      </c>
      <c r="AG27" s="17" t="s">
        <v>60</v>
      </c>
      <c r="AH27" s="17" t="s">
        <v>62</v>
      </c>
      <c r="AI27" s="17" t="s">
        <v>45</v>
      </c>
      <c r="AJ27" s="17" t="s">
        <v>45</v>
      </c>
      <c r="AK27" s="17" t="s">
        <v>45</v>
      </c>
      <c r="AL27" s="106" t="s">
        <v>1385</v>
      </c>
      <c r="AM27" s="107"/>
      <c r="AN27" s="107"/>
      <c r="AO27" s="107"/>
      <c r="AP27" s="108"/>
    </row>
    <row r="28" spans="1:42" s="14" customFormat="1" ht="15" customHeight="1" x14ac:dyDescent="0.4">
      <c r="A28" s="11">
        <v>8</v>
      </c>
      <c r="B28" s="11">
        <v>405</v>
      </c>
      <c r="C28" s="11" t="s">
        <v>79</v>
      </c>
      <c r="D28" s="13" t="s">
        <v>1386</v>
      </c>
      <c r="E28" s="33" t="s">
        <v>18</v>
      </c>
      <c r="F28" s="11" t="s">
        <v>1387</v>
      </c>
      <c r="G28" s="11" t="s">
        <v>43</v>
      </c>
      <c r="H28" s="11" t="s">
        <v>52</v>
      </c>
      <c r="I28" s="11" t="s">
        <v>84</v>
      </c>
      <c r="J28" s="11" t="s">
        <v>85</v>
      </c>
      <c r="K28" s="11" t="s">
        <v>60</v>
      </c>
      <c r="L28" s="11" t="s">
        <v>92</v>
      </c>
      <c r="M28" s="11" t="s">
        <v>45</v>
      </c>
      <c r="N28" s="11" t="s">
        <v>45</v>
      </c>
      <c r="O28" s="11" t="s">
        <v>45</v>
      </c>
      <c r="P28" s="11" t="s">
        <v>84</v>
      </c>
      <c r="Q28" s="11" t="s">
        <v>86</v>
      </c>
      <c r="R28" s="11">
        <v>1200</v>
      </c>
      <c r="S28" s="40" t="s">
        <v>39</v>
      </c>
      <c r="T28" s="11">
        <v>800</v>
      </c>
      <c r="U28" s="11" t="s">
        <v>45</v>
      </c>
      <c r="V28" s="11" t="s">
        <v>84</v>
      </c>
      <c r="W28" s="11" t="s">
        <v>86</v>
      </c>
      <c r="X28" s="40" t="s">
        <v>60</v>
      </c>
      <c r="Y28" s="40" t="s">
        <v>87</v>
      </c>
      <c r="Z28" s="40" t="s">
        <v>1388</v>
      </c>
      <c r="AA28" s="40" t="s">
        <v>65</v>
      </c>
      <c r="AB28" s="12" t="s">
        <v>88</v>
      </c>
      <c r="AC28" s="11" t="s">
        <v>45</v>
      </c>
      <c r="AD28" s="11" t="s">
        <v>23</v>
      </c>
      <c r="AE28" s="11" t="s">
        <v>50</v>
      </c>
      <c r="AF28" s="11" t="s">
        <v>50</v>
      </c>
      <c r="AG28" s="13" t="s">
        <v>60</v>
      </c>
      <c r="AH28" s="13" t="s">
        <v>62</v>
      </c>
      <c r="AI28" s="13" t="s">
        <v>45</v>
      </c>
      <c r="AJ28" s="13" t="s">
        <v>45</v>
      </c>
      <c r="AK28" s="13" t="s">
        <v>45</v>
      </c>
      <c r="AL28" s="94" t="s">
        <v>1389</v>
      </c>
      <c r="AM28" s="95"/>
      <c r="AN28" s="95"/>
      <c r="AO28" s="95"/>
      <c r="AP28" s="96"/>
    </row>
    <row r="29" spans="1:42" s="10" customFormat="1" ht="15" customHeight="1" x14ac:dyDescent="0.4">
      <c r="A29" s="6">
        <v>8</v>
      </c>
      <c r="B29" s="6">
        <v>505</v>
      </c>
      <c r="C29" s="6" t="s">
        <v>79</v>
      </c>
      <c r="D29" s="18" t="s">
        <v>1390</v>
      </c>
      <c r="E29" s="34" t="s">
        <v>18</v>
      </c>
      <c r="F29" s="6" t="s">
        <v>1391</v>
      </c>
      <c r="G29" s="6" t="s">
        <v>43</v>
      </c>
      <c r="H29" s="6" t="s">
        <v>52</v>
      </c>
      <c r="I29" s="6" t="s">
        <v>84</v>
      </c>
      <c r="J29" s="6" t="s">
        <v>85</v>
      </c>
      <c r="K29" s="6" t="s">
        <v>60</v>
      </c>
      <c r="L29" s="6" t="s">
        <v>92</v>
      </c>
      <c r="M29" s="6" t="s">
        <v>45</v>
      </c>
      <c r="N29" s="6" t="s">
        <v>45</v>
      </c>
      <c r="O29" s="6" t="s">
        <v>23</v>
      </c>
      <c r="P29" s="6" t="s">
        <v>84</v>
      </c>
      <c r="Q29" s="6" t="s">
        <v>86</v>
      </c>
      <c r="R29" s="6">
        <v>600</v>
      </c>
      <c r="S29" s="6" t="s">
        <v>39</v>
      </c>
      <c r="T29" s="6">
        <v>640</v>
      </c>
      <c r="U29" s="6" t="s">
        <v>45</v>
      </c>
      <c r="V29" s="6" t="s">
        <v>84</v>
      </c>
      <c r="W29" s="6" t="s">
        <v>86</v>
      </c>
      <c r="X29" s="6" t="s">
        <v>60</v>
      </c>
      <c r="Y29" s="6" t="s">
        <v>87</v>
      </c>
      <c r="Z29" s="6" t="s">
        <v>1392</v>
      </c>
      <c r="AA29" s="6" t="s">
        <v>65</v>
      </c>
      <c r="AB29" s="15" t="s">
        <v>88</v>
      </c>
      <c r="AC29" s="16" t="s">
        <v>45</v>
      </c>
      <c r="AD29" s="16" t="s">
        <v>45</v>
      </c>
      <c r="AE29" s="16" t="s">
        <v>50</v>
      </c>
      <c r="AF29" s="16" t="s">
        <v>50</v>
      </c>
      <c r="AG29" s="17" t="s">
        <v>60</v>
      </c>
      <c r="AH29" s="17" t="s">
        <v>62</v>
      </c>
      <c r="AI29" s="17" t="s">
        <v>45</v>
      </c>
      <c r="AJ29" s="17" t="s">
        <v>45</v>
      </c>
      <c r="AK29" s="17" t="s">
        <v>45</v>
      </c>
      <c r="AL29" s="78" t="s">
        <v>1393</v>
      </c>
      <c r="AM29" s="79"/>
      <c r="AN29" s="79"/>
      <c r="AO29" s="79"/>
      <c r="AP29" s="80"/>
    </row>
    <row r="30" spans="1:42" s="14" customFormat="1" ht="33" customHeight="1" x14ac:dyDescent="0.4">
      <c r="A30" s="11">
        <v>8</v>
      </c>
      <c r="B30" s="11">
        <v>106</v>
      </c>
      <c r="C30" s="11" t="s">
        <v>79</v>
      </c>
      <c r="D30" s="13" t="s">
        <v>1394</v>
      </c>
      <c r="E30" s="33" t="s">
        <v>18</v>
      </c>
      <c r="F30" s="11" t="s">
        <v>1395</v>
      </c>
      <c r="G30" s="11" t="s">
        <v>43</v>
      </c>
      <c r="H30" s="11" t="s">
        <v>52</v>
      </c>
      <c r="I30" s="11" t="s">
        <v>84</v>
      </c>
      <c r="J30" s="11" t="s">
        <v>85</v>
      </c>
      <c r="K30" s="11" t="s">
        <v>60</v>
      </c>
      <c r="L30" s="11" t="s">
        <v>92</v>
      </c>
      <c r="M30" s="11" t="s">
        <v>45</v>
      </c>
      <c r="N30" s="11" t="s">
        <v>45</v>
      </c>
      <c r="O30" s="11" t="s">
        <v>23</v>
      </c>
      <c r="P30" s="11" t="s">
        <v>84</v>
      </c>
      <c r="Q30" s="11" t="s">
        <v>86</v>
      </c>
      <c r="R30" s="11">
        <v>750</v>
      </c>
      <c r="S30" s="40" t="s">
        <v>39</v>
      </c>
      <c r="T30" s="11">
        <v>900</v>
      </c>
      <c r="U30" s="11" t="s">
        <v>45</v>
      </c>
      <c r="V30" s="11" t="s">
        <v>84</v>
      </c>
      <c r="W30" s="11" t="s">
        <v>86</v>
      </c>
      <c r="X30" s="40" t="s">
        <v>60</v>
      </c>
      <c r="Y30" s="40" t="s">
        <v>87</v>
      </c>
      <c r="Z30" s="40" t="s">
        <v>1396</v>
      </c>
      <c r="AA30" s="40" t="s">
        <v>65</v>
      </c>
      <c r="AB30" s="12" t="s">
        <v>19</v>
      </c>
      <c r="AC30" s="11" t="s">
        <v>45</v>
      </c>
      <c r="AD30" s="11" t="s">
        <v>45</v>
      </c>
      <c r="AE30" s="11" t="s">
        <v>50</v>
      </c>
      <c r="AF30" s="11" t="s">
        <v>50</v>
      </c>
      <c r="AG30" s="13" t="s">
        <v>60</v>
      </c>
      <c r="AH30" s="13" t="s">
        <v>62</v>
      </c>
      <c r="AI30" s="13" t="s">
        <v>23</v>
      </c>
      <c r="AJ30" s="13" t="s">
        <v>45</v>
      </c>
      <c r="AK30" s="13" t="s">
        <v>23</v>
      </c>
      <c r="AL30" s="133" t="s">
        <v>1397</v>
      </c>
      <c r="AM30" s="134"/>
      <c r="AN30" s="134"/>
      <c r="AO30" s="134"/>
      <c r="AP30" s="135"/>
    </row>
    <row r="31" spans="1:42" s="10" customFormat="1" ht="15" customHeight="1" x14ac:dyDescent="0.4">
      <c r="A31" s="6">
        <v>8</v>
      </c>
      <c r="B31" s="6">
        <v>206</v>
      </c>
      <c r="C31" s="6" t="s">
        <v>79</v>
      </c>
      <c r="D31" s="18" t="s">
        <v>2703</v>
      </c>
      <c r="E31" s="34" t="s">
        <v>18</v>
      </c>
      <c r="F31" s="6" t="s">
        <v>2704</v>
      </c>
      <c r="G31" s="6" t="s">
        <v>43</v>
      </c>
      <c r="H31" s="6" t="s">
        <v>52</v>
      </c>
      <c r="I31" s="6" t="s">
        <v>84</v>
      </c>
      <c r="J31" s="6" t="s">
        <v>85</v>
      </c>
      <c r="K31" s="6" t="s">
        <v>60</v>
      </c>
      <c r="L31" s="6" t="s">
        <v>92</v>
      </c>
      <c r="M31" s="6" t="s">
        <v>45</v>
      </c>
      <c r="N31" s="6" t="s">
        <v>45</v>
      </c>
      <c r="O31" s="6" t="s">
        <v>45</v>
      </c>
      <c r="P31" s="6" t="s">
        <v>84</v>
      </c>
      <c r="Q31" s="6" t="s">
        <v>86</v>
      </c>
      <c r="R31" s="6" t="s">
        <v>2705</v>
      </c>
      <c r="S31" s="6" t="s">
        <v>39</v>
      </c>
      <c r="T31" s="6">
        <v>640</v>
      </c>
      <c r="U31" s="6" t="s">
        <v>45</v>
      </c>
      <c r="V31" s="6" t="s">
        <v>84</v>
      </c>
      <c r="W31" s="6" t="s">
        <v>86</v>
      </c>
      <c r="X31" s="6" t="s">
        <v>60</v>
      </c>
      <c r="Y31" s="6" t="s">
        <v>87</v>
      </c>
      <c r="Z31" s="6" t="s">
        <v>2706</v>
      </c>
      <c r="AA31" s="6" t="s">
        <v>39</v>
      </c>
      <c r="AB31" s="15" t="s">
        <v>88</v>
      </c>
      <c r="AC31" s="16" t="s">
        <v>45</v>
      </c>
      <c r="AD31" s="16" t="s">
        <v>23</v>
      </c>
      <c r="AE31" s="16" t="s">
        <v>50</v>
      </c>
      <c r="AF31" s="16" t="s">
        <v>50</v>
      </c>
      <c r="AG31" s="17" t="s">
        <v>60</v>
      </c>
      <c r="AH31" s="17" t="s">
        <v>62</v>
      </c>
      <c r="AI31" s="17" t="s">
        <v>45</v>
      </c>
      <c r="AJ31" s="17" t="s">
        <v>45</v>
      </c>
      <c r="AK31" s="17" t="s">
        <v>45</v>
      </c>
      <c r="AL31" s="78" t="s">
        <v>2707</v>
      </c>
      <c r="AM31" s="79"/>
      <c r="AN31" s="79"/>
      <c r="AO31" s="79"/>
      <c r="AP31" s="80"/>
    </row>
    <row r="32" spans="1:42" s="14" customFormat="1" ht="32.25" customHeight="1" x14ac:dyDescent="0.4">
      <c r="A32" s="11">
        <v>8</v>
      </c>
      <c r="B32" s="11">
        <v>306</v>
      </c>
      <c r="C32" s="11" t="s">
        <v>79</v>
      </c>
      <c r="D32" s="13" t="s">
        <v>2708</v>
      </c>
      <c r="E32" s="33" t="s">
        <v>18</v>
      </c>
      <c r="F32" s="11" t="s">
        <v>2709</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60</v>
      </c>
      <c r="Y32" s="40" t="s">
        <v>87</v>
      </c>
      <c r="Z32" s="40" t="s">
        <v>2710</v>
      </c>
      <c r="AA32" s="40" t="s">
        <v>39</v>
      </c>
      <c r="AB32" s="12" t="s">
        <v>88</v>
      </c>
      <c r="AC32" s="11" t="s">
        <v>45</v>
      </c>
      <c r="AD32" s="11" t="s">
        <v>23</v>
      </c>
      <c r="AE32" s="11" t="s">
        <v>50</v>
      </c>
      <c r="AF32" s="11" t="s">
        <v>50</v>
      </c>
      <c r="AG32" s="13" t="s">
        <v>60</v>
      </c>
      <c r="AH32" s="13" t="s">
        <v>62</v>
      </c>
      <c r="AI32" s="13" t="s">
        <v>45</v>
      </c>
      <c r="AJ32" s="13" t="s">
        <v>45</v>
      </c>
      <c r="AK32" s="13" t="s">
        <v>45</v>
      </c>
      <c r="AL32" s="133" t="s">
        <v>2711</v>
      </c>
      <c r="AM32" s="134"/>
      <c r="AN32" s="134"/>
      <c r="AO32" s="134"/>
      <c r="AP32" s="135"/>
    </row>
    <row r="33" spans="1:42" s="10" customFormat="1" ht="15" customHeight="1" x14ac:dyDescent="0.4">
      <c r="A33" s="6">
        <v>8</v>
      </c>
      <c r="B33" s="6">
        <v>406</v>
      </c>
      <c r="C33" s="6" t="s">
        <v>79</v>
      </c>
      <c r="D33" s="18" t="s">
        <v>1352</v>
      </c>
      <c r="E33" s="34" t="s">
        <v>18</v>
      </c>
      <c r="F33" s="6" t="s">
        <v>1353</v>
      </c>
      <c r="G33" s="6" t="s">
        <v>43</v>
      </c>
      <c r="H33" s="6" t="s">
        <v>52</v>
      </c>
      <c r="I33" s="6" t="s">
        <v>84</v>
      </c>
      <c r="J33" s="6" t="s">
        <v>85</v>
      </c>
      <c r="K33" s="6" t="s">
        <v>60</v>
      </c>
      <c r="L33" s="6" t="s">
        <v>92</v>
      </c>
      <c r="M33" s="6" t="s">
        <v>45</v>
      </c>
      <c r="N33" s="6" t="s">
        <v>45</v>
      </c>
      <c r="O33" s="6" t="s">
        <v>45</v>
      </c>
      <c r="P33" s="6" t="s">
        <v>84</v>
      </c>
      <c r="Q33" s="6" t="s">
        <v>86</v>
      </c>
      <c r="R33" s="6">
        <v>750</v>
      </c>
      <c r="S33" s="6" t="s">
        <v>39</v>
      </c>
      <c r="T33" s="6">
        <v>900</v>
      </c>
      <c r="U33" s="6" t="s">
        <v>45</v>
      </c>
      <c r="V33" s="6" t="s">
        <v>84</v>
      </c>
      <c r="W33" s="6" t="s">
        <v>86</v>
      </c>
      <c r="X33" s="6" t="s">
        <v>60</v>
      </c>
      <c r="Y33" s="6" t="s">
        <v>87</v>
      </c>
      <c r="Z33" s="6" t="s">
        <v>1354</v>
      </c>
      <c r="AA33" s="6" t="s">
        <v>39</v>
      </c>
      <c r="AB33" s="15" t="s">
        <v>88</v>
      </c>
      <c r="AC33" s="16" t="s">
        <v>23</v>
      </c>
      <c r="AD33" s="16" t="s">
        <v>23</v>
      </c>
      <c r="AE33" s="16" t="s">
        <v>50</v>
      </c>
      <c r="AF33" s="16" t="s">
        <v>50</v>
      </c>
      <c r="AG33" s="17" t="s">
        <v>60</v>
      </c>
      <c r="AH33" s="17" t="s">
        <v>62</v>
      </c>
      <c r="AI33" s="17" t="s">
        <v>45</v>
      </c>
      <c r="AJ33" s="17" t="s">
        <v>23</v>
      </c>
      <c r="AK33" s="17" t="s">
        <v>45</v>
      </c>
      <c r="AL33" s="78" t="s">
        <v>1355</v>
      </c>
      <c r="AM33" s="79"/>
      <c r="AN33" s="79"/>
      <c r="AO33" s="79"/>
      <c r="AP33" s="80"/>
    </row>
    <row r="34" spans="1:42" s="14" customFormat="1" ht="15" customHeight="1" x14ac:dyDescent="0.4">
      <c r="A34" s="11">
        <v>8</v>
      </c>
      <c r="B34" s="11">
        <v>506</v>
      </c>
      <c r="C34" s="11" t="s">
        <v>79</v>
      </c>
      <c r="D34" s="13" t="s">
        <v>1356</v>
      </c>
      <c r="E34" s="33" t="s">
        <v>18</v>
      </c>
      <c r="F34" s="11" t="s">
        <v>1357</v>
      </c>
      <c r="G34" s="11" t="s">
        <v>43</v>
      </c>
      <c r="H34" s="11" t="s">
        <v>52</v>
      </c>
      <c r="I34" s="11" t="s">
        <v>84</v>
      </c>
      <c r="J34" s="11" t="s">
        <v>85</v>
      </c>
      <c r="K34" s="11" t="s">
        <v>60</v>
      </c>
      <c r="L34" s="11" t="s">
        <v>92</v>
      </c>
      <c r="M34" s="11" t="s">
        <v>45</v>
      </c>
      <c r="N34" s="11" t="s">
        <v>45</v>
      </c>
      <c r="O34" s="11" t="s">
        <v>45</v>
      </c>
      <c r="P34" s="11" t="s">
        <v>84</v>
      </c>
      <c r="Q34" s="11" t="s">
        <v>86</v>
      </c>
      <c r="R34" s="11">
        <v>750</v>
      </c>
      <c r="S34" s="40" t="s">
        <v>39</v>
      </c>
      <c r="T34" s="11">
        <v>900</v>
      </c>
      <c r="U34" s="11" t="s">
        <v>45</v>
      </c>
      <c r="V34" s="11" t="s">
        <v>84</v>
      </c>
      <c r="W34" s="11" t="s">
        <v>86</v>
      </c>
      <c r="X34" s="40" t="s">
        <v>60</v>
      </c>
      <c r="Y34" s="40" t="s">
        <v>87</v>
      </c>
      <c r="Z34" s="40" t="s">
        <v>1358</v>
      </c>
      <c r="AA34" s="40" t="s">
        <v>39</v>
      </c>
      <c r="AB34" s="12" t="s">
        <v>88</v>
      </c>
      <c r="AC34" s="11" t="s">
        <v>45</v>
      </c>
      <c r="AD34" s="11" t="s">
        <v>45</v>
      </c>
      <c r="AE34" s="11" t="s">
        <v>50</v>
      </c>
      <c r="AF34" s="11" t="s">
        <v>50</v>
      </c>
      <c r="AG34" s="13" t="s">
        <v>60</v>
      </c>
      <c r="AH34" s="13" t="s">
        <v>62</v>
      </c>
      <c r="AI34" s="13" t="s">
        <v>241</v>
      </c>
      <c r="AJ34" s="13" t="s">
        <v>23</v>
      </c>
      <c r="AK34" s="13" t="s">
        <v>23</v>
      </c>
      <c r="AL34" s="94" t="s">
        <v>1359</v>
      </c>
      <c r="AM34" s="95"/>
      <c r="AN34" s="95"/>
      <c r="AO34" s="95"/>
      <c r="AP34" s="96"/>
    </row>
    <row r="35" spans="1:42" s="2" customFormat="1" ht="11.25" customHeight="1" x14ac:dyDescent="0.4">
      <c r="A35" s="118" t="s">
        <v>12</v>
      </c>
      <c r="B35" s="119"/>
      <c r="C35" s="119"/>
      <c r="D35" s="119"/>
      <c r="E35" s="120"/>
      <c r="F35" s="127">
        <f>COUNTA(D5:D34)</f>
        <v>30</v>
      </c>
      <c r="G35" s="20" t="str">
        <f>"所有→"&amp;COUNTIF(G5:G34,"所有")&amp;"戸"</f>
        <v>所有→26戸</v>
      </c>
      <c r="H35" s="20" t="str">
        <f>"未更新→"&amp;COUNTIF(H5:H34,"未更新")&amp;"戸"</f>
        <v>未更新→30戸</v>
      </c>
      <c r="I35" s="20" t="str">
        <f>"クロス→"&amp;COUNTIF(I5:I34,"クロス")&amp;"戸"</f>
        <v>クロス→30戸</v>
      </c>
      <c r="J35" s="20" t="str">
        <f>"ベニヤ→"&amp;COUNTIF(J5:J34,"ベニヤ")&amp;"戸"</f>
        <v>ベニヤ→29戸</v>
      </c>
      <c r="K35" s="20" t="str">
        <f>"既存→"&amp;COUNTIF(K5:K34,"既存")&amp;"戸"</f>
        <v>既存→1戸</v>
      </c>
      <c r="L35" s="20" t="str">
        <f>"普通便座→"&amp;COUNTIF(L5:L34,"普通便座")&amp;"戸"</f>
        <v>普通便座→1戸</v>
      </c>
      <c r="M35" s="20" t="str">
        <f>"有→"&amp;COUNTIF(M5:M34,"有")&amp;"戸"</f>
        <v>有→1戸</v>
      </c>
      <c r="N35" s="20" t="str">
        <f>"有→"&amp;COUNTIF(N5:N34,"有")&amp;"戸"</f>
        <v>有→2戸</v>
      </c>
      <c r="O35" s="20" t="str">
        <f>"有→"&amp;COUNTIF(O5:O34,"有")&amp;"戸"</f>
        <v>有→14戸</v>
      </c>
      <c r="P35" s="20" t="str">
        <f>"クロス→"&amp;COUNTIF(P5:P34,"クロス")&amp;"戸"</f>
        <v>クロス→29戸</v>
      </c>
      <c r="Q35" s="20" t="str">
        <f>"CF→"&amp;COUNTIF(Q5:Q34,"CF")&amp;"戸"</f>
        <v>CF→30戸</v>
      </c>
      <c r="R35" s="20" t="str">
        <f>"1000→"&amp;COUNTIF(R5:R34,"1000")&amp;"戸"</f>
        <v>1000→0戸</v>
      </c>
      <c r="S35" s="20" t="str">
        <f>"可→"&amp;COUNTIF(S5:S34,"可")&amp;"戸"</f>
        <v>可→30戸</v>
      </c>
      <c r="T35" s="20" t="str">
        <f>"900→"&amp;COUNTIF(T5:T34,"900")&amp;"戸"</f>
        <v>900→22戸</v>
      </c>
      <c r="U35" s="20" t="str">
        <f>"有→"&amp;COUNTIF(U5:U34,"有")&amp;"戸"</f>
        <v>有→0戸</v>
      </c>
      <c r="V35" s="20" t="str">
        <f>"クロス→"&amp;COUNTIF(V5:V34,"クロス")&amp;"戸"</f>
        <v>クロス→29戸</v>
      </c>
      <c r="W35" s="20" t="str">
        <f>"CF→"&amp;COUNTIF(W5:W34,"CF")&amp;"戸"</f>
        <v>CF→30戸</v>
      </c>
      <c r="X35" s="20" t="str">
        <f>"既存→"&amp;COUNTIF(X5:X34,"既存")&amp;"戸"</f>
        <v>既存→2戸</v>
      </c>
      <c r="Y35" s="20" t="str">
        <f>"TOTO→"&amp;COUNTIF(Y5:Y34,"TOTO")&amp;"戸"</f>
        <v>TOTO→19戸</v>
      </c>
      <c r="Z35" s="130">
        <f>COUNTA(Z5:Z34)</f>
        <v>19</v>
      </c>
      <c r="AA35" s="20" t="str">
        <f>"可→"&amp;COUNTIF(AA5:AA34,"可")&amp;"戸"</f>
        <v>可→15戸</v>
      </c>
      <c r="AB35" s="20" t="str">
        <f>"既存→"&amp;COUNTIF(AB5:AB34,"既存")&amp;"戸"</f>
        <v>既存→5戸</v>
      </c>
      <c r="AC35" s="130">
        <f>COUNTIF(AC5:AC34,"有")</f>
        <v>5</v>
      </c>
      <c r="AD35" s="130">
        <f>COUNTIF(AD5:AD34,"有")</f>
        <v>18</v>
      </c>
      <c r="AE35" s="20" t="str">
        <f>"ポリ板→"&amp;COUNTIF(AE5:AE34,"ポリ板")&amp;"戸"</f>
        <v>ポリ板→25戸</v>
      </c>
      <c r="AF35" s="20" t="str">
        <f>"ポリ板→"&amp;COUNTIF(AF5:AF34,"ポリ板")&amp;"戸"</f>
        <v>ポリ板→30戸</v>
      </c>
      <c r="AG35" s="20" t="str">
        <f>"既存→"&amp;COUNTIF(AG5:AG34,"既存")&amp;"戸"</f>
        <v>既存→0戸</v>
      </c>
      <c r="AH35" s="20" t="str">
        <f>"洗面所→"&amp;COUNTIF(AH5:AH34,"洗面所")&amp;"戸"</f>
        <v>洗面所→29戸</v>
      </c>
      <c r="AI35" s="130">
        <f>COUNTIF(AI5:AI34,"有")</f>
        <v>3</v>
      </c>
      <c r="AJ35" s="130">
        <f>COUNTIF(AJ5:AJ34,"有")</f>
        <v>6</v>
      </c>
      <c r="AK35" s="130">
        <f>COUNTIF(AK5:AK34,"有")</f>
        <v>9</v>
      </c>
      <c r="AL35" s="109"/>
      <c r="AM35" s="110"/>
      <c r="AN35" s="110"/>
      <c r="AO35" s="110"/>
      <c r="AP35" s="111"/>
    </row>
    <row r="36" spans="1:42" s="2" customFormat="1" ht="11.25" customHeight="1" x14ac:dyDescent="0.4">
      <c r="A36" s="121"/>
      <c r="B36" s="122"/>
      <c r="C36" s="122"/>
      <c r="D36" s="122"/>
      <c r="E36" s="123"/>
      <c r="F36" s="128"/>
      <c r="G36" s="35" t="str">
        <f>"賃貸→"&amp;COUNTIF(G5:G34,"賃貸")&amp;"戸"</f>
        <v>賃貸→1戸</v>
      </c>
      <c r="H36" s="35" t="str">
        <f>"更新済み→"&amp;COUNTIF(H5:H34,"更新済み")&amp;"戸"</f>
        <v>更新済み→0戸</v>
      </c>
      <c r="I36" s="35" t="str">
        <f>"珪藻土→"&amp;COUNTIF(I5:I34,"珪藻土")&amp;"戸"</f>
        <v>珪藻土→0戸</v>
      </c>
      <c r="J36" s="35" t="str">
        <f>"クロス→"&amp;COUNTIF(J5:J34,"クロス")&amp;"戸"</f>
        <v>クロス→1戸</v>
      </c>
      <c r="K36" s="35" t="str">
        <f>"タンクレス→"&amp;COUNTIF(K5:K34,"タンクレス")&amp;"戸"</f>
        <v>タンクレス→0戸</v>
      </c>
      <c r="L36" s="35" t="str">
        <f>"暖房便座→"&amp;COUNTIF(L5:L34,"暖房便座")&amp;"戸"</f>
        <v>暖房便座→0戸</v>
      </c>
      <c r="M36" s="35" t="str">
        <f>"無→"&amp;COUNTIF(M5:M34,"無")&amp;"戸"</f>
        <v>無→29戸</v>
      </c>
      <c r="N36" s="35" t="str">
        <f>"無→"&amp;COUNTIF(N5:N34,"無")&amp;"戸"</f>
        <v>無→28戸</v>
      </c>
      <c r="O36" s="35" t="str">
        <f>"無→"&amp;COUNTIF(O5:O34,"無")&amp;"戸"</f>
        <v>無→16戸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800→3戸</v>
      </c>
      <c r="U36" s="35" t="str">
        <f>"無→"&amp;COUNTIF(U5:U34,"無")&amp;"戸"</f>
        <v>無→30戸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リフォーム済み→28戸</v>
      </c>
      <c r="Y36" s="35" t="str">
        <f>"LIXIL→"&amp;COUNTIF(Y5:Y34,"LIXIL")&amp;"戸"</f>
        <v>LIXIL→2戸</v>
      </c>
      <c r="Z36" s="131"/>
      <c r="AA36" s="35" t="str">
        <f>"不可→"&amp;COUNTIF(AA5:AA34,"不可")&amp;"戸"</f>
        <v>不可→14戸</v>
      </c>
      <c r="AB36" s="36" t="str">
        <f>"システム→"&amp;COUNTIF(AB5:AB34,"システム")&amp;"戸"</f>
        <v>システム→25戸</v>
      </c>
      <c r="AC36" s="131"/>
      <c r="AD36" s="131"/>
      <c r="AE36" s="35" t="str">
        <f>"SUS→"&amp;COUNTIF(AE5:AE34,"SUS")&amp;"戸"</f>
        <v>SUS→5戸</v>
      </c>
      <c r="AF36" s="35" t="str">
        <f>"SUS→"&amp;COUNTIF(AF5:AF34,"SUS")&amp;"戸"</f>
        <v>SUS→0戸</v>
      </c>
      <c r="AG36" s="35" t="str">
        <f>"リフォーム済み→"&amp;COUNTIF(AG5:AG34,"リフォーム済み")&amp;"戸"</f>
        <v>リフォーム済み→30戸</v>
      </c>
      <c r="AH36" s="35" t="str">
        <f>"ベランダ→"&amp;COUNTIF(AH5:AH34,"ベランダ")&amp;"戸"</f>
        <v>ベランダ→1戸</v>
      </c>
      <c r="AI36" s="131"/>
      <c r="AJ36" s="131"/>
      <c r="AK36" s="131"/>
      <c r="AL36" s="112"/>
      <c r="AM36" s="113"/>
      <c r="AN36" s="113"/>
      <c r="AO36" s="113"/>
      <c r="AP36" s="114"/>
    </row>
    <row r="37" spans="1:42" s="2" customFormat="1" ht="11.25" customHeight="1" x14ac:dyDescent="0.4">
      <c r="A37" s="121"/>
      <c r="B37" s="122"/>
      <c r="C37" s="122"/>
      <c r="D37" s="122"/>
      <c r="E37" s="123"/>
      <c r="F37" s="128"/>
      <c r="G37" s="35" t="str">
        <f>"外部居住→"&amp;COUNTIF(G5:G34,"外部居住")&amp;"戸"</f>
        <v>外部居住→1戸</v>
      </c>
      <c r="H37" s="35"/>
      <c r="I37" s="35" t="str">
        <f>"塗装→"&amp;COUNTIF(I5:I34,"塗装")&amp;"戸"</f>
        <v>塗装→0戸</v>
      </c>
      <c r="J37" s="35" t="str">
        <f>"その他→"&amp;COUNTIF(J5:J34,"その他")&amp;"戸"</f>
        <v>その他→0戸</v>
      </c>
      <c r="K37" s="35" t="str">
        <f>"レストパル→"&amp;COUNTIF(K5:K34,"レストパル")&amp;"戸"</f>
        <v>レストパル→2戸</v>
      </c>
      <c r="L37" s="35" t="str">
        <f>"WL→"&amp;COUNTIF(L5:L34,"WL")&amp;"戸"</f>
        <v>WL→29戸</v>
      </c>
      <c r="M37" s="23"/>
      <c r="N37" s="23"/>
      <c r="O37" s="23"/>
      <c r="P37" s="35" t="str">
        <f>"塗装→"&amp;COUNTIF(P5:P34,"塗装")&amp;"戸"</f>
        <v>塗装→0戸</v>
      </c>
      <c r="Q37" s="35" t="str">
        <f>"フローリング→"&amp;COUNTIF(Q5:Q34,"フローリング")&amp;"戸"</f>
        <v>フローリング→0戸</v>
      </c>
      <c r="R37" s="35" t="str">
        <f>"750→"&amp;COUNTIF(R5:R34,"750")&amp;"戸"</f>
        <v>750→20戸</v>
      </c>
      <c r="S37" s="35"/>
      <c r="T37" s="35" t="str">
        <f>"740→"&amp;COUNTIF(T5:T34,"740")&amp;"戸"</f>
        <v>740→0戸</v>
      </c>
      <c r="U37" s="22"/>
      <c r="V37" s="35" t="str">
        <f>"塗装→"&amp;COUNTIF(V5:V34,"塗装")&amp;"戸"</f>
        <v>塗装→0戸</v>
      </c>
      <c r="W37" s="35" t="str">
        <f>"フローリング→"&amp;COUNTIF(W5:W34,"フローリング")&amp;"戸"</f>
        <v>フローリング→0戸</v>
      </c>
      <c r="X37" s="35"/>
      <c r="Y37" s="35" t="str">
        <f>"Panasonic→"&amp;COUNTIF(Y5:Y34,"Panasonic")&amp;"戸"</f>
        <v>Panasonic→1戸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row>
    <row r="38" spans="1:42" s="2" customFormat="1" ht="11.25" customHeight="1" x14ac:dyDescent="0.4">
      <c r="A38" s="124"/>
      <c r="B38" s="125"/>
      <c r="C38" s="125"/>
      <c r="D38" s="125"/>
      <c r="E38" s="126"/>
      <c r="F38" s="129"/>
      <c r="G38" s="35" t="str">
        <f>"空家→"&amp;COUNTIF(G5:G34,"空家")&amp;"戸"</f>
        <v>空家→2戸</v>
      </c>
      <c r="H38" s="39"/>
      <c r="I38" s="28"/>
      <c r="J38" s="27"/>
      <c r="K38" s="35" t="str">
        <f>"一体型→"&amp;COUNTIF(K5:K34,"一体型")&amp;"戸"</f>
        <v>一体型→1戸</v>
      </c>
      <c r="L38" s="28"/>
      <c r="M38" s="28"/>
      <c r="N38" s="28"/>
      <c r="O38" s="28"/>
      <c r="P38" s="28"/>
      <c r="Q38" s="28"/>
      <c r="R38" s="35" t="str">
        <f>"740→"&amp;COUNTIF(R5:R34,"740")&amp;"戸"</f>
        <v>740→3戸</v>
      </c>
      <c r="S38" s="27"/>
      <c r="T38" s="35" t="str">
        <f>"640→"&amp;COUNTIF(T5:T34,"640")&amp;"戸"</f>
        <v>640→3戸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row>
    <row r="39" spans="1:42" s="2" customFormat="1" x14ac:dyDescent="0.4">
      <c r="A39" s="31"/>
      <c r="AH39" s="37"/>
      <c r="AI39" s="37"/>
      <c r="AP39" s="1"/>
    </row>
  </sheetData>
  <autoFilter ref="AI3:AK4" xr:uid="{757792A4-B9EB-4291-BDCE-F3F369A49B40}"/>
  <mergeCells count="57">
    <mergeCell ref="AL22:AP22"/>
    <mergeCell ref="A35:E38"/>
    <mergeCell ref="F35:F38"/>
    <mergeCell ref="AL7:AP7"/>
    <mergeCell ref="AL18:AP18"/>
    <mergeCell ref="AL19:AP19"/>
    <mergeCell ref="AL20:AP20"/>
    <mergeCell ref="AL21:AP21"/>
    <mergeCell ref="Z35:Z38"/>
    <mergeCell ref="AC35:AC38"/>
    <mergeCell ref="AI35:AI38"/>
    <mergeCell ref="AJ35:AJ38"/>
    <mergeCell ref="AL9:AP9"/>
    <mergeCell ref="AL10:AP10"/>
    <mergeCell ref="AL11:AP11"/>
    <mergeCell ref="AL12:AP12"/>
    <mergeCell ref="A1:AO2"/>
    <mergeCell ref="A3:A4"/>
    <mergeCell ref="B3:B4"/>
    <mergeCell ref="C3:C4"/>
    <mergeCell ref="D3:E4"/>
    <mergeCell ref="F3:F4"/>
    <mergeCell ref="G3:G4"/>
    <mergeCell ref="H3:H4"/>
    <mergeCell ref="I3:J3"/>
    <mergeCell ref="K3:Q3"/>
    <mergeCell ref="R3:W3"/>
    <mergeCell ref="X3:AA3"/>
    <mergeCell ref="AB3:AF3"/>
    <mergeCell ref="AJ3:AJ4"/>
    <mergeCell ref="AI3:AI4"/>
    <mergeCell ref="AG3:AH3"/>
    <mergeCell ref="AK3:AK4"/>
    <mergeCell ref="AL3:AP4"/>
    <mergeCell ref="AL5:AP5"/>
    <mergeCell ref="AL6:AP6"/>
    <mergeCell ref="AL8:AP8"/>
    <mergeCell ref="AL13:AP13"/>
    <mergeCell ref="AL14:AP14"/>
    <mergeCell ref="AL15:AP15"/>
    <mergeCell ref="AL16:AP16"/>
    <mergeCell ref="AL17:AP17"/>
    <mergeCell ref="AL23:AP23"/>
    <mergeCell ref="AL24:AP24"/>
    <mergeCell ref="AL26:AP26"/>
    <mergeCell ref="AL27:AP27"/>
    <mergeCell ref="AL28:AP28"/>
    <mergeCell ref="AL25:AP25"/>
    <mergeCell ref="AD35:AD38"/>
    <mergeCell ref="AL34:AP34"/>
    <mergeCell ref="AK35:AK38"/>
    <mergeCell ref="AL35:AP38"/>
    <mergeCell ref="AL29:AP29"/>
    <mergeCell ref="AL30:AP30"/>
    <mergeCell ref="AL31:AP31"/>
    <mergeCell ref="AL32:AP32"/>
    <mergeCell ref="AL33:AP33"/>
  </mergeCells>
  <phoneticPr fontId="1"/>
  <dataValidations count="1">
    <dataValidation imeMode="off" allowBlank="1" showInputMessage="1" showErrorMessage="1" sqref="C1:C3 A39:C1048576 A1:A35 B1:B34 C5:C34" xr:uid="{F57EFDDB-8CB7-433E-B8E5-15645E85E762}"/>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3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7DBE43B3-178A-453D-A6CD-1166DF32FF82}">
          <x14:formula1>
            <xm:f>Sheet1!$C$9:$C$11</xm:f>
          </x14:formula1>
          <xm:sqref>W5:W34 Q5:Q34</xm:sqref>
        </x14:dataValidation>
        <x14:dataValidation type="list" allowBlank="1" showInputMessage="1" showErrorMessage="1" xr:uid="{7A6C5F1B-0B9D-497F-9313-08CD9E8FE6C6}">
          <x14:formula1>
            <xm:f>Sheet1!$A$1:$A$4</xm:f>
          </x14:formula1>
          <xm:sqref>G5:G34</xm:sqref>
        </x14:dataValidation>
        <x14:dataValidation type="list" allowBlank="1" showInputMessage="1" showErrorMessage="1" xr:uid="{20FEBAA8-34DA-4A82-B5FD-2E6A3229AE61}">
          <x14:formula1>
            <xm:f>Sheet1!$A$6:$A$7</xm:f>
          </x14:formula1>
          <xm:sqref>H5:H34</xm:sqref>
        </x14:dataValidation>
        <x14:dataValidation type="list" allowBlank="1" showInputMessage="1" showErrorMessage="1" xr:uid="{4A2515B0-3981-4ED1-BC40-695FAD2E0315}">
          <x14:formula1>
            <xm:f>Sheet1!$A$9:$A$11</xm:f>
          </x14:formula1>
          <xm:sqref>I5:I34 V20:V34 V18 P5:P16 V5:V16 P18:P34</xm:sqref>
        </x14:dataValidation>
        <x14:dataValidation type="list" allowBlank="1" showInputMessage="1" showErrorMessage="1" xr:uid="{36C74DC6-A600-471E-8F78-D2C7807EB4A4}">
          <x14:formula1>
            <xm:f>Sheet1!$D$1:$D$3</xm:f>
          </x14:formula1>
          <xm:sqref>J5:J34</xm:sqref>
        </x14:dataValidation>
        <x14:dataValidation type="list" allowBlank="1" showInputMessage="1" showErrorMessage="1" xr:uid="{9DE9E03F-72EA-4A3B-BFC3-7078AEBBA0F3}">
          <x14:formula1>
            <xm:f>Sheet1!$G$9:$G$12</xm:f>
          </x14:formula1>
          <xm:sqref>K5:K7 K9:K34</xm:sqref>
        </x14:dataValidation>
        <x14:dataValidation type="list" allowBlank="1" showInputMessage="1" showErrorMessage="1" xr:uid="{4448DF64-5FAC-43A6-8C07-AD7F269A2148}">
          <x14:formula1>
            <xm:f>Sheet1!$E$9:$E$11</xm:f>
          </x14:formula1>
          <xm:sqref>L5:L34</xm:sqref>
        </x14:dataValidation>
        <x14:dataValidation type="list" allowBlank="1" showInputMessage="1" showErrorMessage="1" xr:uid="{6B06E97B-01D3-40F1-BBA0-DF794C9DB0E3}">
          <x14:formula1>
            <xm:f>Sheet1!$C$6:$C$7</xm:f>
          </x14:formula1>
          <xm:sqref>U5:U34 M5:O34 AC5:AD34 AJ5:AK25 AJ27:AK30 AJ33:AK34</xm:sqref>
        </x14:dataValidation>
        <x14:dataValidation type="list" allowBlank="1" showInputMessage="1" showErrorMessage="1" xr:uid="{A8F6FA6E-7D4F-4E0F-8FA5-3C8831C97923}">
          <x14:formula1>
            <xm:f>Sheet1!$A$17:$A$20</xm:f>
          </x14:formula1>
          <xm:sqref>R32:R34 R21 R24:R27 R10:R19 R29:R30 R6:R7</xm:sqref>
        </x14:dataValidation>
        <x14:dataValidation type="list" allowBlank="1" showInputMessage="1" showErrorMessage="1" xr:uid="{ECC0E633-4796-4B3C-ACD4-5F29EDA9F698}">
          <x14:formula1>
            <xm:f>Sheet1!$C$17:$C$20</xm:f>
          </x14:formula1>
          <xm:sqref>T5:T7 T9:T34</xm:sqref>
        </x14:dataValidation>
        <x14:dataValidation type="list" allowBlank="1" showInputMessage="1" showErrorMessage="1" xr:uid="{DE6C4E64-110A-47B5-81E2-7B04DD2AE56A}">
          <x14:formula1>
            <xm:f>Sheet1!$A$13:$A$15</xm:f>
          </x14:formula1>
          <xm:sqref>AB5:AB34</xm:sqref>
        </x14:dataValidation>
        <x14:dataValidation type="list" allowBlank="1" showInputMessage="1" showErrorMessage="1" xr:uid="{BE1BA313-A9D8-41AC-9846-804902CD7218}">
          <x14:formula1>
            <xm:f>Sheet1!$G$1:$G$4</xm:f>
          </x14:formula1>
          <xm:sqref>AE5:AF34</xm:sqref>
        </x14:dataValidation>
        <x14:dataValidation type="list" allowBlank="1" showInputMessage="1" showErrorMessage="1" xr:uid="{F09BF6A3-9593-4FBC-953C-BDCC15EC3B3C}">
          <x14:formula1>
            <xm:f>Sheet1!$E$17:$E$18</xm:f>
          </x14:formula1>
          <xm:sqref>AG5:AG34</xm:sqref>
        </x14:dataValidation>
        <x14:dataValidation type="list" allowBlank="1" showInputMessage="1" showErrorMessage="1" xr:uid="{8186F8F5-81F2-4FEE-B0C3-6F0AFE18DF91}">
          <x14:formula1>
            <xm:f>Sheet1!$G$17:$G$18</xm:f>
          </x14:formula1>
          <xm:sqref>AH5:AH34</xm:sqref>
        </x14:dataValidation>
        <x14:dataValidation type="list" allowBlank="1" showInputMessage="1" showErrorMessage="1" xr:uid="{082326B0-CBCB-43A4-8660-DDE5D3FE4810}">
          <x14:formula1>
            <xm:f>Sheet1!$I$1:$I$2</xm:f>
          </x14:formula1>
          <xm:sqref>X5:X34</xm:sqref>
        </x14:dataValidation>
        <x14:dataValidation type="list" allowBlank="1" showInputMessage="1" showErrorMessage="1" xr:uid="{2BE70D9C-3C17-4234-9C00-B063E44E8E3B}">
          <x14:formula1>
            <xm:f>Sheet1!$G$6:$G$7</xm:f>
          </x14:formula1>
          <xm:sqref>S5:S34 AA5:AA34</xm:sqref>
        </x14:dataValidation>
        <x14:dataValidation type="list" allowBlank="1" showInputMessage="1" showErrorMessage="1" xr:uid="{B72EE7AC-0228-44F7-989E-6A5E0A483A46}">
          <x14:formula1>
            <xm:f>Sheet1!$C$6:$C$8</xm:f>
          </x14:formula1>
          <xm:sqref>AI5:AI34 AJ26:AK26 AJ31:AK32</xm:sqref>
        </x14:dataValidation>
        <x14:dataValidation type="list" allowBlank="1" showInputMessage="1" showErrorMessage="1" xr:uid="{9C3B9FC2-795E-499B-94A7-8C79FA8416F0}">
          <x14:formula1>
            <xm:f>Sheet1!$I$9:$I$13</xm:f>
          </x14:formula1>
          <xm:sqref>Y15:Y34 Y6:Y13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551E3-6AEB-4B86-B2A5-C5393491E09B}">
  <sheetPr codeName="Sheet9">
    <tabColor theme="4" tint="0.39997558519241921"/>
  </sheetPr>
  <dimension ref="A1:AS39"/>
  <sheetViews>
    <sheetView view="pageBreakPreview" zoomScaleNormal="40" zoomScaleSheetLayoutView="70" workbookViewId="0">
      <pane xSplit="5" ySplit="4" topLeftCell="AI5" activePane="bottomRight" state="frozen"/>
      <selection activeCell="N11" sqref="N11"/>
      <selection pane="topRight" activeCell="N11" sqref="N11"/>
      <selection pane="bottomLeft" activeCell="N11" sqref="N11"/>
      <selection pane="bottomRight" activeCell="AI10" sqref="AI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0" width="9.125" style="2" customWidth="1"/>
    <col min="41" max="41" width="25.25" style="2" customWidth="1"/>
    <col min="42" max="42" width="9.5" style="1" customWidth="1"/>
    <col min="43" max="43" width="10" style="2" customWidth="1"/>
    <col min="44" max="45" width="12" style="2" customWidth="1"/>
    <col min="46" max="50" width="12" style="1" customWidth="1"/>
    <col min="51" max="16384" width="8.625" style="1"/>
  </cols>
  <sheetData>
    <row r="1" spans="1:45"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row>
    <row r="2" spans="1:45"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row>
    <row r="3" spans="1:45"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c r="AS3" s="1"/>
    </row>
    <row r="4" spans="1:45"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5" s="10" customFormat="1" ht="15" customHeight="1" x14ac:dyDescent="0.4">
      <c r="A5" s="6">
        <v>9</v>
      </c>
      <c r="B5" s="6">
        <v>101</v>
      </c>
      <c r="C5" s="6" t="s">
        <v>80</v>
      </c>
      <c r="D5" s="18"/>
      <c r="E5" s="32" t="s">
        <v>18</v>
      </c>
      <c r="F5" s="6"/>
      <c r="G5" s="6"/>
      <c r="H5" s="6"/>
      <c r="I5" s="6"/>
      <c r="J5" s="6"/>
      <c r="K5" s="6"/>
      <c r="L5" s="6"/>
      <c r="M5" s="6"/>
      <c r="N5" s="6"/>
      <c r="O5" s="6"/>
      <c r="P5" s="6"/>
      <c r="Q5" s="6"/>
      <c r="R5" s="6"/>
      <c r="S5" s="50"/>
      <c r="T5" s="6"/>
      <c r="U5" s="6"/>
      <c r="V5" s="6"/>
      <c r="W5" s="6"/>
      <c r="X5" s="50"/>
      <c r="Y5" s="50"/>
      <c r="Z5" s="50"/>
      <c r="AA5" s="50"/>
      <c r="AB5" s="62"/>
      <c r="AC5" s="6"/>
      <c r="AD5" s="6"/>
      <c r="AE5" s="6"/>
      <c r="AF5" s="6"/>
      <c r="AG5" s="18"/>
      <c r="AH5" s="18"/>
      <c r="AI5" s="18"/>
      <c r="AJ5" s="18"/>
      <c r="AK5" s="18"/>
      <c r="AL5" s="140"/>
      <c r="AM5" s="141"/>
      <c r="AN5" s="141"/>
      <c r="AO5" s="141"/>
      <c r="AP5" s="142"/>
    </row>
    <row r="6" spans="1:45" s="14" customFormat="1" ht="52.5" customHeight="1" x14ac:dyDescent="0.4">
      <c r="A6" s="11">
        <v>9</v>
      </c>
      <c r="B6" s="11">
        <v>201</v>
      </c>
      <c r="C6" s="11" t="s">
        <v>80</v>
      </c>
      <c r="D6" s="13" t="s">
        <v>2352</v>
      </c>
      <c r="E6" s="33" t="s">
        <v>18</v>
      </c>
      <c r="F6" s="11" t="s">
        <v>2353</v>
      </c>
      <c r="G6" s="11" t="s">
        <v>43</v>
      </c>
      <c r="H6" s="11" t="s">
        <v>52</v>
      </c>
      <c r="I6" s="11" t="s">
        <v>84</v>
      </c>
      <c r="J6" s="11" t="s">
        <v>85</v>
      </c>
      <c r="K6" s="11" t="s">
        <v>361</v>
      </c>
      <c r="L6" s="11" t="s">
        <v>92</v>
      </c>
      <c r="M6" s="11" t="s">
        <v>45</v>
      </c>
      <c r="N6" s="11" t="s">
        <v>45</v>
      </c>
      <c r="O6" s="11" t="s">
        <v>45</v>
      </c>
      <c r="P6" s="11" t="s">
        <v>84</v>
      </c>
      <c r="Q6" s="11" t="s">
        <v>86</v>
      </c>
      <c r="R6" s="11">
        <v>750</v>
      </c>
      <c r="S6" s="40" t="s">
        <v>39</v>
      </c>
      <c r="T6" s="11">
        <v>900</v>
      </c>
      <c r="U6" s="11" t="s">
        <v>45</v>
      </c>
      <c r="V6" s="11" t="s">
        <v>84</v>
      </c>
      <c r="W6" s="11" t="s">
        <v>86</v>
      </c>
      <c r="X6" s="40" t="s">
        <v>60</v>
      </c>
      <c r="Y6" s="40" t="s">
        <v>141</v>
      </c>
      <c r="Z6" s="40"/>
      <c r="AA6" s="40" t="s">
        <v>39</v>
      </c>
      <c r="AB6" s="12" t="s">
        <v>19</v>
      </c>
      <c r="AC6" s="11" t="s">
        <v>45</v>
      </c>
      <c r="AD6" s="11" t="s">
        <v>45</v>
      </c>
      <c r="AE6" s="11" t="s">
        <v>50</v>
      </c>
      <c r="AF6" s="11" t="s">
        <v>50</v>
      </c>
      <c r="AG6" s="13" t="s">
        <v>60</v>
      </c>
      <c r="AH6" s="13" t="s">
        <v>62</v>
      </c>
      <c r="AI6" s="13" t="s">
        <v>45</v>
      </c>
      <c r="AJ6" s="13" t="s">
        <v>23</v>
      </c>
      <c r="AK6" s="13" t="s">
        <v>45</v>
      </c>
      <c r="AL6" s="133" t="s">
        <v>2354</v>
      </c>
      <c r="AM6" s="134"/>
      <c r="AN6" s="134"/>
      <c r="AO6" s="134"/>
      <c r="AP6" s="135"/>
    </row>
    <row r="7" spans="1:45" s="10" customFormat="1" ht="15" customHeight="1" x14ac:dyDescent="0.4">
      <c r="A7" s="6">
        <v>9</v>
      </c>
      <c r="B7" s="6">
        <v>301</v>
      </c>
      <c r="C7" s="6" t="s">
        <v>80</v>
      </c>
      <c r="D7" s="18" t="s">
        <v>1420</v>
      </c>
      <c r="E7" s="34" t="s">
        <v>18</v>
      </c>
      <c r="F7" s="46" t="s">
        <v>1421</v>
      </c>
      <c r="G7" s="6" t="s">
        <v>43</v>
      </c>
      <c r="H7" s="6" t="s">
        <v>52</v>
      </c>
      <c r="I7" s="6" t="s">
        <v>84</v>
      </c>
      <c r="J7" s="6" t="s">
        <v>85</v>
      </c>
      <c r="K7" s="6" t="s">
        <v>60</v>
      </c>
      <c r="L7" s="6" t="s">
        <v>92</v>
      </c>
      <c r="M7" s="6" t="s">
        <v>45</v>
      </c>
      <c r="N7" s="6" t="s">
        <v>45</v>
      </c>
      <c r="O7" s="6" t="s">
        <v>23</v>
      </c>
      <c r="P7" s="6" t="s">
        <v>84</v>
      </c>
      <c r="Q7" s="6" t="s">
        <v>86</v>
      </c>
      <c r="R7" s="6">
        <v>750</v>
      </c>
      <c r="S7" s="6" t="s">
        <v>39</v>
      </c>
      <c r="T7" s="6">
        <v>640</v>
      </c>
      <c r="U7" s="6" t="s">
        <v>45</v>
      </c>
      <c r="V7" s="6" t="s">
        <v>84</v>
      </c>
      <c r="W7" s="6" t="s">
        <v>86</v>
      </c>
      <c r="X7" s="6" t="s">
        <v>60</v>
      </c>
      <c r="Y7" s="6" t="s">
        <v>344</v>
      </c>
      <c r="Z7" s="46" t="s">
        <v>1422</v>
      </c>
      <c r="AA7" s="6" t="s">
        <v>65</v>
      </c>
      <c r="AB7" s="15" t="s">
        <v>88</v>
      </c>
      <c r="AC7" s="16" t="s">
        <v>45</v>
      </c>
      <c r="AD7" s="16" t="s">
        <v>23</v>
      </c>
      <c r="AE7" s="16" t="s">
        <v>50</v>
      </c>
      <c r="AF7" s="16" t="s">
        <v>50</v>
      </c>
      <c r="AG7" s="17" t="s">
        <v>60</v>
      </c>
      <c r="AH7" s="17" t="s">
        <v>62</v>
      </c>
      <c r="AI7" s="17" t="s">
        <v>45</v>
      </c>
      <c r="AJ7" s="17" t="s">
        <v>45</v>
      </c>
      <c r="AK7" s="17" t="s">
        <v>45</v>
      </c>
      <c r="AL7" s="78" t="s">
        <v>1423</v>
      </c>
      <c r="AM7" s="79"/>
      <c r="AN7" s="79"/>
      <c r="AO7" s="79"/>
      <c r="AP7" s="80"/>
    </row>
    <row r="8" spans="1:45" s="14" customFormat="1" ht="15" customHeight="1" x14ac:dyDescent="0.4">
      <c r="A8" s="11">
        <v>9</v>
      </c>
      <c r="B8" s="11">
        <v>401</v>
      </c>
      <c r="C8" s="11" t="s">
        <v>80</v>
      </c>
      <c r="D8" s="13" t="s">
        <v>1424</v>
      </c>
      <c r="E8" s="33" t="s">
        <v>18</v>
      </c>
      <c r="F8" s="11" t="s">
        <v>1425</v>
      </c>
      <c r="G8" s="11" t="s">
        <v>43</v>
      </c>
      <c r="H8" s="11" t="s">
        <v>52</v>
      </c>
      <c r="I8" s="11" t="s">
        <v>84</v>
      </c>
      <c r="J8" s="11" t="s">
        <v>85</v>
      </c>
      <c r="K8" s="11" t="s">
        <v>60</v>
      </c>
      <c r="L8" s="11" t="s">
        <v>92</v>
      </c>
      <c r="M8" s="11" t="s">
        <v>45</v>
      </c>
      <c r="N8" s="11" t="s">
        <v>45</v>
      </c>
      <c r="O8" s="11" t="s">
        <v>45</v>
      </c>
      <c r="P8" s="11" t="s">
        <v>84</v>
      </c>
      <c r="Q8" s="11" t="s">
        <v>86</v>
      </c>
      <c r="R8" s="11">
        <v>900</v>
      </c>
      <c r="S8" s="40" t="s">
        <v>39</v>
      </c>
      <c r="T8" s="11">
        <v>900</v>
      </c>
      <c r="U8" s="11" t="s">
        <v>45</v>
      </c>
      <c r="V8" s="11" t="s">
        <v>84</v>
      </c>
      <c r="W8" s="11" t="s">
        <v>86</v>
      </c>
      <c r="X8" s="40" t="s">
        <v>60</v>
      </c>
      <c r="Y8" s="40" t="s">
        <v>87</v>
      </c>
      <c r="Z8" s="40" t="s">
        <v>1426</v>
      </c>
      <c r="AA8" s="40" t="s">
        <v>65</v>
      </c>
      <c r="AB8" s="12" t="s">
        <v>88</v>
      </c>
      <c r="AC8" s="11" t="s">
        <v>45</v>
      </c>
      <c r="AD8" s="11" t="s">
        <v>23</v>
      </c>
      <c r="AE8" s="11" t="s">
        <v>116</v>
      </c>
      <c r="AF8" s="11" t="s">
        <v>116</v>
      </c>
      <c r="AG8" s="13" t="s">
        <v>60</v>
      </c>
      <c r="AH8" s="13" t="s">
        <v>62</v>
      </c>
      <c r="AI8" s="13" t="s">
        <v>45</v>
      </c>
      <c r="AJ8" s="13" t="s">
        <v>45</v>
      </c>
      <c r="AK8" s="13" t="s">
        <v>23</v>
      </c>
      <c r="AL8" s="94" t="s">
        <v>1427</v>
      </c>
      <c r="AM8" s="95"/>
      <c r="AN8" s="95"/>
      <c r="AO8" s="95"/>
      <c r="AP8" s="96"/>
    </row>
    <row r="9" spans="1:45" s="10" customFormat="1" ht="47.25" customHeight="1" x14ac:dyDescent="0.4">
      <c r="A9" s="6">
        <v>9</v>
      </c>
      <c r="B9" s="6">
        <v>501</v>
      </c>
      <c r="C9" s="6" t="s">
        <v>80</v>
      </c>
      <c r="D9" s="18" t="s">
        <v>1428</v>
      </c>
      <c r="E9" s="34" t="s">
        <v>18</v>
      </c>
      <c r="F9" s="6" t="s">
        <v>1429</v>
      </c>
      <c r="G9" s="6" t="s">
        <v>43</v>
      </c>
      <c r="H9" s="6" t="s">
        <v>52</v>
      </c>
      <c r="I9" s="6" t="s">
        <v>84</v>
      </c>
      <c r="J9" s="6" t="s">
        <v>85</v>
      </c>
      <c r="K9" s="6" t="s">
        <v>60</v>
      </c>
      <c r="L9" s="6" t="s">
        <v>92</v>
      </c>
      <c r="M9" s="6" t="s">
        <v>45</v>
      </c>
      <c r="N9" s="6" t="s">
        <v>45</v>
      </c>
      <c r="O9" s="6" t="s">
        <v>23</v>
      </c>
      <c r="P9" s="6" t="s">
        <v>84</v>
      </c>
      <c r="Q9" s="6" t="s">
        <v>86</v>
      </c>
      <c r="R9" s="6">
        <v>900</v>
      </c>
      <c r="S9" s="6" t="s">
        <v>39</v>
      </c>
      <c r="T9" s="6">
        <v>900</v>
      </c>
      <c r="U9" s="6" t="s">
        <v>45</v>
      </c>
      <c r="V9" s="6" t="s">
        <v>84</v>
      </c>
      <c r="W9" s="6" t="s">
        <v>86</v>
      </c>
      <c r="X9" s="6" t="s">
        <v>60</v>
      </c>
      <c r="Y9" s="6" t="s">
        <v>531</v>
      </c>
      <c r="Z9" s="6"/>
      <c r="AA9" s="6" t="s">
        <v>65</v>
      </c>
      <c r="AB9" s="15" t="s">
        <v>88</v>
      </c>
      <c r="AC9" s="16" t="s">
        <v>45</v>
      </c>
      <c r="AD9" s="16" t="s">
        <v>23</v>
      </c>
      <c r="AE9" s="16" t="s">
        <v>116</v>
      </c>
      <c r="AF9" s="16" t="s">
        <v>116</v>
      </c>
      <c r="AG9" s="17" t="s">
        <v>60</v>
      </c>
      <c r="AH9" s="17" t="s">
        <v>62</v>
      </c>
      <c r="AI9" s="17" t="s">
        <v>45</v>
      </c>
      <c r="AJ9" s="17" t="s">
        <v>45</v>
      </c>
      <c r="AK9" s="17" t="s">
        <v>23</v>
      </c>
      <c r="AL9" s="106" t="s">
        <v>1430</v>
      </c>
      <c r="AM9" s="107"/>
      <c r="AN9" s="107"/>
      <c r="AO9" s="107"/>
      <c r="AP9" s="108"/>
    </row>
    <row r="10" spans="1:45" s="14" customFormat="1" ht="42.75" customHeight="1" x14ac:dyDescent="0.4">
      <c r="A10" s="11">
        <v>9</v>
      </c>
      <c r="B10" s="11">
        <v>102</v>
      </c>
      <c r="C10" s="11" t="s">
        <v>80</v>
      </c>
      <c r="D10" s="13" t="s">
        <v>1431</v>
      </c>
      <c r="E10" s="33" t="s">
        <v>18</v>
      </c>
      <c r="F10" s="11" t="s">
        <v>1432</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900</v>
      </c>
      <c r="U10" s="11" t="s">
        <v>45</v>
      </c>
      <c r="V10" s="11" t="s">
        <v>84</v>
      </c>
      <c r="W10" s="11" t="s">
        <v>86</v>
      </c>
      <c r="X10" s="40" t="s">
        <v>60</v>
      </c>
      <c r="Y10" s="40" t="s">
        <v>87</v>
      </c>
      <c r="Z10" s="40" t="s">
        <v>1433</v>
      </c>
      <c r="AA10" s="40" t="s">
        <v>65</v>
      </c>
      <c r="AB10" s="12" t="s">
        <v>88</v>
      </c>
      <c r="AC10" s="11" t="s">
        <v>45</v>
      </c>
      <c r="AD10" s="11" t="s">
        <v>45</v>
      </c>
      <c r="AE10" s="11" t="s">
        <v>116</v>
      </c>
      <c r="AF10" s="11" t="s">
        <v>50</v>
      </c>
      <c r="AG10" s="13" t="s">
        <v>60</v>
      </c>
      <c r="AH10" s="13" t="s">
        <v>62</v>
      </c>
      <c r="AI10" s="13" t="s">
        <v>45</v>
      </c>
      <c r="AJ10" s="13" t="s">
        <v>45</v>
      </c>
      <c r="AK10" s="13" t="s">
        <v>23</v>
      </c>
      <c r="AL10" s="133" t="s">
        <v>1434</v>
      </c>
      <c r="AM10" s="134"/>
      <c r="AN10" s="134"/>
      <c r="AO10" s="134"/>
      <c r="AP10" s="135"/>
    </row>
    <row r="11" spans="1:45" s="10" customFormat="1" ht="39" customHeight="1" x14ac:dyDescent="0.4">
      <c r="A11" s="6">
        <v>9</v>
      </c>
      <c r="B11" s="6">
        <v>202</v>
      </c>
      <c r="C11" s="6" t="s">
        <v>80</v>
      </c>
      <c r="D11" s="18" t="s">
        <v>1472</v>
      </c>
      <c r="E11" s="34" t="s">
        <v>18</v>
      </c>
      <c r="F11" s="6" t="s">
        <v>1473</v>
      </c>
      <c r="G11" s="6" t="s">
        <v>1474</v>
      </c>
      <c r="H11" s="6" t="s">
        <v>1475</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1476</v>
      </c>
      <c r="Z11" s="6"/>
      <c r="AA11" s="6" t="s">
        <v>1477</v>
      </c>
      <c r="AB11" s="15" t="s">
        <v>1478</v>
      </c>
      <c r="AC11" s="16" t="s">
        <v>1479</v>
      </c>
      <c r="AD11" s="16" t="s">
        <v>45</v>
      </c>
      <c r="AE11" s="16" t="s">
        <v>116</v>
      </c>
      <c r="AF11" s="16" t="s">
        <v>116</v>
      </c>
      <c r="AG11" s="17" t="s">
        <v>60</v>
      </c>
      <c r="AH11" s="17" t="s">
        <v>62</v>
      </c>
      <c r="AI11" s="17" t="s">
        <v>45</v>
      </c>
      <c r="AJ11" s="17" t="s">
        <v>45</v>
      </c>
      <c r="AK11" s="17" t="s">
        <v>45</v>
      </c>
      <c r="AL11" s="106" t="s">
        <v>1480</v>
      </c>
      <c r="AM11" s="107"/>
      <c r="AN11" s="107"/>
      <c r="AO11" s="107"/>
      <c r="AP11" s="108"/>
    </row>
    <row r="12" spans="1:45" s="14" customFormat="1" ht="30.75" customHeight="1" x14ac:dyDescent="0.4">
      <c r="A12" s="11">
        <v>9</v>
      </c>
      <c r="B12" s="11">
        <v>302</v>
      </c>
      <c r="C12" s="11" t="s">
        <v>80</v>
      </c>
      <c r="D12" s="13" t="s">
        <v>1481</v>
      </c>
      <c r="E12" s="33" t="s">
        <v>18</v>
      </c>
      <c r="F12" s="11" t="s">
        <v>1482</v>
      </c>
      <c r="G12" s="11" t="s">
        <v>43</v>
      </c>
      <c r="H12" s="11" t="s">
        <v>52</v>
      </c>
      <c r="I12" s="11" t="s">
        <v>84</v>
      </c>
      <c r="J12" s="11" t="s">
        <v>85</v>
      </c>
      <c r="K12" s="11" t="s">
        <v>361</v>
      </c>
      <c r="L12" s="11" t="s">
        <v>92</v>
      </c>
      <c r="M12" s="11" t="s">
        <v>45</v>
      </c>
      <c r="N12" s="11" t="s">
        <v>45</v>
      </c>
      <c r="O12" s="11" t="s">
        <v>45</v>
      </c>
      <c r="P12" s="11" t="s">
        <v>84</v>
      </c>
      <c r="Q12" s="11" t="s">
        <v>86</v>
      </c>
      <c r="R12" s="11">
        <v>900</v>
      </c>
      <c r="S12" s="40" t="s">
        <v>39</v>
      </c>
      <c r="T12" s="11">
        <v>900</v>
      </c>
      <c r="U12" s="11" t="s">
        <v>45</v>
      </c>
      <c r="V12" s="11" t="s">
        <v>84</v>
      </c>
      <c r="W12" s="11" t="s">
        <v>86</v>
      </c>
      <c r="X12" s="40" t="s">
        <v>60</v>
      </c>
      <c r="Y12" s="40" t="s">
        <v>87</v>
      </c>
      <c r="Z12" s="40" t="s">
        <v>1483</v>
      </c>
      <c r="AA12" s="40" t="s">
        <v>65</v>
      </c>
      <c r="AB12" s="12" t="s">
        <v>88</v>
      </c>
      <c r="AC12" s="11" t="s">
        <v>23</v>
      </c>
      <c r="AD12" s="11" t="s">
        <v>23</v>
      </c>
      <c r="AE12" s="11" t="s">
        <v>50</v>
      </c>
      <c r="AF12" s="11" t="s">
        <v>50</v>
      </c>
      <c r="AG12" s="13" t="s">
        <v>60</v>
      </c>
      <c r="AH12" s="13" t="s">
        <v>62</v>
      </c>
      <c r="AI12" s="13" t="s">
        <v>45</v>
      </c>
      <c r="AJ12" s="13" t="s">
        <v>45</v>
      </c>
      <c r="AK12" s="13" t="s">
        <v>45</v>
      </c>
      <c r="AL12" s="133" t="s">
        <v>1484</v>
      </c>
      <c r="AM12" s="134"/>
      <c r="AN12" s="134"/>
      <c r="AO12" s="134"/>
      <c r="AP12" s="135"/>
    </row>
    <row r="13" spans="1:45" s="10" customFormat="1" ht="15" customHeight="1" x14ac:dyDescent="0.4">
      <c r="A13" s="6">
        <v>9</v>
      </c>
      <c r="B13" s="6">
        <v>402</v>
      </c>
      <c r="C13" s="6" t="s">
        <v>80</v>
      </c>
      <c r="D13" s="18" t="s">
        <v>1485</v>
      </c>
      <c r="E13" s="34" t="s">
        <v>18</v>
      </c>
      <c r="F13" s="6" t="s">
        <v>1486</v>
      </c>
      <c r="G13" s="6" t="s">
        <v>43</v>
      </c>
      <c r="H13" s="6" t="s">
        <v>52</v>
      </c>
      <c r="I13" s="6" t="s">
        <v>84</v>
      </c>
      <c r="J13" s="6" t="s">
        <v>85</v>
      </c>
      <c r="K13" s="6" t="s">
        <v>60</v>
      </c>
      <c r="L13" s="6" t="s">
        <v>92</v>
      </c>
      <c r="M13" s="6" t="s">
        <v>45</v>
      </c>
      <c r="N13" s="6" t="s">
        <v>45</v>
      </c>
      <c r="O13" s="6" t="s">
        <v>45</v>
      </c>
      <c r="P13" s="6" t="s">
        <v>84</v>
      </c>
      <c r="Q13" s="6" t="s">
        <v>86</v>
      </c>
      <c r="R13" s="6">
        <v>740</v>
      </c>
      <c r="S13" s="50" t="s">
        <v>39</v>
      </c>
      <c r="T13" s="6">
        <v>900</v>
      </c>
      <c r="U13" s="6" t="s">
        <v>45</v>
      </c>
      <c r="V13" s="6" t="s">
        <v>84</v>
      </c>
      <c r="W13" s="6" t="s">
        <v>86</v>
      </c>
      <c r="X13" s="50" t="s">
        <v>60</v>
      </c>
      <c r="Y13" s="50" t="s">
        <v>87</v>
      </c>
      <c r="Z13" s="50" t="s">
        <v>1487</v>
      </c>
      <c r="AA13" s="50" t="s">
        <v>65</v>
      </c>
      <c r="AB13" s="62" t="s">
        <v>88</v>
      </c>
      <c r="AC13" s="6" t="s">
        <v>45</v>
      </c>
      <c r="AD13" s="6" t="s">
        <v>23</v>
      </c>
      <c r="AE13" s="6" t="s">
        <v>50</v>
      </c>
      <c r="AF13" s="6" t="s">
        <v>50</v>
      </c>
      <c r="AG13" s="18" t="s">
        <v>60</v>
      </c>
      <c r="AH13" s="18" t="s">
        <v>62</v>
      </c>
      <c r="AI13" s="18" t="s">
        <v>45</v>
      </c>
      <c r="AJ13" s="18" t="s">
        <v>45</v>
      </c>
      <c r="AK13" s="18" t="s">
        <v>45</v>
      </c>
      <c r="AL13" s="78" t="s">
        <v>1488</v>
      </c>
      <c r="AM13" s="79"/>
      <c r="AN13" s="79"/>
      <c r="AO13" s="79"/>
      <c r="AP13" s="80"/>
    </row>
    <row r="14" spans="1:45" s="14" customFormat="1" ht="15" customHeight="1" x14ac:dyDescent="0.4">
      <c r="A14" s="11">
        <v>9</v>
      </c>
      <c r="B14" s="11">
        <v>502</v>
      </c>
      <c r="C14" s="11" t="s">
        <v>80</v>
      </c>
      <c r="D14" s="13" t="s">
        <v>1547</v>
      </c>
      <c r="E14" s="33" t="s">
        <v>18</v>
      </c>
      <c r="F14" s="11" t="s">
        <v>1548</v>
      </c>
      <c r="G14" s="11" t="s">
        <v>43</v>
      </c>
      <c r="H14" s="11" t="s">
        <v>52</v>
      </c>
      <c r="I14" s="11" t="s">
        <v>84</v>
      </c>
      <c r="J14" s="11" t="s">
        <v>85</v>
      </c>
      <c r="K14" s="11" t="s">
        <v>60</v>
      </c>
      <c r="L14" s="11" t="s">
        <v>92</v>
      </c>
      <c r="M14" s="11" t="s">
        <v>45</v>
      </c>
      <c r="N14" s="11" t="s">
        <v>45</v>
      </c>
      <c r="O14" s="11" t="s">
        <v>45</v>
      </c>
      <c r="P14" s="11" t="s">
        <v>84</v>
      </c>
      <c r="Q14" s="11" t="s">
        <v>86</v>
      </c>
      <c r="R14" s="11">
        <v>750</v>
      </c>
      <c r="S14" s="40" t="s">
        <v>39</v>
      </c>
      <c r="T14" s="11">
        <v>900</v>
      </c>
      <c r="U14" s="11" t="s">
        <v>45</v>
      </c>
      <c r="V14" s="11" t="s">
        <v>84</v>
      </c>
      <c r="W14" s="11" t="s">
        <v>86</v>
      </c>
      <c r="X14" s="40" t="s">
        <v>60</v>
      </c>
      <c r="Y14" s="40" t="s">
        <v>1549</v>
      </c>
      <c r="Z14" s="40" t="s">
        <v>1550</v>
      </c>
      <c r="AA14" s="40" t="s">
        <v>65</v>
      </c>
      <c r="AB14" s="12" t="s">
        <v>88</v>
      </c>
      <c r="AC14" s="11" t="s">
        <v>45</v>
      </c>
      <c r="AD14" s="11" t="s">
        <v>23</v>
      </c>
      <c r="AE14" s="11" t="s">
        <v>50</v>
      </c>
      <c r="AF14" s="11" t="s">
        <v>50</v>
      </c>
      <c r="AG14" s="13" t="s">
        <v>60</v>
      </c>
      <c r="AH14" s="13" t="s">
        <v>62</v>
      </c>
      <c r="AI14" s="13" t="s">
        <v>45</v>
      </c>
      <c r="AJ14" s="13" t="s">
        <v>23</v>
      </c>
      <c r="AK14" s="13" t="s">
        <v>45</v>
      </c>
      <c r="AL14" s="94" t="s">
        <v>1551</v>
      </c>
      <c r="AM14" s="95"/>
      <c r="AN14" s="95"/>
      <c r="AO14" s="95"/>
      <c r="AP14" s="96"/>
    </row>
    <row r="15" spans="1:45" s="10" customFormat="1" ht="15" customHeight="1" x14ac:dyDescent="0.4">
      <c r="A15" s="6">
        <v>9</v>
      </c>
      <c r="B15" s="6">
        <v>103</v>
      </c>
      <c r="C15" s="6" t="s">
        <v>80</v>
      </c>
      <c r="D15" s="18" t="s">
        <v>1435</v>
      </c>
      <c r="E15" s="34" t="s">
        <v>18</v>
      </c>
      <c r="F15" s="6" t="s">
        <v>1436</v>
      </c>
      <c r="G15" s="6" t="s">
        <v>43</v>
      </c>
      <c r="H15" s="6" t="s">
        <v>52</v>
      </c>
      <c r="I15" s="6" t="s">
        <v>84</v>
      </c>
      <c r="J15" s="6" t="s">
        <v>85</v>
      </c>
      <c r="K15" s="6" t="s">
        <v>60</v>
      </c>
      <c r="L15" s="6" t="s">
        <v>92</v>
      </c>
      <c r="M15" s="6" t="s">
        <v>45</v>
      </c>
      <c r="N15" s="6" t="s">
        <v>23</v>
      </c>
      <c r="O15" s="6" t="s">
        <v>45</v>
      </c>
      <c r="P15" s="6" t="s">
        <v>84</v>
      </c>
      <c r="Q15" s="6" t="s">
        <v>86</v>
      </c>
      <c r="R15" s="6">
        <v>750</v>
      </c>
      <c r="S15" s="6" t="s">
        <v>39</v>
      </c>
      <c r="T15" s="6">
        <v>900</v>
      </c>
      <c r="U15" s="6" t="s">
        <v>45</v>
      </c>
      <c r="V15" s="6" t="s">
        <v>84</v>
      </c>
      <c r="W15" s="6" t="s">
        <v>86</v>
      </c>
      <c r="X15" s="6" t="s">
        <v>60</v>
      </c>
      <c r="Y15" s="6" t="s">
        <v>531</v>
      </c>
      <c r="Z15" s="6"/>
      <c r="AA15" s="6" t="s">
        <v>65</v>
      </c>
      <c r="AB15" s="15" t="s">
        <v>88</v>
      </c>
      <c r="AC15" s="16" t="s">
        <v>45</v>
      </c>
      <c r="AD15" s="16" t="s">
        <v>45</v>
      </c>
      <c r="AE15" s="16" t="s">
        <v>116</v>
      </c>
      <c r="AF15" s="16" t="s">
        <v>50</v>
      </c>
      <c r="AG15" s="17" t="s">
        <v>60</v>
      </c>
      <c r="AH15" s="17" t="s">
        <v>62</v>
      </c>
      <c r="AI15" s="18" t="s">
        <v>241</v>
      </c>
      <c r="AJ15" s="17" t="s">
        <v>45</v>
      </c>
      <c r="AK15" s="17" t="s">
        <v>45</v>
      </c>
      <c r="AL15" s="78" t="s">
        <v>1437</v>
      </c>
      <c r="AM15" s="79"/>
      <c r="AN15" s="79"/>
      <c r="AO15" s="79"/>
      <c r="AP15" s="80"/>
    </row>
    <row r="16" spans="1:45" s="14" customFormat="1" ht="48" customHeight="1" x14ac:dyDescent="0.4">
      <c r="A16" s="11">
        <v>9</v>
      </c>
      <c r="B16" s="11">
        <v>203</v>
      </c>
      <c r="C16" s="11" t="s">
        <v>80</v>
      </c>
      <c r="D16" s="13" t="s">
        <v>2355</v>
      </c>
      <c r="E16" s="33" t="s">
        <v>18</v>
      </c>
      <c r="F16" s="45" t="s">
        <v>2356</v>
      </c>
      <c r="G16" s="11" t="s">
        <v>43</v>
      </c>
      <c r="H16" s="11" t="s">
        <v>52</v>
      </c>
      <c r="I16" s="11" t="s">
        <v>84</v>
      </c>
      <c r="J16" s="11" t="s">
        <v>85</v>
      </c>
      <c r="K16" s="11" t="s">
        <v>60</v>
      </c>
      <c r="L16" s="11" t="s">
        <v>92</v>
      </c>
      <c r="M16" s="11" t="s">
        <v>45</v>
      </c>
      <c r="N16" s="11" t="s">
        <v>45</v>
      </c>
      <c r="O16" s="11" t="s">
        <v>23</v>
      </c>
      <c r="P16" s="11" t="s">
        <v>84</v>
      </c>
      <c r="Q16" s="11" t="s">
        <v>877</v>
      </c>
      <c r="R16" s="11">
        <v>750</v>
      </c>
      <c r="S16" s="40" t="s">
        <v>39</v>
      </c>
      <c r="T16" s="11">
        <v>900</v>
      </c>
      <c r="U16" s="11" t="s">
        <v>45</v>
      </c>
      <c r="V16" s="11" t="s">
        <v>84</v>
      </c>
      <c r="W16" s="11" t="s">
        <v>877</v>
      </c>
      <c r="X16" s="40" t="s">
        <v>60</v>
      </c>
      <c r="Y16" s="40" t="s">
        <v>87</v>
      </c>
      <c r="Z16" s="40" t="s">
        <v>2357</v>
      </c>
      <c r="AA16" s="40" t="s">
        <v>39</v>
      </c>
      <c r="AB16" s="12" t="s">
        <v>88</v>
      </c>
      <c r="AC16" s="11" t="s">
        <v>45</v>
      </c>
      <c r="AD16" s="11" t="s">
        <v>23</v>
      </c>
      <c r="AE16" s="11" t="s">
        <v>50</v>
      </c>
      <c r="AF16" s="11" t="s">
        <v>50</v>
      </c>
      <c r="AG16" s="13" t="s">
        <v>60</v>
      </c>
      <c r="AH16" s="13" t="s">
        <v>62</v>
      </c>
      <c r="AI16" s="13" t="s">
        <v>45</v>
      </c>
      <c r="AJ16" s="13" t="s">
        <v>23</v>
      </c>
      <c r="AK16" s="13" t="s">
        <v>45</v>
      </c>
      <c r="AL16" s="133" t="s">
        <v>2358</v>
      </c>
      <c r="AM16" s="134"/>
      <c r="AN16" s="134"/>
      <c r="AO16" s="134"/>
      <c r="AP16" s="135"/>
    </row>
    <row r="17" spans="1:42" s="10" customFormat="1" ht="33" customHeight="1" x14ac:dyDescent="0.4">
      <c r="A17" s="6">
        <v>9</v>
      </c>
      <c r="B17" s="6">
        <v>303</v>
      </c>
      <c r="C17" s="6" t="s">
        <v>80</v>
      </c>
      <c r="D17" s="18" t="s">
        <v>1552</v>
      </c>
      <c r="E17" s="34" t="s">
        <v>18</v>
      </c>
      <c r="F17" s="6" t="s">
        <v>1553</v>
      </c>
      <c r="G17" s="6" t="s">
        <v>43</v>
      </c>
      <c r="H17" s="6" t="s">
        <v>52</v>
      </c>
      <c r="I17" s="6" t="s">
        <v>84</v>
      </c>
      <c r="J17" s="6" t="s">
        <v>85</v>
      </c>
      <c r="K17" s="6" t="s">
        <v>60</v>
      </c>
      <c r="L17" s="6" t="s">
        <v>92</v>
      </c>
      <c r="M17" s="6" t="s">
        <v>45</v>
      </c>
      <c r="N17" s="6" t="s">
        <v>45</v>
      </c>
      <c r="O17" s="6" t="s">
        <v>23</v>
      </c>
      <c r="P17" s="6" t="s">
        <v>84</v>
      </c>
      <c r="Q17" s="6" t="s">
        <v>86</v>
      </c>
      <c r="R17" s="6" t="s">
        <v>1554</v>
      </c>
      <c r="S17" s="50" t="s">
        <v>39</v>
      </c>
      <c r="T17" s="6">
        <v>900</v>
      </c>
      <c r="U17" s="6" t="s">
        <v>45</v>
      </c>
      <c r="V17" s="6" t="s">
        <v>84</v>
      </c>
      <c r="W17" s="6" t="s">
        <v>86</v>
      </c>
      <c r="X17" s="50" t="s">
        <v>60</v>
      </c>
      <c r="Y17" s="50" t="s">
        <v>87</v>
      </c>
      <c r="Z17" s="50" t="s">
        <v>1555</v>
      </c>
      <c r="AA17" s="50" t="s">
        <v>65</v>
      </c>
      <c r="AB17" s="62" t="s">
        <v>88</v>
      </c>
      <c r="AC17" s="6" t="s">
        <v>45</v>
      </c>
      <c r="AD17" s="6" t="s">
        <v>23</v>
      </c>
      <c r="AE17" s="6" t="s">
        <v>50</v>
      </c>
      <c r="AF17" s="6" t="s">
        <v>50</v>
      </c>
      <c r="AG17" s="18" t="s">
        <v>60</v>
      </c>
      <c r="AH17" s="18" t="s">
        <v>62</v>
      </c>
      <c r="AI17" s="18" t="s">
        <v>45</v>
      </c>
      <c r="AJ17" s="18" t="s">
        <v>45</v>
      </c>
      <c r="AK17" s="18" t="s">
        <v>23</v>
      </c>
      <c r="AL17" s="106" t="s">
        <v>1556</v>
      </c>
      <c r="AM17" s="107"/>
      <c r="AN17" s="107"/>
      <c r="AO17" s="107"/>
      <c r="AP17" s="108"/>
    </row>
    <row r="18" spans="1:42" s="14" customFormat="1" ht="39" customHeight="1" x14ac:dyDescent="0.4">
      <c r="A18" s="11">
        <v>9</v>
      </c>
      <c r="B18" s="11">
        <v>403</v>
      </c>
      <c r="C18" s="11" t="s">
        <v>80</v>
      </c>
      <c r="D18" s="13" t="s">
        <v>1614</v>
      </c>
      <c r="E18" s="33" t="s">
        <v>18</v>
      </c>
      <c r="F18" s="11" t="s">
        <v>1615</v>
      </c>
      <c r="G18" s="11" t="s">
        <v>43</v>
      </c>
      <c r="H18" s="11" t="s">
        <v>30</v>
      </c>
      <c r="I18" s="11" t="s">
        <v>84</v>
      </c>
      <c r="J18" s="11" t="s">
        <v>85</v>
      </c>
      <c r="K18" s="11" t="s">
        <v>60</v>
      </c>
      <c r="L18" s="11" t="s">
        <v>92</v>
      </c>
      <c r="M18" s="11" t="s">
        <v>45</v>
      </c>
      <c r="N18" s="11" t="s">
        <v>45</v>
      </c>
      <c r="O18" s="11" t="s">
        <v>45</v>
      </c>
      <c r="P18" s="11" t="s">
        <v>84</v>
      </c>
      <c r="Q18" s="11" t="s">
        <v>86</v>
      </c>
      <c r="R18" s="11">
        <v>1500</v>
      </c>
      <c r="S18" s="40" t="s">
        <v>39</v>
      </c>
      <c r="T18" s="11">
        <v>630</v>
      </c>
      <c r="U18" s="11" t="s">
        <v>45</v>
      </c>
      <c r="V18" s="11" t="s">
        <v>84</v>
      </c>
      <c r="W18" s="11" t="s">
        <v>86</v>
      </c>
      <c r="X18" s="40" t="s">
        <v>60</v>
      </c>
      <c r="Y18" s="40"/>
      <c r="Z18" s="40"/>
      <c r="AA18" s="40" t="s">
        <v>65</v>
      </c>
      <c r="AB18" s="12" t="s">
        <v>88</v>
      </c>
      <c r="AC18" s="11" t="s">
        <v>45</v>
      </c>
      <c r="AD18" s="11" t="s">
        <v>45</v>
      </c>
      <c r="AE18" s="11" t="s">
        <v>50</v>
      </c>
      <c r="AF18" s="11" t="s">
        <v>50</v>
      </c>
      <c r="AG18" s="13" t="s">
        <v>60</v>
      </c>
      <c r="AH18" s="13" t="s">
        <v>62</v>
      </c>
      <c r="AI18" s="13" t="s">
        <v>45</v>
      </c>
      <c r="AJ18" s="13" t="s">
        <v>45</v>
      </c>
      <c r="AK18" s="13" t="s">
        <v>45</v>
      </c>
      <c r="AL18" s="133" t="s">
        <v>1616</v>
      </c>
      <c r="AM18" s="134"/>
      <c r="AN18" s="134"/>
      <c r="AO18" s="134"/>
      <c r="AP18" s="135"/>
    </row>
    <row r="19" spans="1:42" s="10" customFormat="1" ht="59.25" customHeight="1" x14ac:dyDescent="0.4">
      <c r="A19" s="6">
        <v>9</v>
      </c>
      <c r="B19" s="6">
        <v>503</v>
      </c>
      <c r="C19" s="6" t="s">
        <v>80</v>
      </c>
      <c r="D19" s="18" t="s">
        <v>1617</v>
      </c>
      <c r="E19" s="34" t="s">
        <v>18</v>
      </c>
      <c r="F19" s="6" t="s">
        <v>1618</v>
      </c>
      <c r="G19" s="6" t="s">
        <v>43</v>
      </c>
      <c r="H19" s="6" t="s">
        <v>52</v>
      </c>
      <c r="I19" s="6" t="s">
        <v>84</v>
      </c>
      <c r="J19" s="6" t="s">
        <v>85</v>
      </c>
      <c r="K19" s="6" t="s">
        <v>60</v>
      </c>
      <c r="L19" s="6" t="s">
        <v>92</v>
      </c>
      <c r="M19" s="6" t="s">
        <v>23</v>
      </c>
      <c r="N19" s="6" t="s">
        <v>45</v>
      </c>
      <c r="O19" s="6" t="s">
        <v>23</v>
      </c>
      <c r="P19" s="6" t="s">
        <v>84</v>
      </c>
      <c r="Q19" s="6" t="s">
        <v>86</v>
      </c>
      <c r="R19" s="6">
        <v>750</v>
      </c>
      <c r="S19" s="50" t="s">
        <v>39</v>
      </c>
      <c r="T19" s="6">
        <v>900</v>
      </c>
      <c r="U19" s="6" t="s">
        <v>45</v>
      </c>
      <c r="V19" s="6" t="s">
        <v>84</v>
      </c>
      <c r="W19" s="6" t="s">
        <v>86</v>
      </c>
      <c r="X19" s="50" t="s">
        <v>60</v>
      </c>
      <c r="Y19" s="50" t="s">
        <v>141</v>
      </c>
      <c r="Z19" s="50"/>
      <c r="AA19" s="50" t="s">
        <v>65</v>
      </c>
      <c r="AB19" s="62" t="s">
        <v>88</v>
      </c>
      <c r="AC19" s="6" t="s">
        <v>45</v>
      </c>
      <c r="AD19" s="6" t="s">
        <v>23</v>
      </c>
      <c r="AE19" s="6" t="s">
        <v>50</v>
      </c>
      <c r="AF19" s="6" t="s">
        <v>50</v>
      </c>
      <c r="AG19" s="18" t="s">
        <v>60</v>
      </c>
      <c r="AH19" s="18" t="s">
        <v>62</v>
      </c>
      <c r="AI19" s="18" t="s">
        <v>45</v>
      </c>
      <c r="AJ19" s="18" t="s">
        <v>45</v>
      </c>
      <c r="AK19" s="18" t="s">
        <v>45</v>
      </c>
      <c r="AL19" s="106" t="s">
        <v>1619</v>
      </c>
      <c r="AM19" s="107"/>
      <c r="AN19" s="107"/>
      <c r="AO19" s="107"/>
      <c r="AP19" s="108"/>
    </row>
    <row r="20" spans="1:42" s="14" customFormat="1" ht="15" customHeight="1" x14ac:dyDescent="0.4">
      <c r="A20" s="11">
        <v>9</v>
      </c>
      <c r="B20" s="11">
        <v>104</v>
      </c>
      <c r="C20" s="11" t="s">
        <v>80</v>
      </c>
      <c r="D20" s="13" t="s">
        <v>1438</v>
      </c>
      <c r="E20" s="33" t="s">
        <v>18</v>
      </c>
      <c r="F20" s="11" t="s">
        <v>1439</v>
      </c>
      <c r="G20" s="11" t="s">
        <v>43</v>
      </c>
      <c r="H20" s="11" t="s">
        <v>52</v>
      </c>
      <c r="I20" s="11" t="s">
        <v>84</v>
      </c>
      <c r="J20" s="11" t="s">
        <v>85</v>
      </c>
      <c r="K20" s="11" t="s">
        <v>60</v>
      </c>
      <c r="L20" s="11" t="s">
        <v>92</v>
      </c>
      <c r="M20" s="11" t="s">
        <v>45</v>
      </c>
      <c r="N20" s="11" t="s">
        <v>23</v>
      </c>
      <c r="O20" s="11" t="s">
        <v>23</v>
      </c>
      <c r="P20" s="11" t="s">
        <v>84</v>
      </c>
      <c r="Q20" s="11" t="s">
        <v>86</v>
      </c>
      <c r="R20" s="11">
        <v>750</v>
      </c>
      <c r="S20" s="40" t="s">
        <v>39</v>
      </c>
      <c r="T20" s="11">
        <v>900</v>
      </c>
      <c r="U20" s="11" t="s">
        <v>45</v>
      </c>
      <c r="V20" s="11" t="s">
        <v>84</v>
      </c>
      <c r="W20" s="11" t="s">
        <v>86</v>
      </c>
      <c r="X20" s="40" t="s">
        <v>60</v>
      </c>
      <c r="Y20" s="40" t="s">
        <v>87</v>
      </c>
      <c r="Z20" s="40" t="s">
        <v>1440</v>
      </c>
      <c r="AA20" s="40" t="s">
        <v>65</v>
      </c>
      <c r="AB20" s="12" t="s">
        <v>19</v>
      </c>
      <c r="AC20" s="11" t="s">
        <v>45</v>
      </c>
      <c r="AD20" s="11" t="s">
        <v>45</v>
      </c>
      <c r="AE20" s="11" t="s">
        <v>116</v>
      </c>
      <c r="AF20" s="11" t="s">
        <v>50</v>
      </c>
      <c r="AG20" s="13" t="s">
        <v>60</v>
      </c>
      <c r="AH20" s="13" t="s">
        <v>62</v>
      </c>
      <c r="AI20" s="13" t="s">
        <v>45</v>
      </c>
      <c r="AJ20" s="13" t="s">
        <v>23</v>
      </c>
      <c r="AK20" s="13" t="s">
        <v>45</v>
      </c>
      <c r="AL20" s="133" t="s">
        <v>1441</v>
      </c>
      <c r="AM20" s="134"/>
      <c r="AN20" s="134"/>
      <c r="AO20" s="134"/>
      <c r="AP20" s="135"/>
    </row>
    <row r="21" spans="1:42" s="10" customFormat="1" ht="40.5" customHeight="1" x14ac:dyDescent="0.4">
      <c r="A21" s="6">
        <v>9</v>
      </c>
      <c r="B21" s="6">
        <v>204</v>
      </c>
      <c r="C21" s="6" t="s">
        <v>80</v>
      </c>
      <c r="D21" s="18" t="s">
        <v>1583</v>
      </c>
      <c r="E21" s="34" t="s">
        <v>18</v>
      </c>
      <c r="F21" s="46" t="s">
        <v>1584</v>
      </c>
      <c r="G21" s="6" t="s">
        <v>43</v>
      </c>
      <c r="H21" s="6" t="s">
        <v>52</v>
      </c>
      <c r="I21" s="6" t="s">
        <v>84</v>
      </c>
      <c r="J21" s="6" t="s">
        <v>85</v>
      </c>
      <c r="K21" s="6" t="s">
        <v>489</v>
      </c>
      <c r="L21" s="6" t="s">
        <v>92</v>
      </c>
      <c r="M21" s="6" t="s">
        <v>45</v>
      </c>
      <c r="N21" s="6" t="s">
        <v>23</v>
      </c>
      <c r="O21" s="6" t="s">
        <v>23</v>
      </c>
      <c r="P21" s="6" t="s">
        <v>84</v>
      </c>
      <c r="Q21" s="6" t="s">
        <v>86</v>
      </c>
      <c r="R21" s="6" t="s">
        <v>1585</v>
      </c>
      <c r="S21" s="50" t="s">
        <v>39</v>
      </c>
      <c r="T21" s="6">
        <v>900</v>
      </c>
      <c r="U21" s="6" t="s">
        <v>45</v>
      </c>
      <c r="V21" s="6" t="s">
        <v>84</v>
      </c>
      <c r="W21" s="6" t="s">
        <v>86</v>
      </c>
      <c r="X21" s="50" t="s">
        <v>60</v>
      </c>
      <c r="Y21" s="50" t="s">
        <v>141</v>
      </c>
      <c r="Z21" s="50"/>
      <c r="AA21" s="50" t="s">
        <v>65</v>
      </c>
      <c r="AB21" s="62" t="s">
        <v>88</v>
      </c>
      <c r="AC21" s="6" t="s">
        <v>45</v>
      </c>
      <c r="AD21" s="6" t="s">
        <v>23</v>
      </c>
      <c r="AE21" s="6" t="s">
        <v>116</v>
      </c>
      <c r="AF21" s="6" t="s">
        <v>50</v>
      </c>
      <c r="AG21" s="18" t="s">
        <v>60</v>
      </c>
      <c r="AH21" s="18" t="s">
        <v>62</v>
      </c>
      <c r="AI21" s="18" t="s">
        <v>45</v>
      </c>
      <c r="AJ21" s="18" t="s">
        <v>45</v>
      </c>
      <c r="AK21" s="18" t="s">
        <v>23</v>
      </c>
      <c r="AL21" s="106" t="s">
        <v>1586</v>
      </c>
      <c r="AM21" s="107"/>
      <c r="AN21" s="107"/>
      <c r="AO21" s="107"/>
      <c r="AP21" s="108"/>
    </row>
    <row r="22" spans="1:42" s="14" customFormat="1" ht="31.5" customHeight="1" x14ac:dyDescent="0.4">
      <c r="A22" s="11">
        <v>9</v>
      </c>
      <c r="B22" s="11">
        <v>304</v>
      </c>
      <c r="C22" s="11" t="s">
        <v>80</v>
      </c>
      <c r="D22" s="13" t="s">
        <v>1620</v>
      </c>
      <c r="E22" s="33" t="s">
        <v>18</v>
      </c>
      <c r="F22" s="11" t="s">
        <v>1621</v>
      </c>
      <c r="G22" s="11" t="s">
        <v>43</v>
      </c>
      <c r="H22" s="11" t="s">
        <v>52</v>
      </c>
      <c r="I22" s="11" t="s">
        <v>84</v>
      </c>
      <c r="J22" s="11" t="s">
        <v>85</v>
      </c>
      <c r="K22" s="11" t="s">
        <v>60</v>
      </c>
      <c r="L22" s="11" t="s">
        <v>92</v>
      </c>
      <c r="M22" s="11" t="s">
        <v>45</v>
      </c>
      <c r="N22" s="11" t="s">
        <v>45</v>
      </c>
      <c r="O22" s="11" t="s">
        <v>45</v>
      </c>
      <c r="P22" s="11" t="s">
        <v>84</v>
      </c>
      <c r="Q22" s="11" t="s">
        <v>86</v>
      </c>
      <c r="R22" s="11">
        <v>750</v>
      </c>
      <c r="S22" s="40" t="s">
        <v>39</v>
      </c>
      <c r="T22" s="11">
        <v>900</v>
      </c>
      <c r="U22" s="11" t="s">
        <v>45</v>
      </c>
      <c r="V22" s="11" t="s">
        <v>84</v>
      </c>
      <c r="W22" s="11" t="s">
        <v>86</v>
      </c>
      <c r="X22" s="40" t="s">
        <v>60</v>
      </c>
      <c r="Y22" s="40" t="s">
        <v>87</v>
      </c>
      <c r="Z22" s="40" t="s">
        <v>1622</v>
      </c>
      <c r="AA22" s="40" t="s">
        <v>65</v>
      </c>
      <c r="AB22" s="12" t="s">
        <v>88</v>
      </c>
      <c r="AC22" s="11" t="s">
        <v>45</v>
      </c>
      <c r="AD22" s="11" t="s">
        <v>23</v>
      </c>
      <c r="AE22" s="11" t="s">
        <v>50</v>
      </c>
      <c r="AF22" s="11" t="s">
        <v>50</v>
      </c>
      <c r="AG22" s="13" t="s">
        <v>60</v>
      </c>
      <c r="AH22" s="13" t="s">
        <v>62</v>
      </c>
      <c r="AI22" s="13" t="s">
        <v>45</v>
      </c>
      <c r="AJ22" s="13" t="s">
        <v>45</v>
      </c>
      <c r="AK22" s="13" t="s">
        <v>23</v>
      </c>
      <c r="AL22" s="133" t="s">
        <v>1623</v>
      </c>
      <c r="AM22" s="134"/>
      <c r="AN22" s="134"/>
      <c r="AO22" s="134"/>
      <c r="AP22" s="135"/>
    </row>
    <row r="23" spans="1:42" s="10" customFormat="1" ht="42" customHeight="1" x14ac:dyDescent="0.4">
      <c r="A23" s="6">
        <v>9</v>
      </c>
      <c r="B23" s="6">
        <v>404</v>
      </c>
      <c r="C23" s="6" t="s">
        <v>80</v>
      </c>
      <c r="D23" s="18" t="s">
        <v>1675</v>
      </c>
      <c r="E23" s="34" t="s">
        <v>18</v>
      </c>
      <c r="F23" s="6" t="s">
        <v>1676</v>
      </c>
      <c r="G23" s="6" t="s">
        <v>43</v>
      </c>
      <c r="H23" s="6" t="s">
        <v>52</v>
      </c>
      <c r="I23" s="6" t="s">
        <v>84</v>
      </c>
      <c r="J23" s="6" t="s">
        <v>85</v>
      </c>
      <c r="K23" s="6" t="s">
        <v>60</v>
      </c>
      <c r="L23" s="6" t="s">
        <v>92</v>
      </c>
      <c r="M23" s="6" t="s">
        <v>45</v>
      </c>
      <c r="N23" s="6" t="s">
        <v>45</v>
      </c>
      <c r="O23" s="6" t="s">
        <v>23</v>
      </c>
      <c r="P23" s="6" t="s">
        <v>84</v>
      </c>
      <c r="Q23" s="6" t="s">
        <v>86</v>
      </c>
      <c r="R23" s="6">
        <v>750</v>
      </c>
      <c r="S23" s="50" t="s">
        <v>39</v>
      </c>
      <c r="T23" s="6">
        <v>900</v>
      </c>
      <c r="U23" s="6" t="s">
        <v>45</v>
      </c>
      <c r="V23" s="6" t="s">
        <v>84</v>
      </c>
      <c r="W23" s="6" t="s">
        <v>86</v>
      </c>
      <c r="X23" s="50" t="s">
        <v>60</v>
      </c>
      <c r="Y23" s="50" t="s">
        <v>141</v>
      </c>
      <c r="Z23" s="50"/>
      <c r="AA23" s="50" t="s">
        <v>65</v>
      </c>
      <c r="AB23" s="62" t="s">
        <v>88</v>
      </c>
      <c r="AC23" s="6" t="s">
        <v>45</v>
      </c>
      <c r="AD23" s="6" t="s">
        <v>23</v>
      </c>
      <c r="AE23" s="6" t="s">
        <v>50</v>
      </c>
      <c r="AF23" s="6" t="s">
        <v>50</v>
      </c>
      <c r="AG23" s="18" t="s">
        <v>19</v>
      </c>
      <c r="AH23" s="18" t="s">
        <v>62</v>
      </c>
      <c r="AI23" s="18" t="s">
        <v>45</v>
      </c>
      <c r="AJ23" s="18" t="s">
        <v>45</v>
      </c>
      <c r="AK23" s="18" t="s">
        <v>45</v>
      </c>
      <c r="AL23" s="106" t="s">
        <v>1677</v>
      </c>
      <c r="AM23" s="107"/>
      <c r="AN23" s="107"/>
      <c r="AO23" s="107"/>
      <c r="AP23" s="108"/>
    </row>
    <row r="24" spans="1:42" s="14" customFormat="1" ht="66.75" customHeight="1" x14ac:dyDescent="0.4">
      <c r="A24" s="11">
        <v>9</v>
      </c>
      <c r="B24" s="11">
        <v>504</v>
      </c>
      <c r="C24" s="11" t="s">
        <v>80</v>
      </c>
      <c r="D24" s="13" t="s">
        <v>1678</v>
      </c>
      <c r="E24" s="33" t="s">
        <v>18</v>
      </c>
      <c r="F24" s="11" t="s">
        <v>1679</v>
      </c>
      <c r="G24" s="11" t="s">
        <v>43</v>
      </c>
      <c r="H24" s="11" t="s">
        <v>52</v>
      </c>
      <c r="I24" s="11" t="s">
        <v>84</v>
      </c>
      <c r="J24" s="11" t="s">
        <v>85</v>
      </c>
      <c r="K24" s="11" t="s">
        <v>60</v>
      </c>
      <c r="L24" s="11" t="s">
        <v>92</v>
      </c>
      <c r="M24" s="11" t="s">
        <v>45</v>
      </c>
      <c r="N24" s="11" t="s">
        <v>45</v>
      </c>
      <c r="O24" s="11" t="s">
        <v>23</v>
      </c>
      <c r="P24" s="11" t="s">
        <v>84</v>
      </c>
      <c r="Q24" s="11" t="s">
        <v>86</v>
      </c>
      <c r="R24" s="11">
        <v>740</v>
      </c>
      <c r="S24" s="40" t="s">
        <v>39</v>
      </c>
      <c r="T24" s="11">
        <v>900</v>
      </c>
      <c r="U24" s="11" t="s">
        <v>45</v>
      </c>
      <c r="V24" s="11" t="s">
        <v>84</v>
      </c>
      <c r="W24" s="11" t="s">
        <v>86</v>
      </c>
      <c r="X24" s="40" t="s">
        <v>60</v>
      </c>
      <c r="Y24" s="40" t="s">
        <v>141</v>
      </c>
      <c r="Z24" s="40"/>
      <c r="AA24" s="40" t="s">
        <v>65</v>
      </c>
      <c r="AB24" s="12" t="s">
        <v>88</v>
      </c>
      <c r="AC24" s="11" t="s">
        <v>45</v>
      </c>
      <c r="AD24" s="11" t="s">
        <v>23</v>
      </c>
      <c r="AE24" s="11" t="s">
        <v>50</v>
      </c>
      <c r="AF24" s="11" t="s">
        <v>50</v>
      </c>
      <c r="AG24" s="13" t="s">
        <v>60</v>
      </c>
      <c r="AH24" s="13" t="s">
        <v>62</v>
      </c>
      <c r="AI24" s="13" t="s">
        <v>45</v>
      </c>
      <c r="AJ24" s="13" t="s">
        <v>45</v>
      </c>
      <c r="AK24" s="13" t="s">
        <v>45</v>
      </c>
      <c r="AL24" s="133" t="s">
        <v>1728</v>
      </c>
      <c r="AM24" s="134"/>
      <c r="AN24" s="134"/>
      <c r="AO24" s="134"/>
      <c r="AP24" s="135"/>
    </row>
    <row r="25" spans="1:42" s="10" customFormat="1" ht="41.25" customHeight="1" x14ac:dyDescent="0.4">
      <c r="A25" s="6">
        <v>9</v>
      </c>
      <c r="B25" s="6">
        <v>105</v>
      </c>
      <c r="C25" s="6" t="s">
        <v>80</v>
      </c>
      <c r="D25" s="18" t="s">
        <v>1489</v>
      </c>
      <c r="E25" s="34" t="s">
        <v>18</v>
      </c>
      <c r="F25" s="18" t="s">
        <v>1490</v>
      </c>
      <c r="G25" s="6" t="s">
        <v>43</v>
      </c>
      <c r="H25" s="6" t="s">
        <v>52</v>
      </c>
      <c r="I25" s="6" t="s">
        <v>84</v>
      </c>
      <c r="J25" s="6" t="s">
        <v>46</v>
      </c>
      <c r="K25" s="6" t="s">
        <v>60</v>
      </c>
      <c r="L25" s="6" t="s">
        <v>92</v>
      </c>
      <c r="M25" s="6" t="s">
        <v>23</v>
      </c>
      <c r="N25" s="6" t="s">
        <v>45</v>
      </c>
      <c r="O25" s="6" t="s">
        <v>45</v>
      </c>
      <c r="P25" s="6" t="s">
        <v>84</v>
      </c>
      <c r="Q25" s="6" t="s">
        <v>86</v>
      </c>
      <c r="R25" s="6">
        <v>600</v>
      </c>
      <c r="S25" s="50" t="s">
        <v>39</v>
      </c>
      <c r="T25" s="6">
        <v>800</v>
      </c>
      <c r="U25" s="6" t="s">
        <v>45</v>
      </c>
      <c r="V25" s="6" t="s">
        <v>84</v>
      </c>
      <c r="W25" s="6" t="s">
        <v>86</v>
      </c>
      <c r="X25" s="50" t="s">
        <v>60</v>
      </c>
      <c r="Y25" s="50" t="s">
        <v>344</v>
      </c>
      <c r="Z25" s="63" t="s">
        <v>1491</v>
      </c>
      <c r="AA25" s="50" t="s">
        <v>65</v>
      </c>
      <c r="AB25" s="62" t="s">
        <v>88</v>
      </c>
      <c r="AC25" s="6" t="s">
        <v>45</v>
      </c>
      <c r="AD25" s="6" t="s">
        <v>23</v>
      </c>
      <c r="AE25" s="6" t="s">
        <v>50</v>
      </c>
      <c r="AF25" s="6" t="s">
        <v>50</v>
      </c>
      <c r="AG25" s="18" t="s">
        <v>60</v>
      </c>
      <c r="AH25" s="18" t="s">
        <v>96</v>
      </c>
      <c r="AI25" s="18" t="s">
        <v>45</v>
      </c>
      <c r="AJ25" s="18" t="s">
        <v>45</v>
      </c>
      <c r="AK25" s="18" t="s">
        <v>45</v>
      </c>
      <c r="AL25" s="106" t="s">
        <v>1492</v>
      </c>
      <c r="AM25" s="107"/>
      <c r="AN25" s="107"/>
      <c r="AO25" s="107"/>
      <c r="AP25" s="108"/>
    </row>
    <row r="26" spans="1:42" s="14" customFormat="1" ht="32.25" customHeight="1" x14ac:dyDescent="0.4">
      <c r="A26" s="11">
        <v>9</v>
      </c>
      <c r="B26" s="11">
        <v>205</v>
      </c>
      <c r="C26" s="11" t="s">
        <v>80</v>
      </c>
      <c r="D26" s="13" t="s">
        <v>1442</v>
      </c>
      <c r="E26" s="33" t="s">
        <v>18</v>
      </c>
      <c r="F26" s="11" t="s">
        <v>1443</v>
      </c>
      <c r="G26" s="11" t="s">
        <v>43</v>
      </c>
      <c r="H26" s="11" t="s">
        <v>52</v>
      </c>
      <c r="I26" s="11" t="s">
        <v>84</v>
      </c>
      <c r="J26" s="11" t="s">
        <v>85</v>
      </c>
      <c r="K26" s="11" t="s">
        <v>60</v>
      </c>
      <c r="L26" s="11" t="s">
        <v>92</v>
      </c>
      <c r="M26" s="11" t="s">
        <v>45</v>
      </c>
      <c r="N26" s="11" t="s">
        <v>45</v>
      </c>
      <c r="O26" s="11" t="s">
        <v>23</v>
      </c>
      <c r="P26" s="11" t="s">
        <v>84</v>
      </c>
      <c r="Q26" s="11" t="s">
        <v>86</v>
      </c>
      <c r="R26" s="11">
        <v>750</v>
      </c>
      <c r="S26" s="40" t="s">
        <v>39</v>
      </c>
      <c r="T26" s="11">
        <v>900</v>
      </c>
      <c r="U26" s="11" t="s">
        <v>45</v>
      </c>
      <c r="V26" s="11" t="s">
        <v>84</v>
      </c>
      <c r="W26" s="11" t="s">
        <v>86</v>
      </c>
      <c r="X26" s="40" t="s">
        <v>60</v>
      </c>
      <c r="Y26" s="40" t="s">
        <v>141</v>
      </c>
      <c r="Z26" s="40"/>
      <c r="AA26" s="40" t="s">
        <v>65</v>
      </c>
      <c r="AB26" s="12" t="s">
        <v>88</v>
      </c>
      <c r="AC26" s="11" t="s">
        <v>45</v>
      </c>
      <c r="AD26" s="11" t="s">
        <v>45</v>
      </c>
      <c r="AE26" s="11" t="s">
        <v>116</v>
      </c>
      <c r="AF26" s="11" t="s">
        <v>50</v>
      </c>
      <c r="AG26" s="13" t="s">
        <v>60</v>
      </c>
      <c r="AH26" s="13" t="s">
        <v>62</v>
      </c>
      <c r="AI26" s="13" t="s">
        <v>45</v>
      </c>
      <c r="AJ26" s="13" t="s">
        <v>45</v>
      </c>
      <c r="AK26" s="13" t="s">
        <v>45</v>
      </c>
      <c r="AL26" s="133" t="s">
        <v>2745</v>
      </c>
      <c r="AM26" s="134"/>
      <c r="AN26" s="134"/>
      <c r="AO26" s="134"/>
      <c r="AP26" s="135"/>
    </row>
    <row r="27" spans="1:42" s="10" customFormat="1" ht="49.5" customHeight="1" x14ac:dyDescent="0.4">
      <c r="A27" s="6">
        <v>9</v>
      </c>
      <c r="B27" s="6">
        <v>305</v>
      </c>
      <c r="C27" s="6" t="s">
        <v>80</v>
      </c>
      <c r="D27" s="18" t="s">
        <v>1444</v>
      </c>
      <c r="E27" s="34" t="s">
        <v>18</v>
      </c>
      <c r="F27" s="6" t="s">
        <v>1445</v>
      </c>
      <c r="G27" s="6" t="s">
        <v>43</v>
      </c>
      <c r="H27" s="6" t="s">
        <v>52</v>
      </c>
      <c r="I27" s="6" t="s">
        <v>84</v>
      </c>
      <c r="J27" s="6" t="s">
        <v>85</v>
      </c>
      <c r="K27" s="6" t="s">
        <v>60</v>
      </c>
      <c r="L27" s="6" t="s">
        <v>92</v>
      </c>
      <c r="M27" s="6" t="s">
        <v>45</v>
      </c>
      <c r="N27" s="6" t="s">
        <v>23</v>
      </c>
      <c r="O27" s="6" t="s">
        <v>23</v>
      </c>
      <c r="P27" s="6" t="s">
        <v>84</v>
      </c>
      <c r="Q27" s="6" t="s">
        <v>86</v>
      </c>
      <c r="R27" s="6">
        <v>750</v>
      </c>
      <c r="S27" s="6" t="s">
        <v>39</v>
      </c>
      <c r="T27" s="6">
        <v>900</v>
      </c>
      <c r="U27" s="6" t="s">
        <v>45</v>
      </c>
      <c r="V27" s="6" t="s">
        <v>84</v>
      </c>
      <c r="W27" s="6" t="s">
        <v>86</v>
      </c>
      <c r="X27" s="6" t="s">
        <v>60</v>
      </c>
      <c r="Y27" s="6" t="s">
        <v>141</v>
      </c>
      <c r="Z27" s="6"/>
      <c r="AA27" s="6" t="s">
        <v>65</v>
      </c>
      <c r="AB27" s="15" t="s">
        <v>88</v>
      </c>
      <c r="AC27" s="16" t="s">
        <v>23</v>
      </c>
      <c r="AD27" s="16" t="s">
        <v>23</v>
      </c>
      <c r="AE27" s="16" t="s">
        <v>50</v>
      </c>
      <c r="AF27" s="16" t="s">
        <v>50</v>
      </c>
      <c r="AG27" s="17" t="s">
        <v>60</v>
      </c>
      <c r="AH27" s="17" t="s">
        <v>62</v>
      </c>
      <c r="AI27" s="17" t="s">
        <v>45</v>
      </c>
      <c r="AJ27" s="17" t="s">
        <v>45</v>
      </c>
      <c r="AK27" s="17" t="s">
        <v>23</v>
      </c>
      <c r="AL27" s="106" t="s">
        <v>1446</v>
      </c>
      <c r="AM27" s="107"/>
      <c r="AN27" s="107"/>
      <c r="AO27" s="107"/>
      <c r="AP27" s="108"/>
    </row>
    <row r="28" spans="1:42" s="14" customFormat="1" ht="15" customHeight="1" x14ac:dyDescent="0.4">
      <c r="A28" s="11">
        <v>9</v>
      </c>
      <c r="B28" s="11">
        <v>405</v>
      </c>
      <c r="C28" s="11" t="s">
        <v>80</v>
      </c>
      <c r="D28" s="13" t="s">
        <v>1447</v>
      </c>
      <c r="E28" s="33" t="s">
        <v>18</v>
      </c>
      <c r="F28" s="11" t="s">
        <v>1448</v>
      </c>
      <c r="G28" s="11" t="s">
        <v>22</v>
      </c>
      <c r="H28" s="11" t="s">
        <v>52</v>
      </c>
      <c r="I28" s="11" t="s">
        <v>84</v>
      </c>
      <c r="J28" s="11" t="s">
        <v>85</v>
      </c>
      <c r="K28" s="11" t="s">
        <v>60</v>
      </c>
      <c r="L28" s="11" t="s">
        <v>92</v>
      </c>
      <c r="M28" s="11" t="s">
        <v>45</v>
      </c>
      <c r="N28" s="11" t="s">
        <v>45</v>
      </c>
      <c r="O28" s="11" t="s">
        <v>45</v>
      </c>
      <c r="P28" s="11" t="s">
        <v>84</v>
      </c>
      <c r="Q28" s="11" t="s">
        <v>86</v>
      </c>
      <c r="R28" s="11">
        <v>750</v>
      </c>
      <c r="S28" s="40" t="s">
        <v>39</v>
      </c>
      <c r="T28" s="11">
        <v>900</v>
      </c>
      <c r="U28" s="11" t="s">
        <v>45</v>
      </c>
      <c r="V28" s="11" t="s">
        <v>84</v>
      </c>
      <c r="W28" s="11" t="s">
        <v>86</v>
      </c>
      <c r="X28" s="40" t="s">
        <v>19</v>
      </c>
      <c r="Y28" s="40"/>
      <c r="Z28" s="40"/>
      <c r="AA28" s="40" t="s">
        <v>65</v>
      </c>
      <c r="AB28" s="12" t="s">
        <v>19</v>
      </c>
      <c r="AC28" s="11" t="s">
        <v>45</v>
      </c>
      <c r="AD28" s="11" t="s">
        <v>45</v>
      </c>
      <c r="AE28" s="11" t="s">
        <v>116</v>
      </c>
      <c r="AF28" s="11" t="s">
        <v>50</v>
      </c>
      <c r="AG28" s="13" t="s">
        <v>60</v>
      </c>
      <c r="AH28" s="13" t="s">
        <v>62</v>
      </c>
      <c r="AI28" s="13" t="s">
        <v>45</v>
      </c>
      <c r="AJ28" s="13" t="s">
        <v>45</v>
      </c>
      <c r="AK28" s="13" t="s">
        <v>23</v>
      </c>
      <c r="AL28" s="94" t="s">
        <v>1449</v>
      </c>
      <c r="AM28" s="95"/>
      <c r="AN28" s="95"/>
      <c r="AO28" s="95"/>
      <c r="AP28" s="96"/>
    </row>
    <row r="29" spans="1:42" s="10" customFormat="1" ht="40.5" customHeight="1" x14ac:dyDescent="0.4">
      <c r="A29" s="6">
        <v>9</v>
      </c>
      <c r="B29" s="6">
        <v>505</v>
      </c>
      <c r="C29" s="6" t="s">
        <v>80</v>
      </c>
      <c r="D29" s="18" t="s">
        <v>1450</v>
      </c>
      <c r="E29" s="34" t="s">
        <v>18</v>
      </c>
      <c r="F29" s="46" t="s">
        <v>1451</v>
      </c>
      <c r="G29" s="6" t="s">
        <v>43</v>
      </c>
      <c r="H29" s="6" t="s">
        <v>52</v>
      </c>
      <c r="I29" s="6" t="s">
        <v>84</v>
      </c>
      <c r="J29" s="6" t="s">
        <v>85</v>
      </c>
      <c r="K29" s="6" t="s">
        <v>60</v>
      </c>
      <c r="L29" s="6" t="s">
        <v>92</v>
      </c>
      <c r="M29" s="6" t="s">
        <v>45</v>
      </c>
      <c r="N29" s="6" t="s">
        <v>45</v>
      </c>
      <c r="O29" s="6" t="s">
        <v>23</v>
      </c>
      <c r="P29" s="6" t="s">
        <v>84</v>
      </c>
      <c r="Q29" s="6" t="s">
        <v>86</v>
      </c>
      <c r="R29" s="6">
        <v>750</v>
      </c>
      <c r="S29" s="6" t="s">
        <v>39</v>
      </c>
      <c r="T29" s="6">
        <v>900</v>
      </c>
      <c r="U29" s="6" t="s">
        <v>45</v>
      </c>
      <c r="V29" s="6" t="s">
        <v>84</v>
      </c>
      <c r="W29" s="6" t="s">
        <v>86</v>
      </c>
      <c r="X29" s="6" t="s">
        <v>60</v>
      </c>
      <c r="Y29" s="6" t="s">
        <v>141</v>
      </c>
      <c r="Z29" s="6"/>
      <c r="AA29" s="6" t="s">
        <v>65</v>
      </c>
      <c r="AB29" s="15" t="s">
        <v>88</v>
      </c>
      <c r="AC29" s="16" t="s">
        <v>45</v>
      </c>
      <c r="AD29" s="16" t="s">
        <v>23</v>
      </c>
      <c r="AE29" s="16" t="s">
        <v>50</v>
      </c>
      <c r="AF29" s="16" t="s">
        <v>50</v>
      </c>
      <c r="AG29" s="17" t="s">
        <v>60</v>
      </c>
      <c r="AH29" s="17" t="s">
        <v>62</v>
      </c>
      <c r="AI29" s="17" t="s">
        <v>45</v>
      </c>
      <c r="AJ29" s="17" t="s">
        <v>45</v>
      </c>
      <c r="AK29" s="17" t="s">
        <v>45</v>
      </c>
      <c r="AL29" s="106" t="s">
        <v>1452</v>
      </c>
      <c r="AM29" s="107"/>
      <c r="AN29" s="107"/>
      <c r="AO29" s="107"/>
      <c r="AP29" s="108"/>
    </row>
    <row r="30" spans="1:42" s="14" customFormat="1" ht="66" customHeight="1" x14ac:dyDescent="0.4">
      <c r="A30" s="11">
        <v>9</v>
      </c>
      <c r="B30" s="11">
        <v>106</v>
      </c>
      <c r="C30" s="11" t="s">
        <v>80</v>
      </c>
      <c r="D30" s="13" t="s">
        <v>2738</v>
      </c>
      <c r="E30" s="33" t="s">
        <v>18</v>
      </c>
      <c r="F30" s="11" t="s">
        <v>1453</v>
      </c>
      <c r="G30" s="11" t="s">
        <v>43</v>
      </c>
      <c r="H30" s="11" t="s">
        <v>52</v>
      </c>
      <c r="I30" s="11" t="s">
        <v>84</v>
      </c>
      <c r="J30" s="11" t="s">
        <v>85</v>
      </c>
      <c r="K30" s="11" t="s">
        <v>60</v>
      </c>
      <c r="L30" s="11" t="s">
        <v>92</v>
      </c>
      <c r="M30" s="11" t="s">
        <v>45</v>
      </c>
      <c r="N30" s="11" t="s">
        <v>45</v>
      </c>
      <c r="O30" s="11" t="s">
        <v>45</v>
      </c>
      <c r="P30" s="11" t="s">
        <v>84</v>
      </c>
      <c r="Q30" s="11" t="s">
        <v>86</v>
      </c>
      <c r="R30" s="11">
        <v>750</v>
      </c>
      <c r="S30" s="40" t="s">
        <v>39</v>
      </c>
      <c r="T30" s="11">
        <v>900</v>
      </c>
      <c r="U30" s="11" t="s">
        <v>45</v>
      </c>
      <c r="V30" s="11" t="s">
        <v>84</v>
      </c>
      <c r="W30" s="11" t="s">
        <v>86</v>
      </c>
      <c r="X30" s="40" t="s">
        <v>60</v>
      </c>
      <c r="Y30" s="40" t="s">
        <v>87</v>
      </c>
      <c r="Z30" s="40" t="s">
        <v>1454</v>
      </c>
      <c r="AA30" s="40" t="s">
        <v>65</v>
      </c>
      <c r="AB30" s="12" t="s">
        <v>19</v>
      </c>
      <c r="AC30" s="11" t="s">
        <v>45</v>
      </c>
      <c r="AD30" s="11" t="s">
        <v>45</v>
      </c>
      <c r="AE30" s="11" t="s">
        <v>116</v>
      </c>
      <c r="AF30" s="11" t="s">
        <v>50</v>
      </c>
      <c r="AG30" s="13" t="s">
        <v>60</v>
      </c>
      <c r="AH30" s="13" t="s">
        <v>62</v>
      </c>
      <c r="AI30" s="13" t="s">
        <v>45</v>
      </c>
      <c r="AJ30" s="13" t="s">
        <v>45</v>
      </c>
      <c r="AK30" s="13" t="s">
        <v>23</v>
      </c>
      <c r="AL30" s="133" t="s">
        <v>2746</v>
      </c>
      <c r="AM30" s="134"/>
      <c r="AN30" s="134"/>
      <c r="AO30" s="134"/>
      <c r="AP30" s="135"/>
    </row>
    <row r="31" spans="1:42" s="10" customFormat="1" ht="54" customHeight="1" x14ac:dyDescent="0.4">
      <c r="A31" s="6">
        <v>9</v>
      </c>
      <c r="B31" s="6">
        <v>206</v>
      </c>
      <c r="C31" s="6" t="s">
        <v>80</v>
      </c>
      <c r="D31" s="18" t="s">
        <v>1830</v>
      </c>
      <c r="E31" s="34" t="s">
        <v>18</v>
      </c>
      <c r="F31" s="46" t="s">
        <v>1831</v>
      </c>
      <c r="G31" s="6" t="s">
        <v>43</v>
      </c>
      <c r="H31" s="6" t="s">
        <v>52</v>
      </c>
      <c r="I31" s="6" t="s">
        <v>84</v>
      </c>
      <c r="J31" s="6" t="s">
        <v>85</v>
      </c>
      <c r="K31" s="6" t="s">
        <v>60</v>
      </c>
      <c r="L31" s="6" t="s">
        <v>92</v>
      </c>
      <c r="M31" s="6" t="s">
        <v>45</v>
      </c>
      <c r="N31" s="6" t="s">
        <v>45</v>
      </c>
      <c r="O31" s="6" t="s">
        <v>23</v>
      </c>
      <c r="P31" s="6" t="s">
        <v>84</v>
      </c>
      <c r="Q31" s="6" t="s">
        <v>86</v>
      </c>
      <c r="R31" s="6">
        <v>750</v>
      </c>
      <c r="S31" s="50" t="s">
        <v>39</v>
      </c>
      <c r="T31" s="6">
        <v>900</v>
      </c>
      <c r="U31" s="6" t="s">
        <v>45</v>
      </c>
      <c r="V31" s="6" t="s">
        <v>84</v>
      </c>
      <c r="W31" s="6" t="s">
        <v>86</v>
      </c>
      <c r="X31" s="50" t="s">
        <v>60</v>
      </c>
      <c r="Y31" s="50" t="s">
        <v>87</v>
      </c>
      <c r="Z31" s="50" t="s">
        <v>1832</v>
      </c>
      <c r="AA31" s="50" t="s">
        <v>65</v>
      </c>
      <c r="AB31" s="62" t="s">
        <v>88</v>
      </c>
      <c r="AC31" s="6" t="s">
        <v>23</v>
      </c>
      <c r="AD31" s="6" t="s">
        <v>23</v>
      </c>
      <c r="AE31" s="6" t="s">
        <v>50</v>
      </c>
      <c r="AF31" s="6" t="s">
        <v>50</v>
      </c>
      <c r="AG31" s="18" t="s">
        <v>60</v>
      </c>
      <c r="AH31" s="18" t="s">
        <v>62</v>
      </c>
      <c r="AI31" s="18" t="s">
        <v>45</v>
      </c>
      <c r="AJ31" s="18" t="s">
        <v>45</v>
      </c>
      <c r="AK31" s="18" t="s">
        <v>23</v>
      </c>
      <c r="AL31" s="106" t="s">
        <v>1833</v>
      </c>
      <c r="AM31" s="107"/>
      <c r="AN31" s="107"/>
      <c r="AO31" s="107"/>
      <c r="AP31" s="108"/>
    </row>
    <row r="32" spans="1:42" s="14" customFormat="1" ht="60.75" customHeight="1" x14ac:dyDescent="0.4">
      <c r="A32" s="11">
        <v>9</v>
      </c>
      <c r="B32" s="11">
        <v>306</v>
      </c>
      <c r="C32" s="11" t="s">
        <v>80</v>
      </c>
      <c r="D32" s="13" t="s">
        <v>1455</v>
      </c>
      <c r="E32" s="33" t="s">
        <v>18</v>
      </c>
      <c r="F32" s="11" t="s">
        <v>1456</v>
      </c>
      <c r="G32" s="11" t="s">
        <v>43</v>
      </c>
      <c r="H32" s="11" t="s">
        <v>52</v>
      </c>
      <c r="I32" s="11" t="s">
        <v>84</v>
      </c>
      <c r="J32" s="11" t="s">
        <v>85</v>
      </c>
      <c r="K32" s="11" t="s">
        <v>60</v>
      </c>
      <c r="L32" s="11" t="s">
        <v>92</v>
      </c>
      <c r="M32" s="11" t="s">
        <v>45</v>
      </c>
      <c r="N32" s="11" t="s">
        <v>23</v>
      </c>
      <c r="O32" s="11" t="s">
        <v>45</v>
      </c>
      <c r="P32" s="11" t="s">
        <v>84</v>
      </c>
      <c r="Q32" s="11" t="s">
        <v>86</v>
      </c>
      <c r="R32" s="11">
        <v>740</v>
      </c>
      <c r="S32" s="40" t="s">
        <v>39</v>
      </c>
      <c r="T32" s="11">
        <v>640</v>
      </c>
      <c r="U32" s="11" t="s">
        <v>45</v>
      </c>
      <c r="V32" s="11" t="s">
        <v>84</v>
      </c>
      <c r="W32" s="11" t="s">
        <v>86</v>
      </c>
      <c r="X32" s="40" t="s">
        <v>60</v>
      </c>
      <c r="Y32" s="40" t="s">
        <v>141</v>
      </c>
      <c r="Z32" s="40"/>
      <c r="AA32" s="40" t="s">
        <v>65</v>
      </c>
      <c r="AB32" s="12" t="s">
        <v>88</v>
      </c>
      <c r="AC32" s="11" t="s">
        <v>45</v>
      </c>
      <c r="AD32" s="11" t="s">
        <v>45</v>
      </c>
      <c r="AE32" s="11" t="s">
        <v>878</v>
      </c>
      <c r="AF32" s="11" t="s">
        <v>878</v>
      </c>
      <c r="AG32" s="13" t="s">
        <v>60</v>
      </c>
      <c r="AH32" s="13" t="s">
        <v>96</v>
      </c>
      <c r="AI32" s="13" t="s">
        <v>45</v>
      </c>
      <c r="AJ32" s="13" t="s">
        <v>23</v>
      </c>
      <c r="AK32" s="13" t="s">
        <v>45</v>
      </c>
      <c r="AL32" s="133" t="s">
        <v>1457</v>
      </c>
      <c r="AM32" s="134"/>
      <c r="AN32" s="134"/>
      <c r="AO32" s="134"/>
      <c r="AP32" s="135"/>
    </row>
    <row r="33" spans="1:44" s="10" customFormat="1" ht="48" customHeight="1" x14ac:dyDescent="0.4">
      <c r="A33" s="6">
        <v>9</v>
      </c>
      <c r="B33" s="6">
        <v>406</v>
      </c>
      <c r="C33" s="6" t="s">
        <v>80</v>
      </c>
      <c r="D33" s="18" t="s">
        <v>1458</v>
      </c>
      <c r="E33" s="34" t="s">
        <v>18</v>
      </c>
      <c r="F33" s="6" t="s">
        <v>1459</v>
      </c>
      <c r="G33" s="6" t="s">
        <v>43</v>
      </c>
      <c r="H33" s="6" t="s">
        <v>52</v>
      </c>
      <c r="I33" s="6" t="s">
        <v>84</v>
      </c>
      <c r="J33" s="6" t="s">
        <v>85</v>
      </c>
      <c r="K33" s="6" t="s">
        <v>60</v>
      </c>
      <c r="L33" s="6" t="s">
        <v>24</v>
      </c>
      <c r="M33" s="6" t="s">
        <v>45</v>
      </c>
      <c r="N33" s="6" t="s">
        <v>45</v>
      </c>
      <c r="O33" s="6" t="s">
        <v>45</v>
      </c>
      <c r="P33" s="6" t="s">
        <v>84</v>
      </c>
      <c r="Q33" s="6" t="s">
        <v>86</v>
      </c>
      <c r="R33" s="6">
        <v>900</v>
      </c>
      <c r="S33" s="6" t="s">
        <v>39</v>
      </c>
      <c r="T33" s="6">
        <v>900</v>
      </c>
      <c r="U33" s="6" t="s">
        <v>45</v>
      </c>
      <c r="V33" s="6" t="s">
        <v>84</v>
      </c>
      <c r="W33" s="6" t="s">
        <v>86</v>
      </c>
      <c r="X33" s="6" t="s">
        <v>60</v>
      </c>
      <c r="Y33" s="6" t="s">
        <v>87</v>
      </c>
      <c r="Z33" s="6" t="s">
        <v>1460</v>
      </c>
      <c r="AA33" s="6" t="s">
        <v>65</v>
      </c>
      <c r="AB33" s="15" t="s">
        <v>88</v>
      </c>
      <c r="AC33" s="16" t="s">
        <v>45</v>
      </c>
      <c r="AD33" s="16" t="s">
        <v>45</v>
      </c>
      <c r="AE33" s="16" t="s">
        <v>50</v>
      </c>
      <c r="AF33" s="16" t="s">
        <v>50</v>
      </c>
      <c r="AG33" s="17" t="s">
        <v>60</v>
      </c>
      <c r="AH33" s="17" t="s">
        <v>62</v>
      </c>
      <c r="AI33" s="17" t="s">
        <v>45</v>
      </c>
      <c r="AJ33" s="17" t="s">
        <v>23</v>
      </c>
      <c r="AK33" s="17" t="s">
        <v>45</v>
      </c>
      <c r="AL33" s="106" t="s">
        <v>1461</v>
      </c>
      <c r="AM33" s="107"/>
      <c r="AN33" s="107"/>
      <c r="AO33" s="107"/>
      <c r="AP33" s="108"/>
    </row>
    <row r="34" spans="1:44" s="14" customFormat="1" ht="44.25" customHeight="1" x14ac:dyDescent="0.4">
      <c r="A34" s="11">
        <v>9</v>
      </c>
      <c r="B34" s="11">
        <v>506</v>
      </c>
      <c r="C34" s="11" t="s">
        <v>80</v>
      </c>
      <c r="D34" s="13" t="s">
        <v>2059</v>
      </c>
      <c r="E34" s="33" t="s">
        <v>18</v>
      </c>
      <c r="F34" s="45" t="s">
        <v>2060</v>
      </c>
      <c r="G34" s="11" t="s">
        <v>43</v>
      </c>
      <c r="H34" s="11" t="s">
        <v>52</v>
      </c>
      <c r="I34" s="11" t="s">
        <v>84</v>
      </c>
      <c r="J34" s="11" t="s">
        <v>85</v>
      </c>
      <c r="K34" s="11" t="s">
        <v>60</v>
      </c>
      <c r="L34" s="11" t="s">
        <v>92</v>
      </c>
      <c r="M34" s="11" t="s">
        <v>45</v>
      </c>
      <c r="N34" s="11" t="s">
        <v>45</v>
      </c>
      <c r="O34" s="11" t="s">
        <v>45</v>
      </c>
      <c r="P34" s="11" t="s">
        <v>84</v>
      </c>
      <c r="Q34" s="11" t="s">
        <v>86</v>
      </c>
      <c r="R34" s="11">
        <v>750</v>
      </c>
      <c r="S34" s="40" t="s">
        <v>39</v>
      </c>
      <c r="T34" s="11">
        <v>900</v>
      </c>
      <c r="U34" s="11" t="s">
        <v>45</v>
      </c>
      <c r="V34" s="11" t="s">
        <v>84</v>
      </c>
      <c r="W34" s="11" t="s">
        <v>86</v>
      </c>
      <c r="X34" s="40" t="s">
        <v>60</v>
      </c>
      <c r="Y34" s="40" t="s">
        <v>87</v>
      </c>
      <c r="Z34" s="40" t="s">
        <v>2061</v>
      </c>
      <c r="AA34" s="40" t="s">
        <v>65</v>
      </c>
      <c r="AB34" s="12" t="s">
        <v>19</v>
      </c>
      <c r="AC34" s="11" t="s">
        <v>45</v>
      </c>
      <c r="AD34" s="11" t="s">
        <v>45</v>
      </c>
      <c r="AE34" s="11" t="s">
        <v>116</v>
      </c>
      <c r="AF34" s="11" t="s">
        <v>50</v>
      </c>
      <c r="AG34" s="13" t="s">
        <v>60</v>
      </c>
      <c r="AH34" s="13" t="s">
        <v>62</v>
      </c>
      <c r="AI34" s="13" t="s">
        <v>45</v>
      </c>
      <c r="AJ34" s="13" t="s">
        <v>45</v>
      </c>
      <c r="AK34" s="13" t="s">
        <v>45</v>
      </c>
      <c r="AL34" s="133" t="s">
        <v>2062</v>
      </c>
      <c r="AM34" s="134"/>
      <c r="AN34" s="134"/>
      <c r="AO34" s="134"/>
      <c r="AP34" s="135"/>
    </row>
    <row r="35" spans="1:44" s="2" customFormat="1" ht="11.25" customHeight="1" x14ac:dyDescent="0.4">
      <c r="A35" s="118" t="s">
        <v>12</v>
      </c>
      <c r="B35" s="119"/>
      <c r="C35" s="119"/>
      <c r="D35" s="119"/>
      <c r="E35" s="120"/>
      <c r="F35" s="127">
        <f>COUNTA(D5:D34)</f>
        <v>29</v>
      </c>
      <c r="G35" s="20" t="str">
        <f>"所有→"&amp;COUNTIF(G5:G34,"所有")&amp;"戸"</f>
        <v>所有→28戸</v>
      </c>
      <c r="H35" s="20" t="str">
        <f>"未更新→"&amp;COUNTIF(H5:H34,"未更新")&amp;"戸"</f>
        <v>未更新→28戸</v>
      </c>
      <c r="I35" s="20" t="str">
        <f>"クロス→"&amp;COUNTIF(I5:I34,"クロス")&amp;"戸"</f>
        <v>クロス→29戸</v>
      </c>
      <c r="J35" s="20" t="str">
        <f>"ベニヤ→"&amp;COUNTIF(J5:J34,"ベニヤ")&amp;"戸"</f>
        <v>ベニヤ→28戸</v>
      </c>
      <c r="K35" s="20" t="str">
        <f>"既存→"&amp;COUNTIF(K5:K34,"既存")&amp;"戸"</f>
        <v>既存→0戸</v>
      </c>
      <c r="L35" s="20" t="str">
        <f>"普通便座→"&amp;COUNTIF(L5:L34,"普通便座")&amp;"戸"</f>
        <v>普通便座→1戸</v>
      </c>
      <c r="M35" s="20" t="str">
        <f>"有→"&amp;COUNTIF(M5:M34,"有")&amp;"戸"</f>
        <v>有→2戸</v>
      </c>
      <c r="N35" s="20" t="str">
        <f>"有→"&amp;COUNTIF(N5:N34,"有")&amp;"戸"</f>
        <v>有→5戸</v>
      </c>
      <c r="O35" s="20" t="str">
        <f>"有→"&amp;COUNTIF(O5:O34,"有")&amp;"戸"</f>
        <v>有→14戸</v>
      </c>
      <c r="P35" s="20" t="str">
        <f>"クロス→"&amp;COUNTIF(P5:P34,"クロス")&amp;"戸"</f>
        <v>クロス→29戸</v>
      </c>
      <c r="Q35" s="20" t="str">
        <f>"CF→"&amp;COUNTIF(Q5:Q34,"CF")&amp;"戸"</f>
        <v>CF→28戸</v>
      </c>
      <c r="R35" s="20" t="str">
        <f>"1000→"&amp;COUNTIF(R5:R34,"1000")&amp;"戸"</f>
        <v>1000→0戸</v>
      </c>
      <c r="S35" s="20" t="str">
        <f>"可→"&amp;COUNTIF(S5:S34,"可")&amp;"戸"</f>
        <v>可→29戸</v>
      </c>
      <c r="T35" s="20" t="str">
        <f>"900→"&amp;COUNTIF(T5:T34,"900")&amp;"戸"</f>
        <v>900→25戸</v>
      </c>
      <c r="U35" s="20" t="str">
        <f>"有→"&amp;COUNTIF(U5:U34,"有")&amp;"戸"</f>
        <v>有→0戸</v>
      </c>
      <c r="V35" s="20" t="str">
        <f>"クロス→"&amp;COUNTIF(V5:V34,"クロス")&amp;"戸"</f>
        <v>クロス→29戸</v>
      </c>
      <c r="W35" s="20" t="str">
        <f>"CF→"&amp;COUNTIF(W5:W34,"CF")&amp;"戸"</f>
        <v>CF→28戸</v>
      </c>
      <c r="X35" s="20" t="str">
        <f>"既存→"&amp;COUNTIF(X5:X34,"既存")&amp;"戸"</f>
        <v>既存→1戸</v>
      </c>
      <c r="Y35" s="20" t="str">
        <f>"TOTO→"&amp;COUNTIF(Y5:Y34,"TOTO")&amp;"戸"</f>
        <v>TOTO→12戸</v>
      </c>
      <c r="Z35" s="130">
        <f>COUNTA(Z5:Z34)</f>
        <v>15</v>
      </c>
      <c r="AA35" s="20" t="str">
        <f>"可→"&amp;COUNTIF(AA5:AA34,"可")&amp;"戸"</f>
        <v>可→2戸</v>
      </c>
      <c r="AB35" s="20" t="str">
        <f>"既存→"&amp;COUNTIF(AB5:AB34,"既存")&amp;"戸"</f>
        <v>既存→5戸</v>
      </c>
      <c r="AC35" s="130">
        <f>COUNTIF(AC5:AC34,"有")</f>
        <v>3</v>
      </c>
      <c r="AD35" s="130">
        <f>COUNTIF(AD5:AD34,"有")</f>
        <v>17</v>
      </c>
      <c r="AE35" s="20" t="str">
        <f>"ポリ板→"&amp;COUNTIF(AE5:AE34,"ポリ板")&amp;"戸"</f>
        <v>ポリ板→17戸</v>
      </c>
      <c r="AF35" s="20" t="str">
        <f>"ポリ板→"&amp;COUNTIF(AF5:AF34,"ポリ板")&amp;"戸"</f>
        <v>ポリ板→25戸</v>
      </c>
      <c r="AG35" s="20" t="str">
        <f>"既存→"&amp;COUNTIF(AG5:AG34,"既存")&amp;"戸"</f>
        <v>既存→1戸</v>
      </c>
      <c r="AH35" s="20" t="str">
        <f>"洗面所→"&amp;COUNTIF(AH5:AH34,"洗面所")&amp;"戸"</f>
        <v>洗面所→27戸</v>
      </c>
      <c r="AI35" s="130">
        <f>COUNTIF(AI5:AI34,"有")</f>
        <v>0</v>
      </c>
      <c r="AJ35" s="130">
        <f>COUNTIF(AJ5:AJ34,"有")</f>
        <v>6</v>
      </c>
      <c r="AK35" s="130">
        <f>COUNTIF(AK5:AK34,"有")</f>
        <v>10</v>
      </c>
      <c r="AL35" s="109"/>
      <c r="AM35" s="110"/>
      <c r="AN35" s="110"/>
      <c r="AO35" s="110"/>
      <c r="AP35" s="111"/>
      <c r="AQ35" s="21"/>
      <c r="AR35" s="44"/>
    </row>
    <row r="36" spans="1:44" s="2" customFormat="1" ht="11.25" customHeight="1" x14ac:dyDescent="0.4">
      <c r="A36" s="121"/>
      <c r="B36" s="122"/>
      <c r="C36" s="122"/>
      <c r="D36" s="122"/>
      <c r="E36" s="123"/>
      <c r="F36" s="128"/>
      <c r="G36" s="35" t="str">
        <f>"賃貸→"&amp;COUNTIF(G5:G34,"賃貸")&amp;"戸"</f>
        <v>賃貸→1戸</v>
      </c>
      <c r="H36" s="35" t="str">
        <f>"更新済み→"&amp;COUNTIF(H5:H34,"更新済み")&amp;"戸"</f>
        <v>更新済み→1戸</v>
      </c>
      <c r="I36" s="35" t="str">
        <f>"珪藻土→"&amp;COUNTIF(I5:I34,"珪藻土")&amp;"戸"</f>
        <v>珪藻土→0戸</v>
      </c>
      <c r="J36" s="35" t="str">
        <f>"クロス→"&amp;COUNTIF(J5:J34,"クロス")&amp;"戸"</f>
        <v>クロス→0戸</v>
      </c>
      <c r="K36" s="35" t="str">
        <f>"タンクレス→"&amp;COUNTIF(K5:K34,"タンクレス")&amp;"戸"</f>
        <v>タンクレス→2戸</v>
      </c>
      <c r="L36" s="35" t="str">
        <f>"暖房便座→"&amp;COUNTIF(L5:L34,"暖房便座")&amp;"戸"</f>
        <v>暖房便座→0戸</v>
      </c>
      <c r="M36" s="35" t="str">
        <f>"無→"&amp;COUNTIF(M5:M34,"無")&amp;"戸"</f>
        <v>無→27戸</v>
      </c>
      <c r="N36" s="35" t="str">
        <f>"無→"&amp;COUNTIF(N5:N34,"無")&amp;"戸"</f>
        <v>無→24戸</v>
      </c>
      <c r="O36" s="35" t="str">
        <f>"無→"&amp;COUNTIF(O5:O34,"無")&amp;"戸"</f>
        <v>無→15戸</v>
      </c>
      <c r="P36" s="35" t="str">
        <f>"珪藻土→"&amp;COUNTIF(P5:P34,"珪藻土")&amp;"戸"</f>
        <v>珪藻土→0戸</v>
      </c>
      <c r="Q36" s="35" t="str">
        <f>"塩ビタイル→"&amp;COUNTIF(Q5:Q34,"塩ビタイル")&amp;"戸"</f>
        <v>塩ビタイル→0戸</v>
      </c>
      <c r="R36" s="35" t="str">
        <f>"900→"&amp;COUNTIF(R5:R34,"900")&amp;"戸"</f>
        <v>900→4戸</v>
      </c>
      <c r="S36" s="35" t="str">
        <f>"不可→"&amp;COUNTIF(S5:S34,"不可")&amp;"戸"</f>
        <v>不可→0戸</v>
      </c>
      <c r="T36" s="35" t="str">
        <f>"800→"&amp;COUNTIF(T5:T34,"800")&amp;"戸"</f>
        <v>800→1戸</v>
      </c>
      <c r="U36" s="35" t="str">
        <f>"無→"&amp;COUNTIF(U5:U34,"無")&amp;"戸"</f>
        <v>無→29戸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リフォーム済み→28戸</v>
      </c>
      <c r="Y36" s="35" t="str">
        <f>"LIXIL→"&amp;COUNTIF(Y5:Y34,"LIXIL")&amp;"戸"</f>
        <v>LIXIL→2戸</v>
      </c>
      <c r="Z36" s="131"/>
      <c r="AA36" s="35" t="str">
        <f>"不可→"&amp;COUNTIF(AA5:AA34,"不可")&amp;"戸"</f>
        <v>不可→27戸</v>
      </c>
      <c r="AB36" s="36" t="str">
        <f>"システム→"&amp;COUNTIF(AB5:AB34,"システム")&amp;"戸"</f>
        <v>システム→24戸</v>
      </c>
      <c r="AC36" s="131"/>
      <c r="AD36" s="131"/>
      <c r="AE36" s="35" t="str">
        <f>"SUS→"&amp;COUNTIF(AE5:AE34,"SUS")&amp;"戸"</f>
        <v>SUS→11戸</v>
      </c>
      <c r="AF36" s="35" t="str">
        <f>"SUS→"&amp;COUNTIF(AF5:AF34,"SUS")&amp;"戸"</f>
        <v>SUS→3戸</v>
      </c>
      <c r="AG36" s="35" t="str">
        <f>"リフォーム済み→"&amp;COUNTIF(AG5:AG34,"リフォーム済み")&amp;"戸"</f>
        <v>リフォーム済み→28戸</v>
      </c>
      <c r="AH36" s="35" t="str">
        <f>"ベランダ→"&amp;COUNTIF(AH5:AH34,"ベランダ")&amp;"戸"</f>
        <v>ベランダ→2戸</v>
      </c>
      <c r="AI36" s="131"/>
      <c r="AJ36" s="131"/>
      <c r="AK36" s="131"/>
      <c r="AL36" s="112"/>
      <c r="AM36" s="113"/>
      <c r="AN36" s="113"/>
      <c r="AO36" s="113"/>
      <c r="AP36" s="114"/>
      <c r="AQ36" s="25"/>
      <c r="AR36" s="44"/>
    </row>
    <row r="37" spans="1:44"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その他→1戸</v>
      </c>
      <c r="K37" s="35" t="str">
        <f>"レストパル→"&amp;COUNTIF(K5:K34,"レストパル")&amp;"戸"</f>
        <v>レストパル→1戸</v>
      </c>
      <c r="L37" s="35" t="str">
        <f>"WL→"&amp;COUNTIF(L5:L34,"WL")&amp;"戸"</f>
        <v>WL→28戸</v>
      </c>
      <c r="M37" s="23"/>
      <c r="N37" s="23"/>
      <c r="O37" s="23"/>
      <c r="P37" s="35" t="str">
        <f>"塗装→"&amp;COUNTIF(P5:P34,"塗装")&amp;"戸"</f>
        <v>塗装→0戸</v>
      </c>
      <c r="Q37" s="35" t="str">
        <f>"フローリング→"&amp;COUNTIF(Q5:Q34,"フローリング")&amp;"戸"</f>
        <v>フローリング→0戸</v>
      </c>
      <c r="R37" s="35" t="str">
        <f>"750→"&amp;COUNTIF(R5:R34,"750")&amp;"戸"</f>
        <v>750→18戸</v>
      </c>
      <c r="S37" s="35"/>
      <c r="T37" s="35" t="str">
        <f>"740→"&amp;COUNTIF(T5:T34,"740")&amp;"戸"</f>
        <v>740→0戸</v>
      </c>
      <c r="U37" s="22"/>
      <c r="V37" s="35" t="str">
        <f>"塗装→"&amp;COUNTIF(V5:V34,"塗装")&amp;"戸"</f>
        <v>塗装→0戸</v>
      </c>
      <c r="W37" s="35" t="str">
        <f>"フローリング→"&amp;COUNTIF(W5:W34,"フローリング")&amp;"戸"</f>
        <v>フローリング→0戸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ホーロー→1戸</v>
      </c>
      <c r="AF37" s="35" t="str">
        <f>"ホーロー→"&amp;COUNTIF(AF5:AF34,"ホーロー")&amp;"戸"</f>
        <v>ホーロー→1戸</v>
      </c>
      <c r="AG37" s="35"/>
      <c r="AH37" s="35"/>
      <c r="AI37" s="131"/>
      <c r="AJ37" s="131"/>
      <c r="AK37" s="131"/>
      <c r="AL37" s="112"/>
      <c r="AM37" s="113"/>
      <c r="AN37" s="113"/>
      <c r="AO37" s="113"/>
      <c r="AP37" s="114"/>
      <c r="AQ37" s="25"/>
      <c r="AR37" s="44"/>
    </row>
    <row r="38" spans="1:44" s="2" customFormat="1" ht="11.25" customHeight="1" x14ac:dyDescent="0.4">
      <c r="A38" s="124"/>
      <c r="B38" s="125"/>
      <c r="C38" s="125"/>
      <c r="D38" s="125"/>
      <c r="E38" s="126"/>
      <c r="F38" s="129"/>
      <c r="G38" s="35" t="str">
        <f>"空家→"&amp;COUNTIF(G5:G34,"空家")&amp;"戸"</f>
        <v>空家→0戸</v>
      </c>
      <c r="H38" s="39"/>
      <c r="I38" s="28"/>
      <c r="J38" s="27"/>
      <c r="K38" s="35" t="str">
        <f>"一体型→"&amp;COUNTIF(K5:K34,"一体型")&amp;"戸"</f>
        <v>一体型→0戸</v>
      </c>
      <c r="L38" s="28"/>
      <c r="M38" s="28"/>
      <c r="N38" s="28"/>
      <c r="O38" s="28"/>
      <c r="P38" s="28"/>
      <c r="Q38" s="28"/>
      <c r="R38" s="35" t="str">
        <f>"740→"&amp;COUNTIF(R5:R34,"740")&amp;"戸"</f>
        <v>740→3戸</v>
      </c>
      <c r="S38" s="27"/>
      <c r="T38" s="35" t="str">
        <f>"640→"&amp;COUNTIF(T5:T34,"640")&amp;"戸"</f>
        <v>640→2戸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30"/>
      <c r="AR38" s="44"/>
    </row>
    <row r="39" spans="1:44" s="2" customFormat="1" x14ac:dyDescent="0.4">
      <c r="A39" s="31"/>
      <c r="AH39" s="37"/>
      <c r="AI39" s="37"/>
      <c r="AP39" s="1"/>
    </row>
  </sheetData>
  <autoFilter ref="AI3:AK4" xr:uid="{A16551E3-6AEB-4B86-B2A5-C5393491E09B}"/>
  <mergeCells count="57">
    <mergeCell ref="AL22:AP22"/>
    <mergeCell ref="A35:E38"/>
    <mergeCell ref="F35:F38"/>
    <mergeCell ref="AL7:AP7"/>
    <mergeCell ref="AL18:AP18"/>
    <mergeCell ref="AL19:AP19"/>
    <mergeCell ref="AL20:AP20"/>
    <mergeCell ref="AL21:AP21"/>
    <mergeCell ref="Z35:Z38"/>
    <mergeCell ref="AC35:AC38"/>
    <mergeCell ref="AI35:AI38"/>
    <mergeCell ref="AJ35:AJ38"/>
    <mergeCell ref="AL9:AP9"/>
    <mergeCell ref="AL10:AP10"/>
    <mergeCell ref="AL11:AP11"/>
    <mergeCell ref="AL12:AP12"/>
    <mergeCell ref="A1:AO2"/>
    <mergeCell ref="A3:A4"/>
    <mergeCell ref="B3:B4"/>
    <mergeCell ref="C3:C4"/>
    <mergeCell ref="D3:E4"/>
    <mergeCell ref="F3:F4"/>
    <mergeCell ref="G3:G4"/>
    <mergeCell ref="H3:H4"/>
    <mergeCell ref="I3:J3"/>
    <mergeCell ref="K3:Q3"/>
    <mergeCell ref="R3:W3"/>
    <mergeCell ref="X3:AA3"/>
    <mergeCell ref="AB3:AF3"/>
    <mergeCell ref="AJ3:AJ4"/>
    <mergeCell ref="AI3:AI4"/>
    <mergeCell ref="AG3:AH3"/>
    <mergeCell ref="AK3:AK4"/>
    <mergeCell ref="AL3:AP4"/>
    <mergeCell ref="AL5:AP5"/>
    <mergeCell ref="AL6:AP6"/>
    <mergeCell ref="AL8:AP8"/>
    <mergeCell ref="AL13:AP13"/>
    <mergeCell ref="AL14:AP14"/>
    <mergeCell ref="AL15:AP15"/>
    <mergeCell ref="AL16:AP16"/>
    <mergeCell ref="AL17:AP17"/>
    <mergeCell ref="AL23:AP23"/>
    <mergeCell ref="AL24:AP24"/>
    <mergeCell ref="AL26:AP26"/>
    <mergeCell ref="AL27:AP27"/>
    <mergeCell ref="AL28:AP28"/>
    <mergeCell ref="AL25:AP25"/>
    <mergeCell ref="AD35:AD38"/>
    <mergeCell ref="AL34:AP34"/>
    <mergeCell ref="AK35:AK38"/>
    <mergeCell ref="AL35:AP38"/>
    <mergeCell ref="AL29:AP29"/>
    <mergeCell ref="AL30:AP30"/>
    <mergeCell ref="AL31:AP31"/>
    <mergeCell ref="AL32:AP32"/>
    <mergeCell ref="AL33:AP33"/>
  </mergeCells>
  <phoneticPr fontId="1"/>
  <dataValidations count="1">
    <dataValidation imeMode="off" allowBlank="1" showInputMessage="1" showErrorMessage="1" sqref="C1:C3 A39:C1048576 A1:A35 B1:B34 C5:C34" xr:uid="{62BD756C-E8D3-4CD2-AA54-1A1FF0BFF344}"/>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3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47CAEF13-CFA9-47E1-8CBF-70C0F5816664}">
          <x14:formula1>
            <xm:f>Sheet1!$G$6:$G$7</xm:f>
          </x14:formula1>
          <xm:sqref>AA12:AA14 S12:S14 AA16:AA19 S16:S19 AA21:AA25 S21:S25 AA34 S34 AA5:AA6 S5:S6 AA31 S31</xm:sqref>
        </x14:dataValidation>
        <x14:dataValidation type="list" allowBlank="1" showInputMessage="1" showErrorMessage="1" xr:uid="{B6AF5B46-3E15-4C8D-9DA6-E9F684383E10}">
          <x14:formula1>
            <xm:f>Sheet1!$I$1:$I$2</xm:f>
          </x14:formula1>
          <xm:sqref>X12:X14 X16:X19 X21:X25 X34 X5:X6 X31</xm:sqref>
        </x14:dataValidation>
        <x14:dataValidation type="list" allowBlank="1" showInputMessage="1" showErrorMessage="1" xr:uid="{13FD4033-BEA6-47BA-8C6B-9F2E63A07037}">
          <x14:formula1>
            <xm:f>Sheet1!$G$17:$G$18</xm:f>
          </x14:formula1>
          <xm:sqref>AH12:AH14 AH16:AH19 AH21:AH25 AH34 AH5:AH6 AH31</xm:sqref>
        </x14:dataValidation>
        <x14:dataValidation type="list" allowBlank="1" showInputMessage="1" showErrorMessage="1" xr:uid="{D3751BE8-BDE8-4981-A009-B8E9D9132938}">
          <x14:formula1>
            <xm:f>Sheet1!$E$17:$E$18</xm:f>
          </x14:formula1>
          <xm:sqref>AG12:AG14 AG16:AG19 AG21:AG25 AG34 AG5:AG6 AG31</xm:sqref>
        </x14:dataValidation>
        <x14:dataValidation type="list" allowBlank="1" showInputMessage="1" showErrorMessage="1" xr:uid="{FEF86C89-F0D4-4A35-B70F-2D04F0F5B107}">
          <x14:formula1>
            <xm:f>Sheet1!$G$1:$G$4</xm:f>
          </x14:formula1>
          <xm:sqref>AE12:AF14 AE5:AF6 AE21:AF25 AE34:AF34 AE31:AF31 AE16:AF19</xm:sqref>
        </x14:dataValidation>
        <x14:dataValidation type="list" allowBlank="1" showInputMessage="1" showErrorMessage="1" xr:uid="{67D29E77-218E-484B-904D-EEB454F73F7C}">
          <x14:formula1>
            <xm:f>Sheet1!$A$13:$A$15</xm:f>
          </x14:formula1>
          <xm:sqref>AB12:AB14 AB16:AB19 AB21:AB25 AB34 AB5:AB6 AB31</xm:sqref>
        </x14:dataValidation>
        <x14:dataValidation type="list" allowBlank="1" showInputMessage="1" showErrorMessage="1" xr:uid="{EB1F1AE8-855E-4A5A-BFA8-0A38EDB6989A}">
          <x14:formula1>
            <xm:f>Sheet1!$C$17:$C$20</xm:f>
          </x14:formula1>
          <xm:sqref>T12:T14 T31 T21:T25 T34 T5:T6 T16:T17 T19</xm:sqref>
        </x14:dataValidation>
        <x14:dataValidation type="list" allowBlank="1" showInputMessage="1" showErrorMessage="1" xr:uid="{13EAAE73-D10D-412C-AE85-F1627A1C4AEA}">
          <x14:formula1>
            <xm:f>Sheet1!$A$17:$A$20</xm:f>
          </x14:formula1>
          <xm:sqref>R31 R14 R19 R34 R5:R6 R12 R16 R22:R23 R25</xm:sqref>
        </x14:dataValidation>
        <x14:dataValidation type="list" allowBlank="1" showInputMessage="1" showErrorMessage="1" xr:uid="{493E007C-FA95-4AAE-B41D-9124763FF18D}">
          <x14:formula1>
            <xm:f>Sheet1!$C$6:$C$7</xm:f>
          </x14:formula1>
          <xm:sqref>M12:O14 AC16:AC19 AJ12:AK14 U12:U14 M16:O19 AC21:AC25 AJ16:AK19 U16:U19 M21:O25 AC34 AJ21:AK25 U21:U25 M34:O34 AC31 AJ34:AK34 U34 M5:O6 AC5:AD6 AJ5:AK6 U5:U6 M31:O31 U31 AJ31:AK31 AC12:AC14 AD7:AD34</xm:sqref>
        </x14:dataValidation>
        <x14:dataValidation type="list" allowBlank="1" showInputMessage="1" showErrorMessage="1" xr:uid="{4FD98479-CC5A-4BC7-92A4-1B5A5B5830E7}">
          <x14:formula1>
            <xm:f>Sheet1!$E$9:$E$11</xm:f>
          </x14:formula1>
          <xm:sqref>L12:L14 L16:L19 L21:L25 L34 L5:L6 L31</xm:sqref>
        </x14:dataValidation>
        <x14:dataValidation type="list" allowBlank="1" showInputMessage="1" showErrorMessage="1" xr:uid="{4F4121D7-47F2-41D8-A33F-09EA5CD939C6}">
          <x14:formula1>
            <xm:f>Sheet1!$G$9:$G$12</xm:f>
          </x14:formula1>
          <xm:sqref>K12:K14 K16:K19 K21:K25 K34 K5:K6 K31</xm:sqref>
        </x14:dataValidation>
        <x14:dataValidation type="list" allowBlank="1" showInputMessage="1" showErrorMessage="1" xr:uid="{44B5F5F9-DAF2-41C5-B804-1A35533850CD}">
          <x14:formula1>
            <xm:f>Sheet1!$D$1:$D$3</xm:f>
          </x14:formula1>
          <xm:sqref>J12:J14 J16:J19 J21:J25 J34 J5:J6 J31</xm:sqref>
        </x14:dataValidation>
        <x14:dataValidation type="list" allowBlank="1" showInputMessage="1" showErrorMessage="1" xr:uid="{A478C1A4-68ED-485D-90D2-BCBDCBF60F3A}">
          <x14:formula1>
            <xm:f>Sheet1!$A$9:$A$11</xm:f>
          </x14:formula1>
          <xm:sqref>P12:P14 I12:I14 V12:V14 P16:P19 I16:I19 V16:V19 P21:P25 I21:I25 V21:V25 P34 I34 V34 P5:P6 I5:I6 V5:V6 P31 I31 V31</xm:sqref>
        </x14:dataValidation>
        <x14:dataValidation type="list" allowBlank="1" showInputMessage="1" showErrorMessage="1" xr:uid="{A740E7B3-80EA-45F9-932D-64FC927A4EB2}">
          <x14:formula1>
            <xm:f>Sheet1!$A$6:$A$7</xm:f>
          </x14:formula1>
          <xm:sqref>H12:H14 H16:H19 H21:H25 H34 H5:H6 H31</xm:sqref>
        </x14:dataValidation>
        <x14:dataValidation type="list" allowBlank="1" showInputMessage="1" showErrorMessage="1" xr:uid="{33642E04-45B3-4A77-A48C-BE7FF4728ECC}">
          <x14:formula1>
            <xm:f>Sheet1!$A$1:$A$4</xm:f>
          </x14:formula1>
          <xm:sqref>G12:G14 G16:G19 G21:G25 G34 G5:G6 G31</xm:sqref>
        </x14:dataValidation>
        <x14:dataValidation type="list" allowBlank="1" showInputMessage="1" showErrorMessage="1" xr:uid="{6E35A893-930A-4A83-9D2C-1853821F1932}">
          <x14:formula1>
            <xm:f>Sheet1!$C$9:$C$11</xm:f>
          </x14:formula1>
          <xm:sqref>W12:W14 Q12:Q14 Q31 W17:W19 W21:W25 Q21:Q25 W34 Q34 W5:W6 Q5:Q6 W31 Q17:Q19</xm:sqref>
        </x14:dataValidation>
        <x14:dataValidation type="list" allowBlank="1" showInputMessage="1" showErrorMessage="1" xr:uid="{2770E69E-FDE8-4876-95A4-070A2026C595}">
          <x14:formula1>
            <xm:f>Sheet1!$C$6:$C$8</xm:f>
          </x14:formula1>
          <xm:sqref>AI12:AI19 AI21:AI25 AI34 AI5:AI6 AI31</xm:sqref>
        </x14:dataValidation>
        <x14:dataValidation type="list" allowBlank="1" showInputMessage="1" showErrorMessage="1" xr:uid="{1608B7F6-B098-4B13-872D-4977642F86E1}">
          <x14:formula1>
            <xm:f>Sheet1!$I$9:$I$13</xm:f>
          </x14:formula1>
          <xm:sqref>Y31 Y16:Y19 Y21:Y25 Y34 Y5:Y6 Y12:Y13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04C19-5DD2-4E85-94E4-52E1BD38E6D6}">
  <sheetPr codeName="Sheet10">
    <tabColor theme="4" tint="0.39997558519241921"/>
  </sheetPr>
  <dimension ref="A1:AT29"/>
  <sheetViews>
    <sheetView view="pageBreakPreview" zoomScaleNormal="40" zoomScaleSheetLayoutView="70" workbookViewId="0">
      <pane xSplit="5" ySplit="4" topLeftCell="AI17" activePane="bottomRight" state="frozen"/>
      <selection activeCell="N11" sqref="N11"/>
      <selection pane="topRight" activeCell="N11" sqref="N11"/>
      <selection pane="bottomLeft" activeCell="N11" sqref="N11"/>
      <selection pane="bottomRight" activeCell="C8" sqref="C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6.2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6" s="10" customFormat="1" ht="31.5" customHeight="1" x14ac:dyDescent="0.4">
      <c r="A5" s="6">
        <v>10</v>
      </c>
      <c r="B5" s="6">
        <v>101</v>
      </c>
      <c r="C5" s="6" t="s">
        <v>80</v>
      </c>
      <c r="D5" s="18" t="s">
        <v>1985</v>
      </c>
      <c r="E5" s="32" t="s">
        <v>18</v>
      </c>
      <c r="F5" s="46" t="s">
        <v>1986</v>
      </c>
      <c r="G5" s="6" t="s">
        <v>43</v>
      </c>
      <c r="H5" s="6" t="s">
        <v>52</v>
      </c>
      <c r="I5" s="6" t="s">
        <v>84</v>
      </c>
      <c r="J5" s="6" t="s">
        <v>85</v>
      </c>
      <c r="K5" s="6" t="s">
        <v>60</v>
      </c>
      <c r="L5" s="6" t="s">
        <v>92</v>
      </c>
      <c r="M5" s="6" t="s">
        <v>45</v>
      </c>
      <c r="N5" s="6" t="s">
        <v>45</v>
      </c>
      <c r="O5" s="6" t="s">
        <v>23</v>
      </c>
      <c r="P5" s="6" t="s">
        <v>1987</v>
      </c>
      <c r="Q5" s="6" t="s">
        <v>86</v>
      </c>
      <c r="R5" s="6">
        <v>750</v>
      </c>
      <c r="S5" s="16" t="s">
        <v>39</v>
      </c>
      <c r="T5" s="6">
        <v>900</v>
      </c>
      <c r="U5" s="6" t="s">
        <v>45</v>
      </c>
      <c r="V5" s="6" t="s">
        <v>84</v>
      </c>
      <c r="W5" s="6" t="s">
        <v>86</v>
      </c>
      <c r="X5" s="16" t="s">
        <v>60</v>
      </c>
      <c r="Y5" s="16" t="s">
        <v>87</v>
      </c>
      <c r="Z5" s="16" t="s">
        <v>1988</v>
      </c>
      <c r="AA5" s="16" t="s">
        <v>39</v>
      </c>
      <c r="AB5" s="7" t="s">
        <v>88</v>
      </c>
      <c r="AC5" s="8" t="s">
        <v>23</v>
      </c>
      <c r="AD5" s="8" t="s">
        <v>23</v>
      </c>
      <c r="AE5" s="8" t="s">
        <v>50</v>
      </c>
      <c r="AF5" s="16" t="s">
        <v>50</v>
      </c>
      <c r="AG5" s="17" t="s">
        <v>60</v>
      </c>
      <c r="AH5" s="17" t="s">
        <v>62</v>
      </c>
      <c r="AI5" s="17" t="s">
        <v>23</v>
      </c>
      <c r="AJ5" s="17" t="s">
        <v>45</v>
      </c>
      <c r="AK5" s="9" t="s">
        <v>23</v>
      </c>
      <c r="AL5" s="103" t="s">
        <v>1989</v>
      </c>
      <c r="AM5" s="104"/>
      <c r="AN5" s="104"/>
      <c r="AO5" s="104"/>
      <c r="AP5" s="105"/>
    </row>
    <row r="6" spans="1:46" s="14" customFormat="1" ht="15" customHeight="1" x14ac:dyDescent="0.4">
      <c r="A6" s="11">
        <v>10</v>
      </c>
      <c r="B6" s="11">
        <v>201</v>
      </c>
      <c r="C6" s="11" t="s">
        <v>80</v>
      </c>
      <c r="D6" s="13" t="s">
        <v>176</v>
      </c>
      <c r="E6" s="33" t="s">
        <v>18</v>
      </c>
      <c r="F6" s="11" t="s">
        <v>177</v>
      </c>
      <c r="G6" s="11" t="s">
        <v>43</v>
      </c>
      <c r="H6" s="11" t="s">
        <v>52</v>
      </c>
      <c r="I6" s="11" t="s">
        <v>84</v>
      </c>
      <c r="J6" s="11" t="s">
        <v>85</v>
      </c>
      <c r="K6" s="11" t="s">
        <v>60</v>
      </c>
      <c r="L6" s="11" t="s">
        <v>92</v>
      </c>
      <c r="M6" s="11" t="s">
        <v>45</v>
      </c>
      <c r="N6" s="11"/>
      <c r="O6" s="11"/>
      <c r="P6" s="11" t="s">
        <v>84</v>
      </c>
      <c r="Q6" s="11" t="s">
        <v>86</v>
      </c>
      <c r="R6" s="11">
        <v>740</v>
      </c>
      <c r="S6" s="40" t="s">
        <v>39</v>
      </c>
      <c r="T6" s="11">
        <v>900</v>
      </c>
      <c r="U6" s="11" t="s">
        <v>45</v>
      </c>
      <c r="V6" s="11" t="s">
        <v>84</v>
      </c>
      <c r="W6" s="11" t="s">
        <v>86</v>
      </c>
      <c r="X6" s="40" t="s">
        <v>60</v>
      </c>
      <c r="Y6" s="40" t="s">
        <v>87</v>
      </c>
      <c r="Z6" s="40" t="s">
        <v>629</v>
      </c>
      <c r="AA6" s="40" t="s">
        <v>39</v>
      </c>
      <c r="AB6" s="12" t="s">
        <v>88</v>
      </c>
      <c r="AC6" s="11" t="s">
        <v>23</v>
      </c>
      <c r="AD6" s="11" t="s">
        <v>23</v>
      </c>
      <c r="AE6" s="11" t="s">
        <v>50</v>
      </c>
      <c r="AF6" s="11" t="s">
        <v>50</v>
      </c>
      <c r="AG6" s="13" t="s">
        <v>60</v>
      </c>
      <c r="AH6" s="13" t="s">
        <v>62</v>
      </c>
      <c r="AI6" s="13" t="s">
        <v>45</v>
      </c>
      <c r="AJ6" s="13" t="s">
        <v>23</v>
      </c>
      <c r="AK6" s="13" t="s">
        <v>23</v>
      </c>
      <c r="AL6" s="94" t="s">
        <v>178</v>
      </c>
      <c r="AM6" s="95"/>
      <c r="AN6" s="95"/>
      <c r="AO6" s="95"/>
      <c r="AP6" s="96"/>
    </row>
    <row r="7" spans="1:46" s="10" customFormat="1" ht="38.25" customHeight="1" x14ac:dyDescent="0.4">
      <c r="A7" s="6">
        <v>10</v>
      </c>
      <c r="B7" s="6">
        <v>301</v>
      </c>
      <c r="C7" s="6" t="s">
        <v>80</v>
      </c>
      <c r="D7" s="18" t="s">
        <v>1977</v>
      </c>
      <c r="E7" s="34" t="s">
        <v>18</v>
      </c>
      <c r="F7" s="6" t="s">
        <v>1978</v>
      </c>
      <c r="G7" s="6" t="s">
        <v>43</v>
      </c>
      <c r="H7" s="6" t="s">
        <v>52</v>
      </c>
      <c r="I7" s="6" t="s">
        <v>84</v>
      </c>
      <c r="J7" s="6" t="s">
        <v>85</v>
      </c>
      <c r="K7" s="6" t="s">
        <v>60</v>
      </c>
      <c r="L7" s="6" t="s">
        <v>92</v>
      </c>
      <c r="M7" s="6" t="s">
        <v>23</v>
      </c>
      <c r="N7" s="6" t="s">
        <v>23</v>
      </c>
      <c r="O7" s="6" t="s">
        <v>45</v>
      </c>
      <c r="P7" s="6" t="s">
        <v>84</v>
      </c>
      <c r="Q7" s="6" t="s">
        <v>86</v>
      </c>
      <c r="R7" s="6">
        <v>900</v>
      </c>
      <c r="S7" s="6" t="s">
        <v>39</v>
      </c>
      <c r="T7" s="6">
        <v>900</v>
      </c>
      <c r="U7" s="6" t="s">
        <v>45</v>
      </c>
      <c r="V7" s="6" t="s">
        <v>84</v>
      </c>
      <c r="W7" s="6" t="s">
        <v>86</v>
      </c>
      <c r="X7" s="6" t="s">
        <v>60</v>
      </c>
      <c r="Y7" s="6" t="s">
        <v>87</v>
      </c>
      <c r="Z7" s="6" t="s">
        <v>1979</v>
      </c>
      <c r="AA7" s="6" t="s">
        <v>39</v>
      </c>
      <c r="AB7" s="15" t="s">
        <v>88</v>
      </c>
      <c r="AC7" s="16" t="s">
        <v>23</v>
      </c>
      <c r="AD7" s="16" t="s">
        <v>45</v>
      </c>
      <c r="AE7" s="16" t="s">
        <v>50</v>
      </c>
      <c r="AF7" s="16" t="s">
        <v>50</v>
      </c>
      <c r="AG7" s="17" t="s">
        <v>60</v>
      </c>
      <c r="AH7" s="17" t="s">
        <v>62</v>
      </c>
      <c r="AI7" s="17" t="s">
        <v>241</v>
      </c>
      <c r="AJ7" s="17" t="s">
        <v>45</v>
      </c>
      <c r="AK7" s="17" t="s">
        <v>45</v>
      </c>
      <c r="AL7" s="106" t="s">
        <v>1980</v>
      </c>
      <c r="AM7" s="107"/>
      <c r="AN7" s="107"/>
      <c r="AO7" s="107"/>
      <c r="AP7" s="108"/>
    </row>
    <row r="8" spans="1:46" s="14" customFormat="1" ht="49.5" customHeight="1" x14ac:dyDescent="0.4">
      <c r="A8" s="11">
        <v>10</v>
      </c>
      <c r="B8" s="11">
        <v>401</v>
      </c>
      <c r="C8" s="11" t="s">
        <v>80</v>
      </c>
      <c r="D8" s="13" t="s">
        <v>2073</v>
      </c>
      <c r="E8" s="33" t="s">
        <v>18</v>
      </c>
      <c r="F8" s="11" t="s">
        <v>2074</v>
      </c>
      <c r="G8" s="11" t="s">
        <v>43</v>
      </c>
      <c r="H8" s="11" t="s">
        <v>52</v>
      </c>
      <c r="I8" s="11" t="s">
        <v>84</v>
      </c>
      <c r="J8" s="11" t="s">
        <v>85</v>
      </c>
      <c r="K8" s="11" t="s">
        <v>19</v>
      </c>
      <c r="L8" s="11" t="s">
        <v>24</v>
      </c>
      <c r="M8" s="11" t="s">
        <v>45</v>
      </c>
      <c r="N8" s="11" t="s">
        <v>23</v>
      </c>
      <c r="O8" s="11" t="s">
        <v>45</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116</v>
      </c>
      <c r="AF8" s="11" t="s">
        <v>50</v>
      </c>
      <c r="AG8" s="13" t="s">
        <v>60</v>
      </c>
      <c r="AH8" s="13" t="s">
        <v>62</v>
      </c>
      <c r="AI8" s="13" t="s">
        <v>45</v>
      </c>
      <c r="AJ8" s="13" t="s">
        <v>45</v>
      </c>
      <c r="AK8" s="13" t="s">
        <v>45</v>
      </c>
      <c r="AL8" s="133" t="s">
        <v>2075</v>
      </c>
      <c r="AM8" s="134"/>
      <c r="AN8" s="134"/>
      <c r="AO8" s="134"/>
      <c r="AP8" s="135"/>
    </row>
    <row r="9" spans="1:46" s="10" customFormat="1" ht="49.5" customHeight="1" x14ac:dyDescent="0.4">
      <c r="A9" s="6">
        <v>10</v>
      </c>
      <c r="B9" s="6">
        <v>501</v>
      </c>
      <c r="C9" s="6" t="s">
        <v>80</v>
      </c>
      <c r="D9" s="18" t="s">
        <v>1981</v>
      </c>
      <c r="E9" s="34" t="s">
        <v>18</v>
      </c>
      <c r="F9" s="6" t="s">
        <v>1982</v>
      </c>
      <c r="G9" s="6" t="s">
        <v>22</v>
      </c>
      <c r="H9" s="6" t="s">
        <v>52</v>
      </c>
      <c r="I9" s="6" t="s">
        <v>84</v>
      </c>
      <c r="J9" s="6" t="s">
        <v>85</v>
      </c>
      <c r="K9" s="6" t="s">
        <v>60</v>
      </c>
      <c r="L9" s="6" t="s">
        <v>92</v>
      </c>
      <c r="M9" s="6" t="s">
        <v>45</v>
      </c>
      <c r="N9" s="6" t="s">
        <v>45</v>
      </c>
      <c r="O9" s="6" t="s">
        <v>45</v>
      </c>
      <c r="P9" s="6" t="s">
        <v>2003</v>
      </c>
      <c r="Q9" s="6" t="s">
        <v>2003</v>
      </c>
      <c r="R9" s="6">
        <v>900</v>
      </c>
      <c r="S9" s="6" t="s">
        <v>39</v>
      </c>
      <c r="T9" s="6">
        <v>900</v>
      </c>
      <c r="U9" s="6" t="s">
        <v>45</v>
      </c>
      <c r="V9" s="6" t="s">
        <v>2003</v>
      </c>
      <c r="W9" s="6" t="s">
        <v>86</v>
      </c>
      <c r="X9" s="6" t="s">
        <v>60</v>
      </c>
      <c r="Y9" s="6" t="s">
        <v>87</v>
      </c>
      <c r="Z9" s="6" t="s">
        <v>1983</v>
      </c>
      <c r="AA9" s="6" t="s">
        <v>39</v>
      </c>
      <c r="AB9" s="15" t="s">
        <v>88</v>
      </c>
      <c r="AC9" s="16" t="s">
        <v>45</v>
      </c>
      <c r="AD9" s="16" t="s">
        <v>23</v>
      </c>
      <c r="AE9" s="16" t="s">
        <v>50</v>
      </c>
      <c r="AF9" s="16" t="s">
        <v>50</v>
      </c>
      <c r="AG9" s="17" t="s">
        <v>60</v>
      </c>
      <c r="AH9" s="17" t="s">
        <v>62</v>
      </c>
      <c r="AI9" s="17" t="s">
        <v>45</v>
      </c>
      <c r="AJ9" s="17" t="s">
        <v>23</v>
      </c>
      <c r="AK9" s="17" t="s">
        <v>45</v>
      </c>
      <c r="AL9" s="106" t="s">
        <v>1984</v>
      </c>
      <c r="AM9" s="107"/>
      <c r="AN9" s="107"/>
      <c r="AO9" s="107"/>
      <c r="AP9" s="108"/>
    </row>
    <row r="10" spans="1:46" s="14" customFormat="1" ht="78" customHeight="1" x14ac:dyDescent="0.4">
      <c r="A10" s="11">
        <v>10</v>
      </c>
      <c r="B10" s="11">
        <v>102</v>
      </c>
      <c r="C10" s="11" t="s">
        <v>80</v>
      </c>
      <c r="D10" s="13" t="s">
        <v>1994</v>
      </c>
      <c r="E10" s="33" t="s">
        <v>18</v>
      </c>
      <c r="F10" s="11" t="s">
        <v>1995</v>
      </c>
      <c r="G10" s="11" t="s">
        <v>43</v>
      </c>
      <c r="H10" s="11" t="s">
        <v>52</v>
      </c>
      <c r="I10" s="11" t="s">
        <v>84</v>
      </c>
      <c r="J10" s="11" t="s">
        <v>85</v>
      </c>
      <c r="K10" s="11" t="s">
        <v>60</v>
      </c>
      <c r="L10" s="11" t="s">
        <v>92</v>
      </c>
      <c r="M10" s="11" t="s">
        <v>45</v>
      </c>
      <c r="N10" s="11" t="s">
        <v>45</v>
      </c>
      <c r="O10" s="11" t="s">
        <v>45</v>
      </c>
      <c r="P10" s="11" t="s">
        <v>84</v>
      </c>
      <c r="Q10" s="11" t="s">
        <v>2003</v>
      </c>
      <c r="R10" s="11">
        <v>750</v>
      </c>
      <c r="S10" s="40" t="s">
        <v>39</v>
      </c>
      <c r="T10" s="11">
        <v>900</v>
      </c>
      <c r="U10" s="11" t="s">
        <v>45</v>
      </c>
      <c r="V10" s="11" t="s">
        <v>84</v>
      </c>
      <c r="W10" s="11" t="s">
        <v>86</v>
      </c>
      <c r="X10" s="40" t="s">
        <v>60</v>
      </c>
      <c r="Y10" s="40" t="s">
        <v>531</v>
      </c>
      <c r="Z10" s="40"/>
      <c r="AA10" s="40" t="s">
        <v>65</v>
      </c>
      <c r="AB10" s="12" t="s">
        <v>88</v>
      </c>
      <c r="AC10" s="11" t="s">
        <v>45</v>
      </c>
      <c r="AD10" s="11" t="s">
        <v>45</v>
      </c>
      <c r="AE10" s="11" t="s">
        <v>50</v>
      </c>
      <c r="AF10" s="11" t="s">
        <v>50</v>
      </c>
      <c r="AG10" s="13" t="s">
        <v>60</v>
      </c>
      <c r="AH10" s="13" t="s">
        <v>62</v>
      </c>
      <c r="AI10" s="13" t="s">
        <v>23</v>
      </c>
      <c r="AJ10" s="13" t="s">
        <v>23</v>
      </c>
      <c r="AK10" s="13" t="s">
        <v>23</v>
      </c>
      <c r="AL10" s="133" t="s">
        <v>1996</v>
      </c>
      <c r="AM10" s="134"/>
      <c r="AN10" s="134"/>
      <c r="AO10" s="134"/>
      <c r="AP10" s="135"/>
    </row>
    <row r="11" spans="1:46" s="10" customFormat="1" ht="34.5" customHeight="1" x14ac:dyDescent="0.4">
      <c r="A11" s="6">
        <v>10</v>
      </c>
      <c r="B11" s="6">
        <v>202</v>
      </c>
      <c r="C11" s="6" t="s">
        <v>80</v>
      </c>
      <c r="D11" s="18" t="s">
        <v>1997</v>
      </c>
      <c r="E11" s="34" t="s">
        <v>18</v>
      </c>
      <c r="F11" s="46" t="s">
        <v>1998</v>
      </c>
      <c r="G11" s="6" t="s">
        <v>43</v>
      </c>
      <c r="H11" s="6" t="s">
        <v>52</v>
      </c>
      <c r="I11" s="6" t="s">
        <v>84</v>
      </c>
      <c r="J11" s="6" t="s">
        <v>85</v>
      </c>
      <c r="K11" s="6" t="s">
        <v>60</v>
      </c>
      <c r="L11" s="6" t="s">
        <v>92</v>
      </c>
      <c r="M11" s="6" t="s">
        <v>45</v>
      </c>
      <c r="N11" s="6" t="s">
        <v>23</v>
      </c>
      <c r="O11" s="6" t="s">
        <v>23</v>
      </c>
      <c r="P11" s="6" t="s">
        <v>84</v>
      </c>
      <c r="Q11" s="6" t="s">
        <v>86</v>
      </c>
      <c r="R11" s="6">
        <v>740</v>
      </c>
      <c r="S11" s="6" t="s">
        <v>39</v>
      </c>
      <c r="T11" s="6">
        <v>900</v>
      </c>
      <c r="U11" s="6" t="s">
        <v>45</v>
      </c>
      <c r="V11" s="6" t="s">
        <v>84</v>
      </c>
      <c r="W11" s="6" t="s">
        <v>86</v>
      </c>
      <c r="X11" s="6" t="s">
        <v>60</v>
      </c>
      <c r="Y11" s="6" t="s">
        <v>87</v>
      </c>
      <c r="Z11" s="6" t="s">
        <v>1999</v>
      </c>
      <c r="AA11" s="6" t="s">
        <v>65</v>
      </c>
      <c r="AB11" s="15" t="s">
        <v>88</v>
      </c>
      <c r="AC11" s="16" t="s">
        <v>45</v>
      </c>
      <c r="AD11" s="16" t="s">
        <v>45</v>
      </c>
      <c r="AE11" s="16" t="s">
        <v>116</v>
      </c>
      <c r="AF11" s="16" t="s">
        <v>50</v>
      </c>
      <c r="AG11" s="17" t="s">
        <v>60</v>
      </c>
      <c r="AH11" s="17" t="s">
        <v>62</v>
      </c>
      <c r="AI11" s="17" t="s">
        <v>45</v>
      </c>
      <c r="AJ11" s="17" t="s">
        <v>23</v>
      </c>
      <c r="AK11" s="17" t="s">
        <v>45</v>
      </c>
      <c r="AL11" s="106" t="s">
        <v>2000</v>
      </c>
      <c r="AM11" s="107"/>
      <c r="AN11" s="107"/>
      <c r="AO11" s="107"/>
      <c r="AP11" s="108"/>
    </row>
    <row r="12" spans="1:46" s="14" customFormat="1" ht="15" customHeight="1" x14ac:dyDescent="0.4">
      <c r="A12" s="11">
        <v>10</v>
      </c>
      <c r="B12" s="11">
        <v>302</v>
      </c>
      <c r="C12" s="11" t="s">
        <v>80</v>
      </c>
      <c r="D12" s="13" t="s">
        <v>1963</v>
      </c>
      <c r="E12" s="33" t="s">
        <v>18</v>
      </c>
      <c r="F12" s="11"/>
      <c r="G12" s="11" t="s">
        <v>40</v>
      </c>
      <c r="H12" s="11" t="s">
        <v>30</v>
      </c>
      <c r="I12" s="11" t="s">
        <v>84</v>
      </c>
      <c r="J12" s="11" t="s">
        <v>85</v>
      </c>
      <c r="K12" s="11" t="s">
        <v>60</v>
      </c>
      <c r="L12" s="11" t="s">
        <v>92</v>
      </c>
      <c r="M12" s="11" t="s">
        <v>23</v>
      </c>
      <c r="N12" s="11" t="s">
        <v>45</v>
      </c>
      <c r="O12" s="11" t="s">
        <v>45</v>
      </c>
      <c r="P12" s="11" t="s">
        <v>84</v>
      </c>
      <c r="Q12" s="11" t="s">
        <v>86</v>
      </c>
      <c r="R12" s="11">
        <v>900</v>
      </c>
      <c r="S12" s="40" t="s">
        <v>39</v>
      </c>
      <c r="T12" s="11">
        <v>900</v>
      </c>
      <c r="U12" s="11" t="s">
        <v>45</v>
      </c>
      <c r="V12" s="11" t="s">
        <v>84</v>
      </c>
      <c r="W12" s="11" t="s">
        <v>86</v>
      </c>
      <c r="X12" s="40" t="s">
        <v>60</v>
      </c>
      <c r="Y12" s="40" t="s">
        <v>87</v>
      </c>
      <c r="Z12" s="40" t="s">
        <v>1964</v>
      </c>
      <c r="AA12" s="40" t="s">
        <v>39</v>
      </c>
      <c r="AB12" s="12" t="s">
        <v>88</v>
      </c>
      <c r="AC12" s="11" t="s">
        <v>23</v>
      </c>
      <c r="AD12" s="11" t="s">
        <v>23</v>
      </c>
      <c r="AE12" s="11" t="s">
        <v>50</v>
      </c>
      <c r="AF12" s="11" t="s">
        <v>50</v>
      </c>
      <c r="AG12" s="13" t="s">
        <v>60</v>
      </c>
      <c r="AH12" s="13" t="s">
        <v>96</v>
      </c>
      <c r="AI12" s="13" t="s">
        <v>45</v>
      </c>
      <c r="AJ12" s="13" t="s">
        <v>23</v>
      </c>
      <c r="AK12" s="13" t="s">
        <v>45</v>
      </c>
      <c r="AL12" s="94" t="s">
        <v>1965</v>
      </c>
      <c r="AM12" s="95"/>
      <c r="AN12" s="95"/>
      <c r="AO12" s="95"/>
      <c r="AP12" s="96"/>
    </row>
    <row r="13" spans="1:46" s="10" customFormat="1" ht="15" customHeight="1" x14ac:dyDescent="0.4">
      <c r="A13" s="6">
        <v>10</v>
      </c>
      <c r="B13" s="6">
        <v>402</v>
      </c>
      <c r="C13" s="6" t="s">
        <v>80</v>
      </c>
      <c r="D13" s="18" t="s">
        <v>1966</v>
      </c>
      <c r="E13" s="34" t="s">
        <v>18</v>
      </c>
      <c r="F13" s="6" t="s">
        <v>1967</v>
      </c>
      <c r="G13" s="6" t="s">
        <v>43</v>
      </c>
      <c r="H13" s="6" t="s">
        <v>52</v>
      </c>
      <c r="I13" s="6" t="s">
        <v>84</v>
      </c>
      <c r="J13" s="6" t="s">
        <v>85</v>
      </c>
      <c r="K13" s="6" t="s">
        <v>60</v>
      </c>
      <c r="L13" s="6" t="s">
        <v>92</v>
      </c>
      <c r="M13" s="6" t="s">
        <v>45</v>
      </c>
      <c r="N13" s="6" t="s">
        <v>45</v>
      </c>
      <c r="O13" s="6" t="s">
        <v>23</v>
      </c>
      <c r="P13" s="6" t="s">
        <v>84</v>
      </c>
      <c r="Q13" s="6" t="s">
        <v>86</v>
      </c>
      <c r="R13" s="6">
        <v>750</v>
      </c>
      <c r="S13" s="6" t="s">
        <v>39</v>
      </c>
      <c r="T13" s="6">
        <v>900</v>
      </c>
      <c r="U13" s="6" t="s">
        <v>45</v>
      </c>
      <c r="V13" s="6" t="s">
        <v>84</v>
      </c>
      <c r="W13" s="6" t="s">
        <v>86</v>
      </c>
      <c r="X13" s="6" t="s">
        <v>60</v>
      </c>
      <c r="Y13" s="6" t="s">
        <v>87</v>
      </c>
      <c r="Z13" s="6" t="s">
        <v>1968</v>
      </c>
      <c r="AA13" s="6" t="s">
        <v>39</v>
      </c>
      <c r="AB13" s="15" t="s">
        <v>88</v>
      </c>
      <c r="AC13" s="16" t="s">
        <v>45</v>
      </c>
      <c r="AD13" s="16" t="s">
        <v>23</v>
      </c>
      <c r="AE13" s="16" t="s">
        <v>50</v>
      </c>
      <c r="AF13" s="16" t="s">
        <v>50</v>
      </c>
      <c r="AG13" s="17" t="s">
        <v>60</v>
      </c>
      <c r="AH13" s="17" t="s">
        <v>62</v>
      </c>
      <c r="AI13" s="17" t="s">
        <v>45</v>
      </c>
      <c r="AJ13" s="17" t="s">
        <v>45</v>
      </c>
      <c r="AK13" s="17" t="s">
        <v>45</v>
      </c>
      <c r="AL13" s="78" t="s">
        <v>1969</v>
      </c>
      <c r="AM13" s="79"/>
      <c r="AN13" s="79"/>
      <c r="AO13" s="79"/>
      <c r="AP13" s="80"/>
    </row>
    <row r="14" spans="1:46" s="14" customFormat="1" ht="30" customHeight="1" x14ac:dyDescent="0.4">
      <c r="A14" s="11">
        <v>10</v>
      </c>
      <c r="B14" s="11">
        <v>502</v>
      </c>
      <c r="C14" s="11" t="s">
        <v>80</v>
      </c>
      <c r="D14" s="13" t="s">
        <v>1970</v>
      </c>
      <c r="E14" s="33" t="s">
        <v>18</v>
      </c>
      <c r="F14" s="45" t="s">
        <v>1971</v>
      </c>
      <c r="G14" s="11" t="s">
        <v>22</v>
      </c>
      <c r="H14" s="11" t="s">
        <v>52</v>
      </c>
      <c r="I14" s="11" t="s">
        <v>84</v>
      </c>
      <c r="J14" s="11" t="s">
        <v>85</v>
      </c>
      <c r="K14" s="11" t="s">
        <v>60</v>
      </c>
      <c r="L14" s="11" t="s">
        <v>92</v>
      </c>
      <c r="M14" s="11" t="s">
        <v>45</v>
      </c>
      <c r="N14" s="11" t="s">
        <v>45</v>
      </c>
      <c r="O14" s="11" t="s">
        <v>45</v>
      </c>
      <c r="P14" s="11" t="s">
        <v>84</v>
      </c>
      <c r="Q14" s="11" t="s">
        <v>86</v>
      </c>
      <c r="R14" s="11">
        <v>750</v>
      </c>
      <c r="S14" s="40" t="s">
        <v>39</v>
      </c>
      <c r="T14" s="11">
        <v>900</v>
      </c>
      <c r="U14" s="11" t="s">
        <v>45</v>
      </c>
      <c r="V14" s="11" t="s">
        <v>84</v>
      </c>
      <c r="W14" s="11" t="s">
        <v>86</v>
      </c>
      <c r="X14" s="40" t="s">
        <v>60</v>
      </c>
      <c r="Y14" s="40" t="s">
        <v>141</v>
      </c>
      <c r="Z14" s="40"/>
      <c r="AA14" s="40" t="s">
        <v>65</v>
      </c>
      <c r="AB14" s="12" t="s">
        <v>19</v>
      </c>
      <c r="AC14" s="11" t="s">
        <v>45</v>
      </c>
      <c r="AD14" s="11" t="s">
        <v>45</v>
      </c>
      <c r="AE14" s="11" t="s">
        <v>116</v>
      </c>
      <c r="AF14" s="11" t="s">
        <v>50</v>
      </c>
      <c r="AG14" s="13" t="s">
        <v>60</v>
      </c>
      <c r="AH14" s="13" t="s">
        <v>62</v>
      </c>
      <c r="AI14" s="13" t="s">
        <v>45</v>
      </c>
      <c r="AJ14" s="13" t="s">
        <v>45</v>
      </c>
      <c r="AK14" s="13" t="s">
        <v>45</v>
      </c>
      <c r="AL14" s="94" t="s">
        <v>1972</v>
      </c>
      <c r="AM14" s="95"/>
      <c r="AN14" s="95"/>
      <c r="AO14" s="95"/>
      <c r="AP14" s="96"/>
    </row>
    <row r="15" spans="1:46" s="10" customFormat="1" ht="38.25" customHeight="1" x14ac:dyDescent="0.4">
      <c r="A15" s="6">
        <v>10</v>
      </c>
      <c r="B15" s="6">
        <v>103</v>
      </c>
      <c r="C15" s="6" t="s">
        <v>80</v>
      </c>
      <c r="D15" s="18" t="s">
        <v>2040</v>
      </c>
      <c r="E15" s="34" t="s">
        <v>18</v>
      </c>
      <c r="F15" s="46" t="s">
        <v>2041</v>
      </c>
      <c r="G15" s="6" t="s">
        <v>43</v>
      </c>
      <c r="H15" s="6" t="s">
        <v>52</v>
      </c>
      <c r="I15" s="6" t="s">
        <v>84</v>
      </c>
      <c r="J15" s="6" t="s">
        <v>85</v>
      </c>
      <c r="K15" s="6" t="s">
        <v>60</v>
      </c>
      <c r="L15" s="6" t="s">
        <v>92</v>
      </c>
      <c r="M15" s="6" t="s">
        <v>45</v>
      </c>
      <c r="N15" s="6" t="s">
        <v>23</v>
      </c>
      <c r="O15" s="6" t="s">
        <v>23</v>
      </c>
      <c r="P15" s="6" t="s">
        <v>84</v>
      </c>
      <c r="Q15" s="6" t="s">
        <v>86</v>
      </c>
      <c r="R15" s="6">
        <v>740</v>
      </c>
      <c r="S15" s="6" t="s">
        <v>39</v>
      </c>
      <c r="T15" s="6">
        <v>900</v>
      </c>
      <c r="U15" s="6" t="s">
        <v>45</v>
      </c>
      <c r="V15" s="6" t="s">
        <v>84</v>
      </c>
      <c r="W15" s="6" t="s">
        <v>86</v>
      </c>
      <c r="X15" s="6" t="s">
        <v>60</v>
      </c>
      <c r="Y15" s="6" t="s">
        <v>87</v>
      </c>
      <c r="Z15" s="6" t="s">
        <v>2042</v>
      </c>
      <c r="AA15" s="6" t="s">
        <v>65</v>
      </c>
      <c r="AB15" s="15" t="s">
        <v>88</v>
      </c>
      <c r="AC15" s="16" t="s">
        <v>23</v>
      </c>
      <c r="AD15" s="16" t="s">
        <v>23</v>
      </c>
      <c r="AE15" s="16" t="s">
        <v>50</v>
      </c>
      <c r="AF15" s="16" t="s">
        <v>50</v>
      </c>
      <c r="AG15" s="17" t="s">
        <v>60</v>
      </c>
      <c r="AH15" s="17" t="s">
        <v>62</v>
      </c>
      <c r="AI15" s="17" t="s">
        <v>45</v>
      </c>
      <c r="AJ15" s="17" t="s">
        <v>23</v>
      </c>
      <c r="AK15" s="17" t="s">
        <v>23</v>
      </c>
      <c r="AL15" s="106" t="s">
        <v>2043</v>
      </c>
      <c r="AM15" s="107"/>
      <c r="AN15" s="107"/>
      <c r="AO15" s="107"/>
      <c r="AP15" s="108"/>
    </row>
    <row r="16" spans="1:46" s="14" customFormat="1" ht="41.25" customHeight="1" x14ac:dyDescent="0.4">
      <c r="A16" s="11">
        <v>10</v>
      </c>
      <c r="B16" s="11">
        <v>203</v>
      </c>
      <c r="C16" s="11" t="s">
        <v>80</v>
      </c>
      <c r="D16" s="13" t="s">
        <v>2026</v>
      </c>
      <c r="E16" s="33" t="s">
        <v>18</v>
      </c>
      <c r="F16" s="11" t="s">
        <v>2027</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141</v>
      </c>
      <c r="Z16" s="40"/>
      <c r="AA16" s="40" t="s">
        <v>65</v>
      </c>
      <c r="AB16" s="12" t="s">
        <v>88</v>
      </c>
      <c r="AC16" s="11" t="s">
        <v>45</v>
      </c>
      <c r="AD16" s="11" t="s">
        <v>45</v>
      </c>
      <c r="AE16" s="11" t="s">
        <v>116</v>
      </c>
      <c r="AF16" s="11" t="s">
        <v>50</v>
      </c>
      <c r="AG16" s="13" t="s">
        <v>60</v>
      </c>
      <c r="AH16" s="13" t="s">
        <v>62</v>
      </c>
      <c r="AI16" s="13" t="s">
        <v>45</v>
      </c>
      <c r="AJ16" s="13" t="s">
        <v>23</v>
      </c>
      <c r="AK16" s="13" t="s">
        <v>23</v>
      </c>
      <c r="AL16" s="133" t="s">
        <v>2028</v>
      </c>
      <c r="AM16" s="134"/>
      <c r="AN16" s="134"/>
      <c r="AO16" s="134"/>
      <c r="AP16" s="135"/>
    </row>
    <row r="17" spans="1:43" s="10" customFormat="1" ht="33.75" customHeight="1" x14ac:dyDescent="0.4">
      <c r="A17" s="6">
        <v>10</v>
      </c>
      <c r="B17" s="6">
        <v>303</v>
      </c>
      <c r="C17" s="6" t="s">
        <v>80</v>
      </c>
      <c r="D17" s="18" t="s">
        <v>2009</v>
      </c>
      <c r="E17" s="34" t="s">
        <v>18</v>
      </c>
      <c r="F17" s="46" t="s">
        <v>2010</v>
      </c>
      <c r="G17" s="6" t="s">
        <v>43</v>
      </c>
      <c r="H17" s="6" t="s">
        <v>52</v>
      </c>
      <c r="I17" s="6" t="s">
        <v>84</v>
      </c>
      <c r="J17" s="6" t="s">
        <v>85</v>
      </c>
      <c r="K17" s="6" t="s">
        <v>60</v>
      </c>
      <c r="L17" s="6" t="s">
        <v>92</v>
      </c>
      <c r="M17" s="6" t="s">
        <v>23</v>
      </c>
      <c r="N17" s="6" t="s">
        <v>45</v>
      </c>
      <c r="O17" s="6" t="s">
        <v>23</v>
      </c>
      <c r="P17" s="6" t="s">
        <v>84</v>
      </c>
      <c r="Q17" s="6" t="s">
        <v>86</v>
      </c>
      <c r="R17" s="6">
        <v>750</v>
      </c>
      <c r="S17" s="6" t="s">
        <v>39</v>
      </c>
      <c r="T17" s="6">
        <v>900</v>
      </c>
      <c r="U17" s="6" t="s">
        <v>45</v>
      </c>
      <c r="V17" s="6" t="s">
        <v>84</v>
      </c>
      <c r="W17" s="6" t="s">
        <v>86</v>
      </c>
      <c r="X17" s="6" t="s">
        <v>60</v>
      </c>
      <c r="Y17" s="6" t="s">
        <v>87</v>
      </c>
      <c r="Z17" s="6" t="s">
        <v>2011</v>
      </c>
      <c r="AA17" s="6" t="s">
        <v>39</v>
      </c>
      <c r="AB17" s="15" t="s">
        <v>88</v>
      </c>
      <c r="AC17" s="16" t="s">
        <v>45</v>
      </c>
      <c r="AD17" s="16" t="s">
        <v>45</v>
      </c>
      <c r="AE17" s="16" t="s">
        <v>116</v>
      </c>
      <c r="AF17" s="16" t="s">
        <v>50</v>
      </c>
      <c r="AG17" s="17" t="s">
        <v>60</v>
      </c>
      <c r="AH17" s="17" t="s">
        <v>62</v>
      </c>
      <c r="AI17" s="17" t="s">
        <v>45</v>
      </c>
      <c r="AJ17" s="17" t="s">
        <v>45</v>
      </c>
      <c r="AK17" s="17" t="s">
        <v>23</v>
      </c>
      <c r="AL17" s="106" t="s">
        <v>2012</v>
      </c>
      <c r="AM17" s="107"/>
      <c r="AN17" s="107"/>
      <c r="AO17" s="107"/>
      <c r="AP17" s="108"/>
    </row>
    <row r="18" spans="1:43" s="14" customFormat="1" ht="36" customHeight="1" x14ac:dyDescent="0.4">
      <c r="A18" s="11">
        <v>10</v>
      </c>
      <c r="B18" s="11">
        <v>403</v>
      </c>
      <c r="C18" s="11" t="s">
        <v>80</v>
      </c>
      <c r="D18" s="13" t="s">
        <v>2013</v>
      </c>
      <c r="E18" s="33" t="s">
        <v>18</v>
      </c>
      <c r="F18" s="45" t="s">
        <v>2014</v>
      </c>
      <c r="G18" s="11" t="s">
        <v>22</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87</v>
      </c>
      <c r="Z18" s="40" t="s">
        <v>2015</v>
      </c>
      <c r="AA18" s="40" t="s">
        <v>39</v>
      </c>
      <c r="AB18" s="12" t="s">
        <v>88</v>
      </c>
      <c r="AC18" s="11" t="s">
        <v>45</v>
      </c>
      <c r="AD18" s="11" t="s">
        <v>23</v>
      </c>
      <c r="AE18" s="11" t="s">
        <v>50</v>
      </c>
      <c r="AF18" s="11" t="s">
        <v>50</v>
      </c>
      <c r="AG18" s="13" t="s">
        <v>60</v>
      </c>
      <c r="AH18" s="13" t="s">
        <v>62</v>
      </c>
      <c r="AI18" s="13" t="s">
        <v>241</v>
      </c>
      <c r="AJ18" s="13" t="s">
        <v>45</v>
      </c>
      <c r="AK18" s="13" t="s">
        <v>45</v>
      </c>
      <c r="AL18" s="133" t="s">
        <v>2016</v>
      </c>
      <c r="AM18" s="134"/>
      <c r="AN18" s="134"/>
      <c r="AO18" s="134"/>
      <c r="AP18" s="135"/>
    </row>
    <row r="19" spans="1:43" s="10" customFormat="1" ht="15" customHeight="1" x14ac:dyDescent="0.4">
      <c r="A19" s="6">
        <v>10</v>
      </c>
      <c r="B19" s="6">
        <v>503</v>
      </c>
      <c r="C19" s="6" t="s">
        <v>80</v>
      </c>
      <c r="D19" s="18" t="s">
        <v>2115</v>
      </c>
      <c r="E19" s="34" t="s">
        <v>18</v>
      </c>
      <c r="F19" s="6" t="s">
        <v>2116</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2117</v>
      </c>
      <c r="AA19" s="6" t="s">
        <v>39</v>
      </c>
      <c r="AB19" s="15" t="s">
        <v>88</v>
      </c>
      <c r="AC19" s="16" t="s">
        <v>45</v>
      </c>
      <c r="AD19" s="16" t="s">
        <v>23</v>
      </c>
      <c r="AE19" s="16" t="s">
        <v>50</v>
      </c>
      <c r="AF19" s="16" t="s">
        <v>50</v>
      </c>
      <c r="AG19" s="17" t="s">
        <v>60</v>
      </c>
      <c r="AH19" s="17" t="s">
        <v>62</v>
      </c>
      <c r="AI19" s="17" t="s">
        <v>23</v>
      </c>
      <c r="AJ19" s="17" t="s">
        <v>23</v>
      </c>
      <c r="AK19" s="17" t="s">
        <v>45</v>
      </c>
      <c r="AL19" s="106" t="s">
        <v>2118</v>
      </c>
      <c r="AM19" s="107"/>
      <c r="AN19" s="107"/>
      <c r="AO19" s="107"/>
      <c r="AP19" s="108"/>
    </row>
    <row r="20" spans="1:43" s="14" customFormat="1" ht="33.75" customHeight="1" x14ac:dyDescent="0.4">
      <c r="A20" s="11">
        <v>10</v>
      </c>
      <c r="B20" s="11">
        <v>104</v>
      </c>
      <c r="C20" s="11" t="s">
        <v>80</v>
      </c>
      <c r="D20" s="13" t="s">
        <v>2066</v>
      </c>
      <c r="E20" s="33" t="s">
        <v>18</v>
      </c>
      <c r="F20" s="45" t="s">
        <v>2067</v>
      </c>
      <c r="G20" s="11" t="s">
        <v>43</v>
      </c>
      <c r="H20" s="11" t="s">
        <v>52</v>
      </c>
      <c r="I20" s="11" t="s">
        <v>84</v>
      </c>
      <c r="J20" s="11" t="s">
        <v>85</v>
      </c>
      <c r="K20" s="11" t="s">
        <v>60</v>
      </c>
      <c r="L20" s="11" t="s">
        <v>92</v>
      </c>
      <c r="M20" s="11" t="s">
        <v>45</v>
      </c>
      <c r="N20" s="11" t="s">
        <v>45</v>
      </c>
      <c r="O20" s="11" t="s">
        <v>45</v>
      </c>
      <c r="P20" s="11" t="s">
        <v>84</v>
      </c>
      <c r="Q20" s="11" t="s">
        <v>86</v>
      </c>
      <c r="R20" s="11">
        <v>750</v>
      </c>
      <c r="S20" s="40" t="s">
        <v>39</v>
      </c>
      <c r="T20" s="11">
        <v>900</v>
      </c>
      <c r="U20" s="11" t="s">
        <v>45</v>
      </c>
      <c r="V20" s="11" t="s">
        <v>84</v>
      </c>
      <c r="W20" s="11" t="s">
        <v>86</v>
      </c>
      <c r="X20" s="40" t="s">
        <v>60</v>
      </c>
      <c r="Y20" s="40" t="s">
        <v>87</v>
      </c>
      <c r="Z20" s="40" t="s">
        <v>2068</v>
      </c>
      <c r="AA20" s="40" t="s">
        <v>39</v>
      </c>
      <c r="AB20" s="12" t="s">
        <v>88</v>
      </c>
      <c r="AC20" s="11" t="s">
        <v>45</v>
      </c>
      <c r="AD20" s="11" t="s">
        <v>45</v>
      </c>
      <c r="AE20" s="11" t="s">
        <v>116</v>
      </c>
      <c r="AF20" s="11" t="s">
        <v>50</v>
      </c>
      <c r="AG20" s="13" t="s">
        <v>60</v>
      </c>
      <c r="AH20" s="13" t="s">
        <v>62</v>
      </c>
      <c r="AI20" s="13" t="s">
        <v>23</v>
      </c>
      <c r="AJ20" s="13" t="s">
        <v>45</v>
      </c>
      <c r="AK20" s="13" t="s">
        <v>45</v>
      </c>
      <c r="AL20" s="133" t="s">
        <v>2069</v>
      </c>
      <c r="AM20" s="134"/>
      <c r="AN20" s="134"/>
      <c r="AO20" s="134"/>
      <c r="AP20" s="135"/>
    </row>
    <row r="21" spans="1:43" s="10" customFormat="1" ht="15" customHeight="1" x14ac:dyDescent="0.4">
      <c r="A21" s="6">
        <v>10</v>
      </c>
      <c r="B21" s="6">
        <v>204</v>
      </c>
      <c r="C21" s="6" t="s">
        <v>80</v>
      </c>
      <c r="D21" s="18" t="s">
        <v>2036</v>
      </c>
      <c r="E21" s="34" t="s">
        <v>18</v>
      </c>
      <c r="F21" s="6" t="s">
        <v>2037</v>
      </c>
      <c r="G21" s="6" t="s">
        <v>43</v>
      </c>
      <c r="H21" s="6" t="s">
        <v>52</v>
      </c>
      <c r="I21" s="6" t="s">
        <v>84</v>
      </c>
      <c r="J21" s="6" t="s">
        <v>85</v>
      </c>
      <c r="K21" s="6" t="s">
        <v>60</v>
      </c>
      <c r="L21" s="6" t="s">
        <v>92</v>
      </c>
      <c r="M21" s="6" t="s">
        <v>45</v>
      </c>
      <c r="N21" s="6" t="s">
        <v>23</v>
      </c>
      <c r="O21" s="6" t="s">
        <v>23</v>
      </c>
      <c r="P21" s="6" t="s">
        <v>84</v>
      </c>
      <c r="Q21" s="6" t="s">
        <v>86</v>
      </c>
      <c r="R21" s="6">
        <v>750</v>
      </c>
      <c r="S21" s="6" t="s">
        <v>39</v>
      </c>
      <c r="T21" s="6">
        <v>900</v>
      </c>
      <c r="U21" s="6" t="s">
        <v>45</v>
      </c>
      <c r="V21" s="6" t="s">
        <v>84</v>
      </c>
      <c r="W21" s="6" t="s">
        <v>86</v>
      </c>
      <c r="X21" s="6" t="s">
        <v>60</v>
      </c>
      <c r="Y21" s="6" t="s">
        <v>87</v>
      </c>
      <c r="Z21" s="6" t="s">
        <v>2038</v>
      </c>
      <c r="AA21" s="6" t="s">
        <v>39</v>
      </c>
      <c r="AB21" s="15" t="s">
        <v>88</v>
      </c>
      <c r="AC21" s="16" t="s">
        <v>23</v>
      </c>
      <c r="AD21" s="16" t="s">
        <v>23</v>
      </c>
      <c r="AE21" s="16" t="s">
        <v>50</v>
      </c>
      <c r="AF21" s="16" t="s">
        <v>50</v>
      </c>
      <c r="AG21" s="17" t="s">
        <v>60</v>
      </c>
      <c r="AH21" s="17" t="s">
        <v>62</v>
      </c>
      <c r="AI21" s="17" t="s">
        <v>45</v>
      </c>
      <c r="AJ21" s="17" t="s">
        <v>45</v>
      </c>
      <c r="AK21" s="17" t="s">
        <v>23</v>
      </c>
      <c r="AL21" s="106" t="s">
        <v>2039</v>
      </c>
      <c r="AM21" s="107"/>
      <c r="AN21" s="107"/>
      <c r="AO21" s="107"/>
      <c r="AP21" s="108"/>
    </row>
    <row r="22" spans="1:43" s="14" customFormat="1" ht="34.5" customHeight="1" x14ac:dyDescent="0.4">
      <c r="A22" s="11">
        <v>10</v>
      </c>
      <c r="B22" s="11">
        <v>304</v>
      </c>
      <c r="C22" s="11" t="s">
        <v>80</v>
      </c>
      <c r="D22" s="13" t="s">
        <v>2017</v>
      </c>
      <c r="E22" s="33" t="s">
        <v>18</v>
      </c>
      <c r="F22" s="45" t="s">
        <v>2018</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104</v>
      </c>
      <c r="Z22" s="40"/>
      <c r="AA22" s="40" t="s">
        <v>39</v>
      </c>
      <c r="AB22" s="12" t="s">
        <v>88</v>
      </c>
      <c r="AC22" s="11" t="s">
        <v>45</v>
      </c>
      <c r="AD22" s="11" t="s">
        <v>45</v>
      </c>
      <c r="AE22" s="11" t="s">
        <v>116</v>
      </c>
      <c r="AF22" s="11" t="s">
        <v>116</v>
      </c>
      <c r="AG22" s="13" t="s">
        <v>60</v>
      </c>
      <c r="AH22" s="13" t="s">
        <v>62</v>
      </c>
      <c r="AI22" s="13" t="s">
        <v>23</v>
      </c>
      <c r="AJ22" s="13" t="s">
        <v>45</v>
      </c>
      <c r="AK22" s="13" t="s">
        <v>23</v>
      </c>
      <c r="AL22" s="133" t="s">
        <v>2019</v>
      </c>
      <c r="AM22" s="134"/>
      <c r="AN22" s="134"/>
      <c r="AO22" s="134"/>
      <c r="AP22" s="135"/>
    </row>
    <row r="23" spans="1:43" s="10" customFormat="1" ht="15" customHeight="1" x14ac:dyDescent="0.4">
      <c r="A23" s="6">
        <v>10</v>
      </c>
      <c r="B23" s="6">
        <v>404</v>
      </c>
      <c r="C23" s="6" t="s">
        <v>80</v>
      </c>
      <c r="D23" s="18" t="s">
        <v>2374</v>
      </c>
      <c r="E23" s="34" t="s">
        <v>18</v>
      </c>
      <c r="F23" s="6" t="s">
        <v>2375</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87</v>
      </c>
      <c r="Z23" s="6" t="s">
        <v>2376</v>
      </c>
      <c r="AA23" s="6" t="s">
        <v>39</v>
      </c>
      <c r="AB23" s="15" t="s">
        <v>88</v>
      </c>
      <c r="AC23" s="16" t="s">
        <v>45</v>
      </c>
      <c r="AD23" s="16" t="s">
        <v>45</v>
      </c>
      <c r="AE23" s="16" t="s">
        <v>50</v>
      </c>
      <c r="AF23" s="16" t="s">
        <v>50</v>
      </c>
      <c r="AG23" s="17" t="s">
        <v>60</v>
      </c>
      <c r="AH23" s="17" t="s">
        <v>62</v>
      </c>
      <c r="AI23" s="17" t="s">
        <v>45</v>
      </c>
      <c r="AJ23" s="17" t="s">
        <v>45</v>
      </c>
      <c r="AK23" s="17" t="s">
        <v>45</v>
      </c>
      <c r="AL23" s="106" t="s">
        <v>2377</v>
      </c>
      <c r="AM23" s="107"/>
      <c r="AN23" s="107"/>
      <c r="AO23" s="107"/>
      <c r="AP23" s="108"/>
    </row>
    <row r="24" spans="1:43" s="14" customFormat="1" ht="40.5" customHeight="1" x14ac:dyDescent="0.4">
      <c r="A24" s="11">
        <v>10</v>
      </c>
      <c r="B24" s="11">
        <v>504</v>
      </c>
      <c r="C24" s="11" t="s">
        <v>80</v>
      </c>
      <c r="D24" s="13" t="s">
        <v>2001</v>
      </c>
      <c r="E24" s="33" t="s">
        <v>18</v>
      </c>
      <c r="F24" s="11" t="s">
        <v>2002</v>
      </c>
      <c r="G24" s="11" t="s">
        <v>43</v>
      </c>
      <c r="H24" s="11" t="s">
        <v>52</v>
      </c>
      <c r="I24" s="11" t="s">
        <v>84</v>
      </c>
      <c r="J24" s="11" t="s">
        <v>85</v>
      </c>
      <c r="K24" s="11" t="s">
        <v>60</v>
      </c>
      <c r="L24" s="11" t="s">
        <v>92</v>
      </c>
      <c r="M24" s="11" t="s">
        <v>45</v>
      </c>
      <c r="N24" s="11" t="s">
        <v>45</v>
      </c>
      <c r="O24" s="11" t="s">
        <v>45</v>
      </c>
      <c r="P24" s="11" t="s">
        <v>84</v>
      </c>
      <c r="Q24" s="11" t="s">
        <v>86</v>
      </c>
      <c r="R24" s="11">
        <v>740</v>
      </c>
      <c r="S24" s="40" t="s">
        <v>39</v>
      </c>
      <c r="T24" s="11">
        <v>900</v>
      </c>
      <c r="U24" s="11" t="s">
        <v>45</v>
      </c>
      <c r="V24" s="11" t="s">
        <v>84</v>
      </c>
      <c r="W24" s="11" t="s">
        <v>86</v>
      </c>
      <c r="X24" s="40" t="s">
        <v>60</v>
      </c>
      <c r="Y24" s="40" t="s">
        <v>344</v>
      </c>
      <c r="Z24" s="53" t="s">
        <v>2004</v>
      </c>
      <c r="AA24" s="40" t="s">
        <v>39</v>
      </c>
      <c r="AB24" s="12" t="s">
        <v>19</v>
      </c>
      <c r="AC24" s="11" t="s">
        <v>45</v>
      </c>
      <c r="AD24" s="11" t="s">
        <v>45</v>
      </c>
      <c r="AE24" s="11" t="s">
        <v>116</v>
      </c>
      <c r="AF24" s="11" t="s">
        <v>50</v>
      </c>
      <c r="AG24" s="13" t="s">
        <v>60</v>
      </c>
      <c r="AH24" s="13" t="s">
        <v>62</v>
      </c>
      <c r="AI24" s="13" t="s">
        <v>45</v>
      </c>
      <c r="AJ24" s="13" t="s">
        <v>23</v>
      </c>
      <c r="AK24" s="13" t="s">
        <v>45</v>
      </c>
      <c r="AL24" s="133" t="s">
        <v>2005</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所有→16戸</v>
      </c>
      <c r="H25" s="20" t="str">
        <f>"未更新→"&amp;COUNTIF(H5:H24,"未更新")&amp;"戸"</f>
        <v>未更新→19戸</v>
      </c>
      <c r="I25" s="20" t="str">
        <f>"クロス→"&amp;COUNTIF(I5:I24,"クロス")&amp;"戸"</f>
        <v>クロス→20戸</v>
      </c>
      <c r="J25" s="20" t="str">
        <f>"ベニヤ→"&amp;COUNTIF(J5:J24,"ベニヤ")&amp;"戸"</f>
        <v>ベニヤ→20戸</v>
      </c>
      <c r="K25" s="20" t="str">
        <f>"既存→"&amp;COUNTIF(K5:K24,"既存")&amp;"戸"</f>
        <v>既存→1戸</v>
      </c>
      <c r="L25" s="20" t="str">
        <f>"普通便座→"&amp;COUNTIF(L5:L24,"普通便座")&amp;"戸"</f>
        <v>普通便座→1戸</v>
      </c>
      <c r="M25" s="20" t="str">
        <f>"有→"&amp;COUNTIF(M5:M24,"有")&amp;"戸"</f>
        <v>有→3戸</v>
      </c>
      <c r="N25" s="20" t="str">
        <f>"有→"&amp;COUNTIF(N5:N24,"有")&amp;"戸"</f>
        <v>有→5戸</v>
      </c>
      <c r="O25" s="20" t="str">
        <f>"有→"&amp;COUNTIF(O5:O24,"有")&amp;"戸"</f>
        <v>有→11戸</v>
      </c>
      <c r="P25" s="20" t="str">
        <f>"クロス→"&amp;COUNTIF(P5:P24,"クロス")&amp;"戸"</f>
        <v>クロス→18戸</v>
      </c>
      <c r="Q25" s="20" t="str">
        <f>"CF→"&amp;COUNTIF(Q5:Q24,"CF")&amp;"戸"</f>
        <v>CF→18戸</v>
      </c>
      <c r="R25" s="20" t="str">
        <f>"1000→"&amp;COUNTIF(R5:R24,"1000")&amp;"戸"</f>
        <v>1000→0戸</v>
      </c>
      <c r="S25" s="20" t="str">
        <f>"可→"&amp;COUNTIF(S5:S24,"可")&amp;"戸"</f>
        <v>可→20戸</v>
      </c>
      <c r="T25" s="20" t="str">
        <f>"900→"&amp;COUNTIF(T5:T24,"900")&amp;"戸"</f>
        <v>900→20戸</v>
      </c>
      <c r="U25" s="20" t="str">
        <f>"有→"&amp;COUNTIF(U5:U24,"有")&amp;"戸"</f>
        <v>有→0戸</v>
      </c>
      <c r="V25" s="20" t="str">
        <f>"クロス→"&amp;COUNTIF(V5:V24,"クロス")&amp;"戸"</f>
        <v>クロス→19戸</v>
      </c>
      <c r="W25" s="20" t="str">
        <f>"CF→"&amp;COUNTIF(W5:W24,"CF")&amp;"戸"</f>
        <v>CF→20戸</v>
      </c>
      <c r="X25" s="20" t="str">
        <f>"既存→"&amp;COUNTIF(X5:X24,"既存")&amp;"戸"</f>
        <v>既存→1戸</v>
      </c>
      <c r="Y25" s="20" t="str">
        <f>"TOTO→"&amp;COUNTIF(Y5:Y24,"TOTO")&amp;"戸"</f>
        <v>TOTO→14戸</v>
      </c>
      <c r="Z25" s="130">
        <f>-COUNTA(Z5:Z24)</f>
        <v>-15</v>
      </c>
      <c r="AA25" s="20" t="str">
        <f>"可→"&amp;COUNTIF(AA5:AA24,"可")&amp;"戸"</f>
        <v>可→14戸</v>
      </c>
      <c r="AB25" s="20" t="str">
        <f>"既存→"&amp;COUNTIF(AB5:AB24,"既存")&amp;"戸"</f>
        <v>既存→3戸</v>
      </c>
      <c r="AC25" s="130">
        <f>COUNTIF(AC5:AC24,"有")</f>
        <v>6</v>
      </c>
      <c r="AD25" s="130">
        <f>COUNTIF(AD5:AD24,"有")</f>
        <v>9</v>
      </c>
      <c r="AE25" s="20" t="str">
        <f>"ポリ板→"&amp;COUNTIF(AE5:AE24,"ポリ板")&amp;"戸"</f>
        <v>ポリ板→12戸</v>
      </c>
      <c r="AF25" s="20" t="str">
        <f>"ポリ板→"&amp;COUNTIF(AF5:AF24,"ポリ板")&amp;"戸"</f>
        <v>ポリ板→19戸</v>
      </c>
      <c r="AG25" s="20" t="str">
        <f>"既存→"&amp;COUNTIF(AG5:AG24,"既存")&amp;"戸"</f>
        <v>既存→0戸</v>
      </c>
      <c r="AH25" s="20" t="str">
        <f>"洗面所→"&amp;COUNTIF(AH5:AH24,"洗面所")&amp;"戸"</f>
        <v>洗面所→19戸</v>
      </c>
      <c r="AI25" s="130">
        <f>COUNTIF(AI5:AI24,"有")</f>
        <v>5</v>
      </c>
      <c r="AJ25" s="130">
        <f>COUNTIF(AJ5:AJ24,"有")</f>
        <v>9</v>
      </c>
      <c r="AK25" s="130">
        <f>COUNTIF(AK5:AK24,"有")</f>
        <v>8</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賃貸→3戸</v>
      </c>
      <c r="H26" s="35" t="str">
        <f>"更新済み→"&amp;COUNTIF(H5:H24,"更新済み")&amp;"戸"</f>
        <v>更新済み→1戸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無→17戸</v>
      </c>
      <c r="N26" s="35" t="str">
        <f>"無→"&amp;COUNTIF(N5:N24,"無")&amp;"戸"</f>
        <v>無→14戸</v>
      </c>
      <c r="O26" s="35" t="str">
        <f>"無→"&amp;COUNTIF(O5:O24,"無")&amp;"戸"</f>
        <v>無→8戸</v>
      </c>
      <c r="P26" s="35" t="str">
        <f>"珪藻土→"&amp;COUNTIF(P5:P24,"珪藻土")&amp;"戸"</f>
        <v>珪藻土→0戸</v>
      </c>
      <c r="Q26" s="35" t="str">
        <f>"塩ビタイル→"&amp;COUNTIF(Q5:Q24,"塩ビタイル")&amp;"戸"</f>
        <v>塩ビタイル→0戸</v>
      </c>
      <c r="R26" s="35" t="str">
        <f>"900→"&amp;COUNTIF(R5:R24,"900")&amp;"戸"</f>
        <v>900→3戸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リフォーム済み→19戸</v>
      </c>
      <c r="Y26" s="35" t="str">
        <f>"LIXIL→"&amp;COUNTIF(Y5:Y24,"LIXIL")&amp;"戸"</f>
        <v>LIXIL→1戸</v>
      </c>
      <c r="Z26" s="131"/>
      <c r="AA26" s="35" t="str">
        <f>"不可→"&amp;COUNTIF(AA5:AA24,"不可")&amp;"戸"</f>
        <v>不可→6戸</v>
      </c>
      <c r="AB26" s="36" t="str">
        <f>"システム→"&amp;COUNTIF(AB5:AB24,"システム")&amp;"戸"</f>
        <v>システム→17戸</v>
      </c>
      <c r="AC26" s="131"/>
      <c r="AD26" s="131"/>
      <c r="AE26" s="35" t="str">
        <f>"SUS→"&amp;COUNTIF(AE5:AE24,"SUS")&amp;"戸"</f>
        <v>SUS→8戸</v>
      </c>
      <c r="AF26" s="35" t="str">
        <f>"SUS→"&amp;COUNTIF(AF5:AF24,"SUS")&amp;"戸"</f>
        <v>SUS→1戸</v>
      </c>
      <c r="AG26" s="35" t="str">
        <f>"リフォーム済み→"&amp;COUNTIF(AG5:AG24,"リフォーム済み")&amp;"戸"</f>
        <v>リフォーム済み→20戸</v>
      </c>
      <c r="AH26" s="35" t="str">
        <f>"ベランダ→"&amp;COUNTIF(AH5:AH24,"ベランダ")&amp;"戸"</f>
        <v>ベランダ→1戸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750→13戸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35" t="str">
        <f>"空家→"&amp;COUNTIF(G5:G24,"空家")&amp;"戸"</f>
        <v>空家→1戸</v>
      </c>
      <c r="H28" s="39"/>
      <c r="I28" s="28"/>
      <c r="J28" s="27"/>
      <c r="K28" s="35" t="str">
        <f>"一体型→"&amp;COUNTIF(K5:K24,"一体型")&amp;"戸"</f>
        <v>一体型→0戸</v>
      </c>
      <c r="L28" s="28"/>
      <c r="M28" s="28"/>
      <c r="N28" s="28"/>
      <c r="O28" s="28"/>
      <c r="P28" s="28"/>
      <c r="Q28" s="28"/>
      <c r="R28" s="35" t="str">
        <f>"740→"&amp;COUNTIF(R5:R24,"740")&amp;"戸"</f>
        <v>740→4戸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1"/>
    </row>
    <row r="29" spans="1:43" s="2" customFormat="1" x14ac:dyDescent="0.4">
      <c r="A29" s="31"/>
      <c r="AI29" s="37"/>
      <c r="AJ29" s="37"/>
      <c r="AQ29" s="1"/>
    </row>
  </sheetData>
  <autoFilter ref="AI3:AK4" xr:uid="{3FB04C19-5DD2-4E85-94E4-52E1BD38E6D6}"/>
  <mergeCells count="47">
    <mergeCell ref="AL21:AP21"/>
    <mergeCell ref="AL22:AP22"/>
    <mergeCell ref="AL23:AP23"/>
    <mergeCell ref="AL24:AP24"/>
    <mergeCell ref="A25:E28"/>
    <mergeCell ref="F25:F28"/>
    <mergeCell ref="AL25:AP28"/>
    <mergeCell ref="Z25:Z28"/>
    <mergeCell ref="AC25:AC28"/>
    <mergeCell ref="AI25:AI28"/>
    <mergeCell ref="AJ25:AJ28"/>
    <mergeCell ref="AK25:AK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413972D8-0BD9-40BF-BEE5-408E03958FF1}"/>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93FE37DE-C5B7-4B08-A981-CE1077143134}">
          <x14:formula1>
            <xm:f>Sheet1!$C$9:$C$11</xm:f>
          </x14:formula1>
          <xm:sqref>W5:W24 Q11:Q24 Q5:Q8</xm:sqref>
        </x14:dataValidation>
        <x14:dataValidation type="list" allowBlank="1" showInputMessage="1" showErrorMessage="1" xr:uid="{3BF6BA73-9223-42F3-AAE8-7E74BDA7B8C3}">
          <x14:formula1>
            <xm:f>Sheet1!$A$1:$A$4</xm:f>
          </x14:formula1>
          <xm:sqref>G5:G24</xm:sqref>
        </x14:dataValidation>
        <x14:dataValidation type="list" allowBlank="1" showInputMessage="1" showErrorMessage="1" xr:uid="{31549D08-29BC-455C-B7D1-2FB27C285EC8}">
          <x14:formula1>
            <xm:f>Sheet1!$A$6:$A$7</xm:f>
          </x14:formula1>
          <xm:sqref>H5:H24</xm:sqref>
        </x14:dataValidation>
        <x14:dataValidation type="list" allowBlank="1" showInputMessage="1" showErrorMessage="1" xr:uid="{3F1B8BFF-9004-44CA-BEBE-274612137C6C}">
          <x14:formula1>
            <xm:f>Sheet1!$A$9:$A$11</xm:f>
          </x14:formula1>
          <xm:sqref>P10:P24 I5:I24 P6:P8 V5:V8 V10:V24</xm:sqref>
        </x14:dataValidation>
        <x14:dataValidation type="list" allowBlank="1" showInputMessage="1" showErrorMessage="1" xr:uid="{9DB2873A-4603-46D5-8A28-5A0C48AECC0E}">
          <x14:formula1>
            <xm:f>Sheet1!$D$1:$D$3</xm:f>
          </x14:formula1>
          <xm:sqref>J5:J24</xm:sqref>
        </x14:dataValidation>
        <x14:dataValidation type="list" allowBlank="1" showInputMessage="1" showErrorMessage="1" xr:uid="{C6964057-A64D-4D4C-91CA-D20AE3B6A2DB}">
          <x14:formula1>
            <xm:f>Sheet1!$G$9:$G$12</xm:f>
          </x14:formula1>
          <xm:sqref>K5:K24</xm:sqref>
        </x14:dataValidation>
        <x14:dataValidation type="list" allowBlank="1" showInputMessage="1" showErrorMessage="1" xr:uid="{4FA67C6C-BA96-4774-BC6F-6A55D8DC99FC}">
          <x14:formula1>
            <xm:f>Sheet1!$E$9:$E$11</xm:f>
          </x14:formula1>
          <xm:sqref>L5:L24</xm:sqref>
        </x14:dataValidation>
        <x14:dataValidation type="list" allowBlank="1" showInputMessage="1" showErrorMessage="1" xr:uid="{6343C55C-853B-4FC1-AFA5-6B59A0610756}">
          <x14:formula1>
            <xm:f>Sheet1!$C$6:$C$7</xm:f>
          </x14:formula1>
          <xm:sqref>U5:U24 M5:O24 AC5:AD24 AJ5:AK22 AJ24:AK24</xm:sqref>
        </x14:dataValidation>
        <x14:dataValidation type="list" allowBlank="1" showInputMessage="1" showErrorMessage="1" xr:uid="{407DD2B2-12CB-4807-A00A-F1482ADCD364}">
          <x14:formula1>
            <xm:f>Sheet1!$A$17:$A$20</xm:f>
          </x14:formula1>
          <xm:sqref>R5 R7:R9 R12:R14 R16:R23</xm:sqref>
        </x14:dataValidation>
        <x14:dataValidation type="list" allowBlank="1" showInputMessage="1" showErrorMessage="1" xr:uid="{FFBA6981-D780-4639-8695-79E4BDAF04D8}">
          <x14:formula1>
            <xm:f>Sheet1!$C$17:$C$20</xm:f>
          </x14:formula1>
          <xm:sqref>T5:T24</xm:sqref>
        </x14:dataValidation>
        <x14:dataValidation type="list" allowBlank="1" showInputMessage="1" showErrorMessage="1" xr:uid="{483BD144-0181-4432-A80D-192255AF53D2}">
          <x14:formula1>
            <xm:f>Sheet1!$A$13:$A$15</xm:f>
          </x14:formula1>
          <xm:sqref>AB5:AB24</xm:sqref>
        </x14:dataValidation>
        <x14:dataValidation type="list" allowBlank="1" showInputMessage="1" showErrorMessage="1" xr:uid="{95DE838D-FF5B-468A-BD3B-AB5A2D3CDB29}">
          <x14:formula1>
            <xm:f>Sheet1!$G$1:$G$4</xm:f>
          </x14:formula1>
          <xm:sqref>AE5:AF24</xm:sqref>
        </x14:dataValidation>
        <x14:dataValidation type="list" allowBlank="1" showInputMessage="1" showErrorMessage="1" xr:uid="{AC89FD1E-6648-4CBD-9B2C-64EF0DBFF726}">
          <x14:formula1>
            <xm:f>Sheet1!$E$17:$E$18</xm:f>
          </x14:formula1>
          <xm:sqref>AG5:AG24</xm:sqref>
        </x14:dataValidation>
        <x14:dataValidation type="list" allowBlank="1" showInputMessage="1" showErrorMessage="1" xr:uid="{43D53C31-BF38-4042-BFBB-26CBD11DC083}">
          <x14:formula1>
            <xm:f>Sheet1!$G$17:$G$18</xm:f>
          </x14:formula1>
          <xm:sqref>AH5:AH24</xm:sqref>
        </x14:dataValidation>
        <x14:dataValidation type="list" allowBlank="1" showInputMessage="1" showErrorMessage="1" xr:uid="{0D8ABB7F-2D75-4C06-A752-1532B3A6183A}">
          <x14:formula1>
            <xm:f>Sheet1!$I$1:$I$2</xm:f>
          </x14:formula1>
          <xm:sqref>X5:X24</xm:sqref>
        </x14:dataValidation>
        <x14:dataValidation type="list" allowBlank="1" showInputMessage="1" showErrorMessage="1" xr:uid="{2CF2207E-DB71-485F-B6CC-8F7620CC4F46}">
          <x14:formula1>
            <xm:f>Sheet1!$G$6:$G$7</xm:f>
          </x14:formula1>
          <xm:sqref>S5:S24 AA5:AA24</xm:sqref>
        </x14:dataValidation>
        <x14:dataValidation type="list" allowBlank="1" showInputMessage="1" showErrorMessage="1" xr:uid="{5DE837EA-1CFB-421B-B73E-992B28C1CE16}">
          <x14:formula1>
            <xm:f>Sheet1!$C$6:$C$8</xm:f>
          </x14:formula1>
          <xm:sqref>AI5:AI24 AJ23:AK23</xm:sqref>
        </x14:dataValidation>
        <x14:dataValidation type="list" allowBlank="1" showInputMessage="1" showErrorMessage="1" xr:uid="{1425384C-A3FF-418E-8CDC-418C7D74B31C}">
          <x14:formula1>
            <xm:f>Sheet1!$I$9:$I$13</xm:f>
          </x14:formula1>
          <xm:sqref>Y5:Y24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57161-0FDA-446F-966D-D1A89849FBCA}">
  <sheetPr codeName="Sheet11">
    <tabColor theme="4" tint="0.39997558519241921"/>
  </sheetPr>
  <dimension ref="A1:AT29"/>
  <sheetViews>
    <sheetView view="pageBreakPreview" zoomScaleNormal="40" zoomScaleSheetLayoutView="70" workbookViewId="0">
      <pane xSplit="5" ySplit="4" topLeftCell="AI23" activePane="bottomRight" state="frozen"/>
      <selection activeCell="N11" sqref="N11"/>
      <selection pane="topRight" activeCell="N11" sqref="N11"/>
      <selection pane="bottomLeft" activeCell="N11" sqref="N11"/>
      <selection pane="bottomRight" activeCell="AI14" sqref="AI14"/>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6" s="10" customFormat="1" ht="38.25" customHeight="1" x14ac:dyDescent="0.4">
      <c r="A5" s="6">
        <v>11</v>
      </c>
      <c r="B5" s="6">
        <v>101</v>
      </c>
      <c r="C5" s="6" t="s">
        <v>80</v>
      </c>
      <c r="D5" s="18" t="s">
        <v>1931</v>
      </c>
      <c r="E5" s="32" t="s">
        <v>18</v>
      </c>
      <c r="F5" s="46" t="s">
        <v>1932</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84</v>
      </c>
      <c r="W5" s="6" t="s">
        <v>86</v>
      </c>
      <c r="X5" s="16" t="s">
        <v>60</v>
      </c>
      <c r="Y5" s="16" t="s">
        <v>87</v>
      </c>
      <c r="Z5" s="16" t="s">
        <v>1933</v>
      </c>
      <c r="AA5" s="16" t="s">
        <v>65</v>
      </c>
      <c r="AB5" s="7" t="s">
        <v>88</v>
      </c>
      <c r="AC5" s="8" t="s">
        <v>45</v>
      </c>
      <c r="AD5" s="8" t="s">
        <v>23</v>
      </c>
      <c r="AE5" s="8" t="s">
        <v>50</v>
      </c>
      <c r="AF5" s="16" t="s">
        <v>50</v>
      </c>
      <c r="AG5" s="17" t="s">
        <v>60</v>
      </c>
      <c r="AH5" s="17" t="s">
        <v>62</v>
      </c>
      <c r="AI5" s="17" t="s">
        <v>45</v>
      </c>
      <c r="AJ5" s="17" t="s">
        <v>23</v>
      </c>
      <c r="AK5" s="9" t="s">
        <v>23</v>
      </c>
      <c r="AL5" s="140" t="s">
        <v>1934</v>
      </c>
      <c r="AM5" s="141"/>
      <c r="AN5" s="141"/>
      <c r="AO5" s="141"/>
      <c r="AP5" s="142"/>
    </row>
    <row r="6" spans="1:46" s="14" customFormat="1" ht="37.5" customHeight="1" x14ac:dyDescent="0.4">
      <c r="A6" s="11">
        <v>11</v>
      </c>
      <c r="B6" s="11">
        <v>201</v>
      </c>
      <c r="C6" s="11" t="s">
        <v>80</v>
      </c>
      <c r="D6" s="13" t="s">
        <v>1893</v>
      </c>
      <c r="E6" s="33" t="s">
        <v>18</v>
      </c>
      <c r="F6" s="11" t="s">
        <v>1894</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1895</v>
      </c>
      <c r="AA6" s="40" t="s">
        <v>65</v>
      </c>
      <c r="AB6" s="12" t="s">
        <v>88</v>
      </c>
      <c r="AC6" s="11" t="s">
        <v>23</v>
      </c>
      <c r="AD6" s="11" t="s">
        <v>23</v>
      </c>
      <c r="AE6" s="11" t="s">
        <v>50</v>
      </c>
      <c r="AF6" s="11" t="s">
        <v>50</v>
      </c>
      <c r="AG6" s="13" t="s">
        <v>60</v>
      </c>
      <c r="AH6" s="13" t="s">
        <v>62</v>
      </c>
      <c r="AI6" s="13" t="s">
        <v>45</v>
      </c>
      <c r="AJ6" s="13" t="s">
        <v>45</v>
      </c>
      <c r="AK6" s="13" t="s">
        <v>45</v>
      </c>
      <c r="AL6" s="133" t="s">
        <v>1896</v>
      </c>
      <c r="AM6" s="134"/>
      <c r="AN6" s="134"/>
      <c r="AO6" s="134"/>
      <c r="AP6" s="135"/>
    </row>
    <row r="7" spans="1:46" s="10" customFormat="1" ht="36.75" customHeight="1" x14ac:dyDescent="0.4">
      <c r="A7" s="6">
        <v>11</v>
      </c>
      <c r="B7" s="6">
        <v>301</v>
      </c>
      <c r="C7" s="6" t="s">
        <v>80</v>
      </c>
      <c r="D7" s="18" t="s">
        <v>1897</v>
      </c>
      <c r="E7" s="34" t="s">
        <v>18</v>
      </c>
      <c r="F7" s="6" t="s">
        <v>1898</v>
      </c>
      <c r="G7" s="6" t="s">
        <v>43</v>
      </c>
      <c r="H7" s="6" t="s">
        <v>52</v>
      </c>
      <c r="I7" s="6" t="s">
        <v>84</v>
      </c>
      <c r="J7" s="6" t="s">
        <v>85</v>
      </c>
      <c r="K7" s="6" t="s">
        <v>361</v>
      </c>
      <c r="L7" s="6" t="s">
        <v>92</v>
      </c>
      <c r="M7" s="6" t="s">
        <v>45</v>
      </c>
      <c r="N7" s="6" t="s">
        <v>45</v>
      </c>
      <c r="O7" s="6" t="s">
        <v>45</v>
      </c>
      <c r="P7" s="6" t="s">
        <v>84</v>
      </c>
      <c r="Q7" s="6" t="s">
        <v>86</v>
      </c>
      <c r="R7" s="6" t="s">
        <v>1899</v>
      </c>
      <c r="S7" s="6" t="s">
        <v>39</v>
      </c>
      <c r="T7" s="6">
        <v>900</v>
      </c>
      <c r="U7" s="6" t="s">
        <v>45</v>
      </c>
      <c r="V7" s="6" t="s">
        <v>84</v>
      </c>
      <c r="W7" s="6" t="s">
        <v>86</v>
      </c>
      <c r="X7" s="6" t="s">
        <v>60</v>
      </c>
      <c r="Y7" s="6" t="s">
        <v>344</v>
      </c>
      <c r="Z7" s="46" t="s">
        <v>1900</v>
      </c>
      <c r="AA7" s="6" t="s">
        <v>65</v>
      </c>
      <c r="AB7" s="15" t="s">
        <v>88</v>
      </c>
      <c r="AC7" s="16" t="s">
        <v>45</v>
      </c>
      <c r="AD7" s="16" t="s">
        <v>23</v>
      </c>
      <c r="AE7" s="16" t="s">
        <v>50</v>
      </c>
      <c r="AF7" s="16" t="s">
        <v>50</v>
      </c>
      <c r="AG7" s="17" t="s">
        <v>60</v>
      </c>
      <c r="AH7" s="17" t="s">
        <v>62</v>
      </c>
      <c r="AI7" s="17" t="s">
        <v>45</v>
      </c>
      <c r="AJ7" s="17" t="s">
        <v>45</v>
      </c>
      <c r="AK7" s="17" t="s">
        <v>45</v>
      </c>
      <c r="AL7" s="106" t="s">
        <v>1901</v>
      </c>
      <c r="AM7" s="107"/>
      <c r="AN7" s="107"/>
      <c r="AO7" s="107"/>
      <c r="AP7" s="108"/>
    </row>
    <row r="8" spans="1:46" s="14" customFormat="1" ht="89.25" customHeight="1" x14ac:dyDescent="0.4">
      <c r="A8" s="11">
        <v>11</v>
      </c>
      <c r="B8" s="11">
        <v>401</v>
      </c>
      <c r="C8" s="11" t="s">
        <v>80</v>
      </c>
      <c r="D8" s="13" t="s">
        <v>1902</v>
      </c>
      <c r="E8" s="33" t="s">
        <v>18</v>
      </c>
      <c r="F8" s="11" t="s">
        <v>1903</v>
      </c>
      <c r="G8" s="11" t="s">
        <v>43</v>
      </c>
      <c r="H8" s="11" t="s">
        <v>52</v>
      </c>
      <c r="I8" s="11" t="s">
        <v>84</v>
      </c>
      <c r="J8" s="11" t="s">
        <v>85</v>
      </c>
      <c r="K8" s="11" t="s">
        <v>60</v>
      </c>
      <c r="L8" s="11" t="s">
        <v>92</v>
      </c>
      <c r="M8" s="11" t="s">
        <v>45</v>
      </c>
      <c r="N8" s="11" t="s">
        <v>45</v>
      </c>
      <c r="O8" s="11" t="s">
        <v>23</v>
      </c>
      <c r="P8" s="11" t="s">
        <v>84</v>
      </c>
      <c r="Q8" s="11" t="s">
        <v>86</v>
      </c>
      <c r="R8" s="11">
        <v>740</v>
      </c>
      <c r="S8" s="40" t="s">
        <v>39</v>
      </c>
      <c r="T8" s="11">
        <v>900</v>
      </c>
      <c r="U8" s="11" t="s">
        <v>45</v>
      </c>
      <c r="V8" s="11" t="s">
        <v>84</v>
      </c>
      <c r="W8" s="11" t="s">
        <v>86</v>
      </c>
      <c r="X8" s="40" t="s">
        <v>60</v>
      </c>
      <c r="Y8" s="40" t="s">
        <v>87</v>
      </c>
      <c r="Z8" s="40" t="s">
        <v>1904</v>
      </c>
      <c r="AA8" s="40" t="s">
        <v>65</v>
      </c>
      <c r="AB8" s="12" t="s">
        <v>88</v>
      </c>
      <c r="AC8" s="11" t="s">
        <v>45</v>
      </c>
      <c r="AD8" s="11" t="s">
        <v>45</v>
      </c>
      <c r="AE8" s="11" t="s">
        <v>116</v>
      </c>
      <c r="AF8" s="11" t="s">
        <v>50</v>
      </c>
      <c r="AG8" s="13" t="s">
        <v>60</v>
      </c>
      <c r="AH8" s="13" t="s">
        <v>62</v>
      </c>
      <c r="AI8" s="13" t="s">
        <v>23</v>
      </c>
      <c r="AJ8" s="13" t="s">
        <v>23</v>
      </c>
      <c r="AK8" s="13" t="s">
        <v>23</v>
      </c>
      <c r="AL8" s="133" t="s">
        <v>2747</v>
      </c>
      <c r="AM8" s="134"/>
      <c r="AN8" s="134"/>
      <c r="AO8" s="134"/>
      <c r="AP8" s="135"/>
    </row>
    <row r="9" spans="1:46" s="10" customFormat="1" ht="42.75" customHeight="1" x14ac:dyDescent="0.4">
      <c r="A9" s="6">
        <v>11</v>
      </c>
      <c r="B9" s="6">
        <v>501</v>
      </c>
      <c r="C9" s="6" t="s">
        <v>80</v>
      </c>
      <c r="D9" s="18" t="s">
        <v>1890</v>
      </c>
      <c r="E9" s="34" t="s">
        <v>18</v>
      </c>
      <c r="F9" s="6" t="s">
        <v>1891</v>
      </c>
      <c r="G9" s="6" t="s">
        <v>43</v>
      </c>
      <c r="H9" s="6" t="s">
        <v>52</v>
      </c>
      <c r="I9" s="6" t="s">
        <v>84</v>
      </c>
      <c r="J9" s="6" t="s">
        <v>85</v>
      </c>
      <c r="K9" s="6" t="s">
        <v>19</v>
      </c>
      <c r="L9" s="6" t="s">
        <v>24</v>
      </c>
      <c r="M9" s="6" t="s">
        <v>23</v>
      </c>
      <c r="N9" s="6" t="s">
        <v>45</v>
      </c>
      <c r="O9" s="6" t="s">
        <v>23</v>
      </c>
      <c r="P9" s="6" t="s">
        <v>84</v>
      </c>
      <c r="Q9" s="6" t="s">
        <v>86</v>
      </c>
      <c r="R9" s="6">
        <v>750</v>
      </c>
      <c r="S9" s="6" t="s">
        <v>39</v>
      </c>
      <c r="T9" s="6">
        <v>900</v>
      </c>
      <c r="U9" s="6" t="s">
        <v>45</v>
      </c>
      <c r="V9" s="6" t="s">
        <v>84</v>
      </c>
      <c r="W9" s="6" t="s">
        <v>86</v>
      </c>
      <c r="X9" s="6" t="s">
        <v>19</v>
      </c>
      <c r="Y9" s="6"/>
      <c r="Z9" s="6"/>
      <c r="AA9" s="6" t="s">
        <v>65</v>
      </c>
      <c r="AB9" s="15" t="s">
        <v>88</v>
      </c>
      <c r="AC9" s="16" t="s">
        <v>45</v>
      </c>
      <c r="AD9" s="16" t="s">
        <v>45</v>
      </c>
      <c r="AE9" s="16" t="s">
        <v>50</v>
      </c>
      <c r="AF9" s="16" t="s">
        <v>50</v>
      </c>
      <c r="AG9" s="17" t="s">
        <v>60</v>
      </c>
      <c r="AH9" s="17" t="s">
        <v>62</v>
      </c>
      <c r="AI9" s="17" t="s">
        <v>45</v>
      </c>
      <c r="AJ9" s="17" t="s">
        <v>45</v>
      </c>
      <c r="AK9" s="17" t="s">
        <v>45</v>
      </c>
      <c r="AL9" s="106" t="s">
        <v>1892</v>
      </c>
      <c r="AM9" s="107"/>
      <c r="AN9" s="107"/>
      <c r="AO9" s="107"/>
      <c r="AP9" s="108"/>
    </row>
    <row r="10" spans="1:46" s="14" customFormat="1" ht="44.25" customHeight="1" x14ac:dyDescent="0.4">
      <c r="A10" s="11">
        <v>11</v>
      </c>
      <c r="B10" s="11">
        <v>102</v>
      </c>
      <c r="C10" s="11" t="s">
        <v>80</v>
      </c>
      <c r="D10" s="13" t="s">
        <v>1935</v>
      </c>
      <c r="E10" s="33" t="s">
        <v>18</v>
      </c>
      <c r="F10" s="11" t="s">
        <v>1936</v>
      </c>
      <c r="G10" s="11" t="s">
        <v>40</v>
      </c>
      <c r="H10" s="11" t="s">
        <v>52</v>
      </c>
      <c r="I10" s="11" t="s">
        <v>84</v>
      </c>
      <c r="J10" s="11" t="s">
        <v>85</v>
      </c>
      <c r="K10" s="11" t="s">
        <v>19</v>
      </c>
      <c r="L10" s="11" t="s">
        <v>24</v>
      </c>
      <c r="M10" s="11" t="s">
        <v>45</v>
      </c>
      <c r="N10" s="11" t="s">
        <v>45</v>
      </c>
      <c r="O10" s="11" t="s">
        <v>23</v>
      </c>
      <c r="P10" s="11" t="s">
        <v>84</v>
      </c>
      <c r="Q10" s="11" t="s">
        <v>86</v>
      </c>
      <c r="R10" s="11">
        <v>750</v>
      </c>
      <c r="S10" s="40" t="s">
        <v>39</v>
      </c>
      <c r="T10" s="11">
        <v>900</v>
      </c>
      <c r="U10" s="11" t="s">
        <v>45</v>
      </c>
      <c r="V10" s="11" t="s">
        <v>84</v>
      </c>
      <c r="W10" s="11" t="s">
        <v>86</v>
      </c>
      <c r="X10" s="40" t="s">
        <v>60</v>
      </c>
      <c r="Y10" s="40" t="s">
        <v>141</v>
      </c>
      <c r="Z10" s="40"/>
      <c r="AA10" s="40" t="s">
        <v>65</v>
      </c>
      <c r="AB10" s="12" t="s">
        <v>19</v>
      </c>
      <c r="AC10" s="11" t="s">
        <v>45</v>
      </c>
      <c r="AD10" s="11" t="s">
        <v>45</v>
      </c>
      <c r="AE10" s="11" t="s">
        <v>50</v>
      </c>
      <c r="AF10" s="11" t="s">
        <v>50</v>
      </c>
      <c r="AG10" s="13" t="s">
        <v>60</v>
      </c>
      <c r="AH10" s="13" t="s">
        <v>62</v>
      </c>
      <c r="AI10" s="13" t="s">
        <v>45</v>
      </c>
      <c r="AJ10" s="13" t="s">
        <v>23</v>
      </c>
      <c r="AK10" s="13" t="s">
        <v>45</v>
      </c>
      <c r="AL10" s="133" t="s">
        <v>1937</v>
      </c>
      <c r="AM10" s="134"/>
      <c r="AN10" s="134"/>
      <c r="AO10" s="134"/>
      <c r="AP10" s="135"/>
    </row>
    <row r="11" spans="1:46" s="10" customFormat="1" ht="15" customHeight="1" x14ac:dyDescent="0.4">
      <c r="A11" s="6">
        <v>11</v>
      </c>
      <c r="B11" s="6">
        <v>202</v>
      </c>
      <c r="C11" s="6" t="s">
        <v>80</v>
      </c>
      <c r="D11" s="18" t="s">
        <v>1905</v>
      </c>
      <c r="E11" s="34" t="s">
        <v>18</v>
      </c>
      <c r="F11" s="6" t="s">
        <v>1906</v>
      </c>
      <c r="G11" s="6" t="s">
        <v>43</v>
      </c>
      <c r="H11" s="6" t="s">
        <v>30</v>
      </c>
      <c r="I11" s="6" t="s">
        <v>84</v>
      </c>
      <c r="J11" s="6" t="s">
        <v>84</v>
      </c>
      <c r="K11" s="6" t="s">
        <v>60</v>
      </c>
      <c r="L11" s="6" t="s">
        <v>92</v>
      </c>
      <c r="M11" s="6" t="s">
        <v>45</v>
      </c>
      <c r="N11" s="6" t="s">
        <v>23</v>
      </c>
      <c r="O11" s="6" t="s">
        <v>23</v>
      </c>
      <c r="P11" s="6" t="s">
        <v>84</v>
      </c>
      <c r="Q11" s="6" t="s">
        <v>86</v>
      </c>
      <c r="R11" s="6">
        <v>750</v>
      </c>
      <c r="S11" s="6" t="s">
        <v>39</v>
      </c>
      <c r="T11" s="6">
        <v>900</v>
      </c>
      <c r="U11" s="6" t="s">
        <v>45</v>
      </c>
      <c r="V11" s="6" t="s">
        <v>84</v>
      </c>
      <c r="W11" s="6" t="s">
        <v>86</v>
      </c>
      <c r="X11" s="6" t="s">
        <v>19</v>
      </c>
      <c r="Y11" s="6"/>
      <c r="Z11" s="6"/>
      <c r="AA11" s="6" t="s">
        <v>65</v>
      </c>
      <c r="AB11" s="15" t="s">
        <v>88</v>
      </c>
      <c r="AC11" s="16" t="s">
        <v>45</v>
      </c>
      <c r="AD11" s="16" t="s">
        <v>23</v>
      </c>
      <c r="AE11" s="16" t="s">
        <v>50</v>
      </c>
      <c r="AF11" s="16" t="s">
        <v>50</v>
      </c>
      <c r="AG11" s="17" t="s">
        <v>60</v>
      </c>
      <c r="AH11" s="17" t="s">
        <v>62</v>
      </c>
      <c r="AI11" s="17" t="s">
        <v>45</v>
      </c>
      <c r="AJ11" s="17" t="s">
        <v>45</v>
      </c>
      <c r="AK11" s="17" t="s">
        <v>45</v>
      </c>
      <c r="AL11" s="106" t="s">
        <v>1907</v>
      </c>
      <c r="AM11" s="107"/>
      <c r="AN11" s="107"/>
      <c r="AO11" s="107"/>
      <c r="AP11" s="108"/>
    </row>
    <row r="12" spans="1:46" s="14" customFormat="1" ht="43.5" customHeight="1" x14ac:dyDescent="0.4">
      <c r="A12" s="11">
        <v>11</v>
      </c>
      <c r="B12" s="11">
        <v>302</v>
      </c>
      <c r="C12" s="11" t="s">
        <v>80</v>
      </c>
      <c r="D12" s="13" t="s">
        <v>1908</v>
      </c>
      <c r="E12" s="33" t="s">
        <v>18</v>
      </c>
      <c r="F12" s="11" t="s">
        <v>1909</v>
      </c>
      <c r="G12" s="11" t="s">
        <v>43</v>
      </c>
      <c r="H12" s="11" t="s">
        <v>52</v>
      </c>
      <c r="I12" s="11" t="s">
        <v>84</v>
      </c>
      <c r="J12" s="11" t="s">
        <v>85</v>
      </c>
      <c r="K12" s="11" t="s">
        <v>60</v>
      </c>
      <c r="L12" s="11" t="s">
        <v>24</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1910</v>
      </c>
      <c r="AA12" s="40" t="s">
        <v>65</v>
      </c>
      <c r="AB12" s="12" t="s">
        <v>88</v>
      </c>
      <c r="AC12" s="11" t="s">
        <v>23</v>
      </c>
      <c r="AD12" s="11" t="s">
        <v>23</v>
      </c>
      <c r="AE12" s="11" t="s">
        <v>50</v>
      </c>
      <c r="AF12" s="11" t="s">
        <v>50</v>
      </c>
      <c r="AG12" s="13" t="s">
        <v>60</v>
      </c>
      <c r="AH12" s="13" t="s">
        <v>62</v>
      </c>
      <c r="AI12" s="13" t="s">
        <v>23</v>
      </c>
      <c r="AJ12" s="13" t="s">
        <v>45</v>
      </c>
      <c r="AK12" s="13" t="s">
        <v>23</v>
      </c>
      <c r="AL12" s="133" t="s">
        <v>1911</v>
      </c>
      <c r="AM12" s="134"/>
      <c r="AN12" s="134"/>
      <c r="AO12" s="134"/>
      <c r="AP12" s="135"/>
    </row>
    <row r="13" spans="1:46" s="10" customFormat="1" ht="43.5" customHeight="1" x14ac:dyDescent="0.4">
      <c r="A13" s="6">
        <v>11</v>
      </c>
      <c r="B13" s="6">
        <v>402</v>
      </c>
      <c r="C13" s="6" t="s">
        <v>80</v>
      </c>
      <c r="D13" s="18" t="s">
        <v>1912</v>
      </c>
      <c r="E13" s="34" t="s">
        <v>18</v>
      </c>
      <c r="F13" s="6" t="s">
        <v>1913</v>
      </c>
      <c r="G13" s="6" t="s">
        <v>43</v>
      </c>
      <c r="H13" s="6" t="s">
        <v>52</v>
      </c>
      <c r="I13" s="6" t="s">
        <v>84</v>
      </c>
      <c r="J13" s="6" t="s">
        <v>85</v>
      </c>
      <c r="K13" s="6" t="s">
        <v>60</v>
      </c>
      <c r="L13" s="6" t="s">
        <v>92</v>
      </c>
      <c r="M13" s="6" t="s">
        <v>45</v>
      </c>
      <c r="N13" s="6" t="s">
        <v>45</v>
      </c>
      <c r="O13" s="6" t="s">
        <v>45</v>
      </c>
      <c r="P13" s="6" t="s">
        <v>84</v>
      </c>
      <c r="Q13" s="6" t="s">
        <v>86</v>
      </c>
      <c r="R13" s="6">
        <v>750</v>
      </c>
      <c r="S13" s="6" t="s">
        <v>39</v>
      </c>
      <c r="T13" s="6">
        <v>900</v>
      </c>
      <c r="U13" s="6" t="s">
        <v>45</v>
      </c>
      <c r="V13" s="6" t="s">
        <v>84</v>
      </c>
      <c r="W13" s="6" t="s">
        <v>86</v>
      </c>
      <c r="X13" s="6" t="s">
        <v>60</v>
      </c>
      <c r="Y13" s="6" t="s">
        <v>87</v>
      </c>
      <c r="Z13" s="6" t="s">
        <v>1914</v>
      </c>
      <c r="AA13" s="6" t="s">
        <v>65</v>
      </c>
      <c r="AB13" s="15" t="s">
        <v>88</v>
      </c>
      <c r="AC13" s="16" t="s">
        <v>23</v>
      </c>
      <c r="AD13" s="16" t="s">
        <v>23</v>
      </c>
      <c r="AE13" s="16" t="s">
        <v>50</v>
      </c>
      <c r="AF13" s="16" t="s">
        <v>50</v>
      </c>
      <c r="AG13" s="17" t="s">
        <v>60</v>
      </c>
      <c r="AH13" s="17" t="s">
        <v>62</v>
      </c>
      <c r="AI13" s="17" t="s">
        <v>45</v>
      </c>
      <c r="AJ13" s="17" t="s">
        <v>45</v>
      </c>
      <c r="AK13" s="17" t="s">
        <v>23</v>
      </c>
      <c r="AL13" s="106" t="s">
        <v>1915</v>
      </c>
      <c r="AM13" s="107"/>
      <c r="AN13" s="107"/>
      <c r="AO13" s="107"/>
      <c r="AP13" s="108"/>
    </row>
    <row r="14" spans="1:46" s="14" customFormat="1" ht="50.25" customHeight="1" x14ac:dyDescent="0.4">
      <c r="A14" s="11">
        <v>11</v>
      </c>
      <c r="B14" s="11">
        <v>502</v>
      </c>
      <c r="C14" s="11" t="s">
        <v>80</v>
      </c>
      <c r="D14" s="13" t="s">
        <v>2006</v>
      </c>
      <c r="E14" s="33" t="s">
        <v>18</v>
      </c>
      <c r="F14" s="11" t="s">
        <v>2007</v>
      </c>
      <c r="G14" s="11" t="s">
        <v>43</v>
      </c>
      <c r="H14" s="11" t="s">
        <v>52</v>
      </c>
      <c r="I14" s="11" t="s">
        <v>84</v>
      </c>
      <c r="J14" s="11" t="s">
        <v>85</v>
      </c>
      <c r="K14" s="11" t="s">
        <v>489</v>
      </c>
      <c r="L14" s="11" t="s">
        <v>92</v>
      </c>
      <c r="M14" s="11" t="s">
        <v>45</v>
      </c>
      <c r="N14" s="11" t="s">
        <v>45</v>
      </c>
      <c r="O14" s="11" t="s">
        <v>23</v>
      </c>
      <c r="P14" s="11" t="s">
        <v>84</v>
      </c>
      <c r="Q14" s="11" t="s">
        <v>86</v>
      </c>
      <c r="R14" s="11">
        <v>1000</v>
      </c>
      <c r="S14" s="40" t="s">
        <v>39</v>
      </c>
      <c r="T14" s="11">
        <v>900</v>
      </c>
      <c r="U14" s="11" t="s">
        <v>45</v>
      </c>
      <c r="V14" s="11" t="s">
        <v>84</v>
      </c>
      <c r="W14" s="11" t="s">
        <v>86</v>
      </c>
      <c r="X14" s="40" t="s">
        <v>60</v>
      </c>
      <c r="Y14" s="40" t="s">
        <v>141</v>
      </c>
      <c r="Z14" s="40"/>
      <c r="AA14" s="40" t="s">
        <v>65</v>
      </c>
      <c r="AB14" s="12" t="s">
        <v>19</v>
      </c>
      <c r="AC14" s="11" t="s">
        <v>45</v>
      </c>
      <c r="AD14" s="11" t="s">
        <v>45</v>
      </c>
      <c r="AE14" s="11" t="s">
        <v>116</v>
      </c>
      <c r="AF14" s="11" t="s">
        <v>50</v>
      </c>
      <c r="AG14" s="13" t="s">
        <v>60</v>
      </c>
      <c r="AH14" s="13" t="s">
        <v>62</v>
      </c>
      <c r="AI14" s="13" t="s">
        <v>45</v>
      </c>
      <c r="AJ14" s="13" t="s">
        <v>45</v>
      </c>
      <c r="AK14" s="13" t="s">
        <v>23</v>
      </c>
      <c r="AL14" s="133" t="s">
        <v>2008</v>
      </c>
      <c r="AM14" s="134"/>
      <c r="AN14" s="134"/>
      <c r="AO14" s="134"/>
      <c r="AP14" s="135"/>
    </row>
    <row r="15" spans="1:46" s="10" customFormat="1" ht="52.5" customHeight="1" x14ac:dyDescent="0.4">
      <c r="A15" s="6">
        <v>11</v>
      </c>
      <c r="B15" s="6">
        <v>103</v>
      </c>
      <c r="C15" s="6" t="s">
        <v>80</v>
      </c>
      <c r="D15" s="18" t="s">
        <v>1942</v>
      </c>
      <c r="E15" s="34" t="s">
        <v>18</v>
      </c>
      <c r="F15" s="6" t="s">
        <v>1943</v>
      </c>
      <c r="G15" s="6" t="s">
        <v>43</v>
      </c>
      <c r="H15" s="6" t="s">
        <v>52</v>
      </c>
      <c r="I15" s="6" t="s">
        <v>84</v>
      </c>
      <c r="J15" s="6" t="s">
        <v>85</v>
      </c>
      <c r="K15" s="6" t="s">
        <v>60</v>
      </c>
      <c r="L15" s="6" t="s">
        <v>92</v>
      </c>
      <c r="M15" s="6" t="s">
        <v>23</v>
      </c>
      <c r="N15" s="6" t="s">
        <v>23</v>
      </c>
      <c r="O15" s="6" t="s">
        <v>23</v>
      </c>
      <c r="P15" s="6" t="s">
        <v>84</v>
      </c>
      <c r="Q15" s="6" t="s">
        <v>86</v>
      </c>
      <c r="R15" s="6">
        <v>1500</v>
      </c>
      <c r="S15" s="6" t="s">
        <v>39</v>
      </c>
      <c r="T15" s="6">
        <v>900</v>
      </c>
      <c r="U15" s="6" t="s">
        <v>45</v>
      </c>
      <c r="V15" s="6" t="s">
        <v>84</v>
      </c>
      <c r="W15" s="6" t="s">
        <v>86</v>
      </c>
      <c r="X15" s="6" t="s">
        <v>60</v>
      </c>
      <c r="Y15" s="6" t="s">
        <v>141</v>
      </c>
      <c r="Z15" s="6"/>
      <c r="AA15" s="6" t="s">
        <v>65</v>
      </c>
      <c r="AB15" s="15" t="s">
        <v>88</v>
      </c>
      <c r="AC15" s="16" t="s">
        <v>45</v>
      </c>
      <c r="AD15" s="16" t="s">
        <v>23</v>
      </c>
      <c r="AE15" s="16" t="s">
        <v>50</v>
      </c>
      <c r="AF15" s="16" t="s">
        <v>50</v>
      </c>
      <c r="AG15" s="17" t="s">
        <v>60</v>
      </c>
      <c r="AH15" s="17" t="s">
        <v>62</v>
      </c>
      <c r="AI15" s="17" t="s">
        <v>45</v>
      </c>
      <c r="AJ15" s="17" t="s">
        <v>45</v>
      </c>
      <c r="AK15" s="17" t="s">
        <v>23</v>
      </c>
      <c r="AL15" s="106" t="s">
        <v>1944</v>
      </c>
      <c r="AM15" s="107"/>
      <c r="AN15" s="107"/>
      <c r="AO15" s="107"/>
      <c r="AP15" s="108"/>
    </row>
    <row r="16" spans="1:46" s="14" customFormat="1" ht="81.75" customHeight="1" x14ac:dyDescent="0.4">
      <c r="A16" s="11">
        <v>11</v>
      </c>
      <c r="B16" s="11">
        <v>203</v>
      </c>
      <c r="C16" s="11" t="s">
        <v>80</v>
      </c>
      <c r="D16" s="13" t="s">
        <v>1945</v>
      </c>
      <c r="E16" s="33" t="s">
        <v>18</v>
      </c>
      <c r="F16" s="45" t="s">
        <v>1946</v>
      </c>
      <c r="G16" s="11" t="s">
        <v>43</v>
      </c>
      <c r="H16" s="11" t="s">
        <v>52</v>
      </c>
      <c r="I16" s="11" t="s">
        <v>84</v>
      </c>
      <c r="J16" s="11" t="s">
        <v>85</v>
      </c>
      <c r="K16" s="11" t="s">
        <v>60</v>
      </c>
      <c r="L16" s="11" t="s">
        <v>20</v>
      </c>
      <c r="M16" s="11" t="s">
        <v>23</v>
      </c>
      <c r="N16" s="11" t="s">
        <v>45</v>
      </c>
      <c r="O16" s="11" t="s">
        <v>45</v>
      </c>
      <c r="P16" s="11" t="s">
        <v>84</v>
      </c>
      <c r="Q16" s="11" t="s">
        <v>86</v>
      </c>
      <c r="R16" s="11">
        <v>750</v>
      </c>
      <c r="S16" s="40" t="s">
        <v>39</v>
      </c>
      <c r="T16" s="11">
        <v>900</v>
      </c>
      <c r="U16" s="11" t="s">
        <v>45</v>
      </c>
      <c r="V16" s="11" t="s">
        <v>84</v>
      </c>
      <c r="W16" s="11" t="s">
        <v>86</v>
      </c>
      <c r="X16" s="40" t="s">
        <v>60</v>
      </c>
      <c r="Y16" s="40" t="s">
        <v>87</v>
      </c>
      <c r="Z16" s="40" t="s">
        <v>1947</v>
      </c>
      <c r="AA16" s="40" t="s">
        <v>65</v>
      </c>
      <c r="AB16" s="12" t="s">
        <v>88</v>
      </c>
      <c r="AC16" s="11" t="s">
        <v>45</v>
      </c>
      <c r="AD16" s="11" t="s">
        <v>23</v>
      </c>
      <c r="AE16" s="11" t="s">
        <v>50</v>
      </c>
      <c r="AF16" s="11" t="s">
        <v>50</v>
      </c>
      <c r="AG16" s="13" t="s">
        <v>60</v>
      </c>
      <c r="AH16" s="13" t="s">
        <v>62</v>
      </c>
      <c r="AI16" s="13" t="s">
        <v>45</v>
      </c>
      <c r="AJ16" s="13" t="s">
        <v>45</v>
      </c>
      <c r="AK16" s="13" t="s">
        <v>45</v>
      </c>
      <c r="AL16" s="133" t="s">
        <v>1948</v>
      </c>
      <c r="AM16" s="134"/>
      <c r="AN16" s="134"/>
      <c r="AO16" s="134"/>
      <c r="AP16" s="135"/>
    </row>
    <row r="17" spans="1:43" s="10" customFormat="1" ht="38.25" customHeight="1" x14ac:dyDescent="0.4">
      <c r="A17" s="6">
        <v>11</v>
      </c>
      <c r="B17" s="6">
        <v>303</v>
      </c>
      <c r="C17" s="6" t="s">
        <v>80</v>
      </c>
      <c r="D17" s="18" t="s">
        <v>1949</v>
      </c>
      <c r="E17" s="34" t="s">
        <v>18</v>
      </c>
      <c r="F17" s="6" t="s">
        <v>1950</v>
      </c>
      <c r="G17" s="6" t="s">
        <v>43</v>
      </c>
      <c r="H17" s="6" t="s">
        <v>52</v>
      </c>
      <c r="I17" s="6" t="s">
        <v>84</v>
      </c>
      <c r="J17" s="6" t="s">
        <v>85</v>
      </c>
      <c r="K17" s="6" t="s">
        <v>60</v>
      </c>
      <c r="L17" s="6" t="s">
        <v>92</v>
      </c>
      <c r="M17" s="6" t="s">
        <v>23</v>
      </c>
      <c r="N17" s="6" t="s">
        <v>45</v>
      </c>
      <c r="O17" s="6" t="s">
        <v>45</v>
      </c>
      <c r="P17" s="6" t="s">
        <v>84</v>
      </c>
      <c r="Q17" s="6" t="s">
        <v>86</v>
      </c>
      <c r="R17" s="6">
        <v>750</v>
      </c>
      <c r="S17" s="6" t="s">
        <v>39</v>
      </c>
      <c r="T17" s="6">
        <v>900</v>
      </c>
      <c r="U17" s="6" t="s">
        <v>45</v>
      </c>
      <c r="V17" s="6" t="s">
        <v>84</v>
      </c>
      <c r="W17" s="6" t="s">
        <v>86</v>
      </c>
      <c r="X17" s="6" t="s">
        <v>60</v>
      </c>
      <c r="Y17" s="6" t="s">
        <v>141</v>
      </c>
      <c r="Z17" s="6"/>
      <c r="AA17" s="6" t="s">
        <v>65</v>
      </c>
      <c r="AB17" s="15" t="s">
        <v>88</v>
      </c>
      <c r="AC17" s="16" t="s">
        <v>45</v>
      </c>
      <c r="AD17" s="16" t="s">
        <v>45</v>
      </c>
      <c r="AE17" s="16" t="s">
        <v>50</v>
      </c>
      <c r="AF17" s="16" t="s">
        <v>50</v>
      </c>
      <c r="AG17" s="17" t="s">
        <v>60</v>
      </c>
      <c r="AH17" s="17" t="s">
        <v>62</v>
      </c>
      <c r="AI17" s="17" t="s">
        <v>45</v>
      </c>
      <c r="AJ17" s="17" t="s">
        <v>45</v>
      </c>
      <c r="AK17" s="17" t="s">
        <v>45</v>
      </c>
      <c r="AL17" s="106" t="s">
        <v>1951</v>
      </c>
      <c r="AM17" s="107"/>
      <c r="AN17" s="107"/>
      <c r="AO17" s="107"/>
      <c r="AP17" s="108"/>
    </row>
    <row r="18" spans="1:43" s="14" customFormat="1" ht="47.25" customHeight="1" x14ac:dyDescent="0.4">
      <c r="A18" s="11">
        <v>11</v>
      </c>
      <c r="B18" s="11">
        <v>403</v>
      </c>
      <c r="C18" s="11" t="s">
        <v>80</v>
      </c>
      <c r="D18" s="13" t="s">
        <v>2020</v>
      </c>
      <c r="E18" s="33" t="s">
        <v>18</v>
      </c>
      <c r="F18" s="11" t="s">
        <v>2021</v>
      </c>
      <c r="G18" s="11" t="s">
        <v>43</v>
      </c>
      <c r="H18" s="11" t="s">
        <v>52</v>
      </c>
      <c r="I18" s="11" t="s">
        <v>84</v>
      </c>
      <c r="J18" s="11" t="s">
        <v>85</v>
      </c>
      <c r="K18" s="11" t="s">
        <v>60</v>
      </c>
      <c r="L18" s="11" t="s">
        <v>20</v>
      </c>
      <c r="M18" s="11" t="s">
        <v>45</v>
      </c>
      <c r="N18" s="11" t="s">
        <v>23</v>
      </c>
      <c r="O18" s="11" t="s">
        <v>23</v>
      </c>
      <c r="P18" s="11" t="s">
        <v>84</v>
      </c>
      <c r="Q18" s="11" t="s">
        <v>86</v>
      </c>
      <c r="R18" s="11">
        <v>750</v>
      </c>
      <c r="S18" s="40" t="s">
        <v>39</v>
      </c>
      <c r="T18" s="11">
        <v>900</v>
      </c>
      <c r="U18" s="11" t="s">
        <v>45</v>
      </c>
      <c r="V18" s="11" t="s">
        <v>84</v>
      </c>
      <c r="W18" s="11" t="s">
        <v>86</v>
      </c>
      <c r="X18" s="40" t="s">
        <v>60</v>
      </c>
      <c r="Y18" s="40" t="s">
        <v>141</v>
      </c>
      <c r="Z18" s="40"/>
      <c r="AA18" s="40" t="s">
        <v>65</v>
      </c>
      <c r="AB18" s="12" t="s">
        <v>88</v>
      </c>
      <c r="AC18" s="11" t="s">
        <v>45</v>
      </c>
      <c r="AD18" s="11" t="s">
        <v>23</v>
      </c>
      <c r="AE18" s="11" t="s">
        <v>50</v>
      </c>
      <c r="AF18" s="11" t="s">
        <v>50</v>
      </c>
      <c r="AG18" s="13" t="s">
        <v>60</v>
      </c>
      <c r="AH18" s="13" t="s">
        <v>62</v>
      </c>
      <c r="AI18" s="13" t="s">
        <v>23</v>
      </c>
      <c r="AJ18" s="13" t="s">
        <v>45</v>
      </c>
      <c r="AK18" s="13" t="s">
        <v>23</v>
      </c>
      <c r="AL18" s="133" t="s">
        <v>2022</v>
      </c>
      <c r="AM18" s="134"/>
      <c r="AN18" s="134"/>
      <c r="AO18" s="134"/>
      <c r="AP18" s="135"/>
    </row>
    <row r="19" spans="1:43" s="10" customFormat="1" ht="15" customHeight="1" x14ac:dyDescent="0.4">
      <c r="A19" s="6">
        <v>11</v>
      </c>
      <c r="B19" s="6">
        <v>503</v>
      </c>
      <c r="C19" s="6" t="s">
        <v>80</v>
      </c>
      <c r="D19" s="18" t="s">
        <v>1990</v>
      </c>
      <c r="E19" s="34" t="s">
        <v>18</v>
      </c>
      <c r="F19" s="6" t="s">
        <v>1991</v>
      </c>
      <c r="G19" s="6" t="s">
        <v>43</v>
      </c>
      <c r="H19" s="6" t="s">
        <v>52</v>
      </c>
      <c r="I19" s="6" t="s">
        <v>84</v>
      </c>
      <c r="J19" s="6" t="s">
        <v>85</v>
      </c>
      <c r="K19" s="6" t="s">
        <v>19</v>
      </c>
      <c r="L19" s="6" t="s">
        <v>92</v>
      </c>
      <c r="M19" s="6" t="s">
        <v>45</v>
      </c>
      <c r="N19" s="6" t="s">
        <v>45</v>
      </c>
      <c r="O19" s="6" t="s">
        <v>45</v>
      </c>
      <c r="P19" s="6" t="s">
        <v>84</v>
      </c>
      <c r="Q19" s="6" t="s">
        <v>86</v>
      </c>
      <c r="R19" s="6">
        <v>750</v>
      </c>
      <c r="S19" s="6" t="s">
        <v>39</v>
      </c>
      <c r="T19" s="6">
        <v>900</v>
      </c>
      <c r="U19" s="6" t="s">
        <v>45</v>
      </c>
      <c r="V19" s="6" t="s">
        <v>84</v>
      </c>
      <c r="W19" s="6" t="s">
        <v>86</v>
      </c>
      <c r="X19" s="6" t="s">
        <v>60</v>
      </c>
      <c r="Y19" s="6" t="s">
        <v>87</v>
      </c>
      <c r="Z19" s="6" t="s">
        <v>1992</v>
      </c>
      <c r="AA19" s="6" t="s">
        <v>39</v>
      </c>
      <c r="AB19" s="15" t="s">
        <v>88</v>
      </c>
      <c r="AC19" s="16" t="s">
        <v>45</v>
      </c>
      <c r="AD19" s="16" t="s">
        <v>23</v>
      </c>
      <c r="AE19" s="16" t="s">
        <v>50</v>
      </c>
      <c r="AF19" s="16" t="s">
        <v>50</v>
      </c>
      <c r="AG19" s="17" t="s">
        <v>60</v>
      </c>
      <c r="AH19" s="17" t="s">
        <v>62</v>
      </c>
      <c r="AI19" s="17" t="s">
        <v>45</v>
      </c>
      <c r="AJ19" s="17" t="s">
        <v>23</v>
      </c>
      <c r="AK19" s="17" t="s">
        <v>45</v>
      </c>
      <c r="AL19" s="106" t="s">
        <v>1993</v>
      </c>
      <c r="AM19" s="107"/>
      <c r="AN19" s="107"/>
      <c r="AO19" s="107"/>
      <c r="AP19" s="108"/>
    </row>
    <row r="20" spans="1:43" s="14" customFormat="1" ht="33" customHeight="1" x14ac:dyDescent="0.4">
      <c r="A20" s="11">
        <v>11</v>
      </c>
      <c r="B20" s="11">
        <v>104</v>
      </c>
      <c r="C20" s="11" t="s">
        <v>80</v>
      </c>
      <c r="D20" s="13" t="s">
        <v>1952</v>
      </c>
      <c r="E20" s="33" t="s">
        <v>18</v>
      </c>
      <c r="F20" s="11" t="s">
        <v>1953</v>
      </c>
      <c r="G20" s="11" t="s">
        <v>40</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19</v>
      </c>
      <c r="Y20" s="40"/>
      <c r="Z20" s="40"/>
      <c r="AA20" s="40" t="s">
        <v>65</v>
      </c>
      <c r="AB20" s="12" t="s">
        <v>19</v>
      </c>
      <c r="AC20" s="11" t="s">
        <v>45</v>
      </c>
      <c r="AD20" s="11" t="s">
        <v>45</v>
      </c>
      <c r="AE20" s="11" t="s">
        <v>116</v>
      </c>
      <c r="AF20" s="11" t="s">
        <v>50</v>
      </c>
      <c r="AG20" s="13" t="s">
        <v>60</v>
      </c>
      <c r="AH20" s="13" t="s">
        <v>62</v>
      </c>
      <c r="AI20" s="13" t="s">
        <v>45</v>
      </c>
      <c r="AJ20" s="13" t="s">
        <v>23</v>
      </c>
      <c r="AK20" s="13" t="s">
        <v>45</v>
      </c>
      <c r="AL20" s="133" t="s">
        <v>1954</v>
      </c>
      <c r="AM20" s="134"/>
      <c r="AN20" s="134"/>
      <c r="AO20" s="134"/>
      <c r="AP20" s="135"/>
    </row>
    <row r="21" spans="1:43" s="10" customFormat="1" ht="15" customHeight="1" x14ac:dyDescent="0.4">
      <c r="A21" s="6">
        <v>11</v>
      </c>
      <c r="B21" s="6">
        <v>204</v>
      </c>
      <c r="C21" s="6" t="s">
        <v>80</v>
      </c>
      <c r="D21" s="18" t="s">
        <v>1955</v>
      </c>
      <c r="E21" s="34" t="s">
        <v>18</v>
      </c>
      <c r="F21" s="6" t="s">
        <v>1956</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1957</v>
      </c>
      <c r="AA21" s="6" t="s">
        <v>65</v>
      </c>
      <c r="AB21" s="15" t="s">
        <v>88</v>
      </c>
      <c r="AC21" s="16" t="s">
        <v>45</v>
      </c>
      <c r="AD21" s="16" t="s">
        <v>45</v>
      </c>
      <c r="AE21" s="16" t="s">
        <v>116</v>
      </c>
      <c r="AF21" s="16" t="s">
        <v>50</v>
      </c>
      <c r="AG21" s="17" t="s">
        <v>60</v>
      </c>
      <c r="AH21" s="17" t="s">
        <v>62</v>
      </c>
      <c r="AI21" s="17" t="s">
        <v>45</v>
      </c>
      <c r="AJ21" s="17" t="s">
        <v>45</v>
      </c>
      <c r="AK21" s="17" t="s">
        <v>23</v>
      </c>
      <c r="AL21" s="106" t="s">
        <v>1958</v>
      </c>
      <c r="AM21" s="107"/>
      <c r="AN21" s="107"/>
      <c r="AO21" s="107"/>
      <c r="AP21" s="108"/>
    </row>
    <row r="22" spans="1:43" s="14" customFormat="1" ht="39" customHeight="1" x14ac:dyDescent="0.4">
      <c r="A22" s="11">
        <v>11</v>
      </c>
      <c r="B22" s="11">
        <v>304</v>
      </c>
      <c r="C22" s="11" t="s">
        <v>80</v>
      </c>
      <c r="D22" s="13" t="s">
        <v>1959</v>
      </c>
      <c r="E22" s="33" t="s">
        <v>18</v>
      </c>
      <c r="F22" s="11" t="s">
        <v>1960</v>
      </c>
      <c r="G22" s="11" t="s">
        <v>40</v>
      </c>
      <c r="H22" s="11" t="s">
        <v>52</v>
      </c>
      <c r="I22" s="11" t="s">
        <v>84</v>
      </c>
      <c r="J22" s="11" t="s">
        <v>85</v>
      </c>
      <c r="K22" s="11" t="s">
        <v>60</v>
      </c>
      <c r="L22" s="11" t="s">
        <v>92</v>
      </c>
      <c r="M22" s="11" t="s">
        <v>45</v>
      </c>
      <c r="N22" s="11" t="s">
        <v>45</v>
      </c>
      <c r="O22" s="11" t="s">
        <v>23</v>
      </c>
      <c r="P22" s="11" t="s">
        <v>84</v>
      </c>
      <c r="Q22" s="11" t="s">
        <v>86</v>
      </c>
      <c r="R22" s="11">
        <v>900</v>
      </c>
      <c r="S22" s="40" t="s">
        <v>39</v>
      </c>
      <c r="T22" s="11">
        <v>900</v>
      </c>
      <c r="U22" s="11" t="s">
        <v>45</v>
      </c>
      <c r="V22" s="11" t="s">
        <v>84</v>
      </c>
      <c r="W22" s="11" t="s">
        <v>86</v>
      </c>
      <c r="X22" s="40" t="s">
        <v>60</v>
      </c>
      <c r="Y22" s="40" t="s">
        <v>87</v>
      </c>
      <c r="Z22" s="40" t="s">
        <v>1961</v>
      </c>
      <c r="AA22" s="40" t="s">
        <v>65</v>
      </c>
      <c r="AB22" s="12" t="s">
        <v>88</v>
      </c>
      <c r="AC22" s="11" t="s">
        <v>45</v>
      </c>
      <c r="AD22" s="11" t="s">
        <v>23</v>
      </c>
      <c r="AE22" s="11" t="s">
        <v>50</v>
      </c>
      <c r="AF22" s="11" t="s">
        <v>50</v>
      </c>
      <c r="AG22" s="13" t="s">
        <v>60</v>
      </c>
      <c r="AH22" s="13" t="s">
        <v>62</v>
      </c>
      <c r="AI22" s="13" t="s">
        <v>45</v>
      </c>
      <c r="AJ22" s="13" t="s">
        <v>23</v>
      </c>
      <c r="AK22" s="13" t="s">
        <v>45</v>
      </c>
      <c r="AL22" s="133" t="s">
        <v>1962</v>
      </c>
      <c r="AM22" s="134"/>
      <c r="AN22" s="134"/>
      <c r="AO22" s="134"/>
      <c r="AP22" s="135"/>
    </row>
    <row r="23" spans="1:43" s="10" customFormat="1" ht="37.5" customHeight="1" x14ac:dyDescent="0.4">
      <c r="A23" s="6">
        <v>11</v>
      </c>
      <c r="B23" s="6">
        <v>404</v>
      </c>
      <c r="C23" s="6" t="s">
        <v>80</v>
      </c>
      <c r="D23" s="18" t="s">
        <v>2668</v>
      </c>
      <c r="E23" s="34" t="s">
        <v>18</v>
      </c>
      <c r="F23" s="46" t="s">
        <v>2669</v>
      </c>
      <c r="G23" s="6" t="s">
        <v>40</v>
      </c>
      <c r="H23" s="6" t="s">
        <v>52</v>
      </c>
      <c r="I23" s="6" t="s">
        <v>84</v>
      </c>
      <c r="J23" s="6" t="s">
        <v>85</v>
      </c>
      <c r="K23" s="6" t="s">
        <v>60</v>
      </c>
      <c r="L23" s="6" t="s">
        <v>92</v>
      </c>
      <c r="M23" s="6" t="s">
        <v>45</v>
      </c>
      <c r="N23" s="6" t="s">
        <v>45</v>
      </c>
      <c r="O23" s="6"/>
      <c r="P23" s="6" t="s">
        <v>84</v>
      </c>
      <c r="Q23" s="6" t="s">
        <v>86</v>
      </c>
      <c r="R23" s="6">
        <v>750</v>
      </c>
      <c r="S23" s="6" t="s">
        <v>39</v>
      </c>
      <c r="T23" s="6">
        <v>900</v>
      </c>
      <c r="U23" s="6" t="s">
        <v>45</v>
      </c>
      <c r="V23" s="6" t="s">
        <v>84</v>
      </c>
      <c r="W23" s="6" t="s">
        <v>86</v>
      </c>
      <c r="X23" s="6" t="s">
        <v>60</v>
      </c>
      <c r="Y23" s="6" t="s">
        <v>531</v>
      </c>
      <c r="Z23" s="6"/>
      <c r="AA23" s="6" t="s">
        <v>39</v>
      </c>
      <c r="AB23" s="15" t="s">
        <v>19</v>
      </c>
      <c r="AC23" s="16" t="s">
        <v>45</v>
      </c>
      <c r="AD23" s="16" t="s">
        <v>45</v>
      </c>
      <c r="AE23" s="16" t="s">
        <v>50</v>
      </c>
      <c r="AF23" s="16" t="s">
        <v>50</v>
      </c>
      <c r="AG23" s="17" t="s">
        <v>19</v>
      </c>
      <c r="AH23" s="17" t="s">
        <v>62</v>
      </c>
      <c r="AI23" s="17" t="s">
        <v>45</v>
      </c>
      <c r="AJ23" s="17" t="s">
        <v>23</v>
      </c>
      <c r="AK23" s="17" t="s">
        <v>45</v>
      </c>
      <c r="AL23" s="106" t="s">
        <v>2698</v>
      </c>
      <c r="AM23" s="107"/>
      <c r="AN23" s="107"/>
      <c r="AO23" s="107"/>
      <c r="AP23" s="108"/>
    </row>
    <row r="24" spans="1:43" s="14" customFormat="1" ht="36.75" customHeight="1" x14ac:dyDescent="0.4">
      <c r="A24" s="11">
        <v>11</v>
      </c>
      <c r="B24" s="11">
        <v>504</v>
      </c>
      <c r="C24" s="11" t="s">
        <v>80</v>
      </c>
      <c r="D24" s="13" t="s">
        <v>1938</v>
      </c>
      <c r="E24" s="33" t="s">
        <v>18</v>
      </c>
      <c r="F24" s="11" t="s">
        <v>1939</v>
      </c>
      <c r="G24" s="11" t="s">
        <v>43</v>
      </c>
      <c r="H24" s="11" t="s">
        <v>52</v>
      </c>
      <c r="I24" s="11" t="s">
        <v>84</v>
      </c>
      <c r="J24" s="11" t="s">
        <v>85</v>
      </c>
      <c r="K24" s="11" t="s">
        <v>60</v>
      </c>
      <c r="L24" s="11" t="s">
        <v>92</v>
      </c>
      <c r="M24" s="11" t="s">
        <v>45</v>
      </c>
      <c r="N24" s="11" t="s">
        <v>45</v>
      </c>
      <c r="O24" s="11" t="s">
        <v>23</v>
      </c>
      <c r="P24" s="11" t="s">
        <v>84</v>
      </c>
      <c r="Q24" s="11" t="s">
        <v>86</v>
      </c>
      <c r="R24" s="11">
        <v>740</v>
      </c>
      <c r="S24" s="40" t="s">
        <v>39</v>
      </c>
      <c r="T24" s="11">
        <v>900</v>
      </c>
      <c r="U24" s="11" t="s">
        <v>45</v>
      </c>
      <c r="V24" s="11" t="s">
        <v>84</v>
      </c>
      <c r="W24" s="11" t="s">
        <v>86</v>
      </c>
      <c r="X24" s="40" t="s">
        <v>60</v>
      </c>
      <c r="Y24" s="40" t="s">
        <v>141</v>
      </c>
      <c r="Z24" s="40"/>
      <c r="AA24" s="40" t="s">
        <v>65</v>
      </c>
      <c r="AB24" s="12" t="s">
        <v>19</v>
      </c>
      <c r="AC24" s="11" t="s">
        <v>45</v>
      </c>
      <c r="AD24" s="11" t="s">
        <v>45</v>
      </c>
      <c r="AE24" s="11" t="s">
        <v>116</v>
      </c>
      <c r="AF24" s="11" t="s">
        <v>50</v>
      </c>
      <c r="AG24" s="13" t="s">
        <v>60</v>
      </c>
      <c r="AH24" s="13" t="s">
        <v>62</v>
      </c>
      <c r="AI24" s="13" t="s">
        <v>23</v>
      </c>
      <c r="AJ24" s="13" t="s">
        <v>45</v>
      </c>
      <c r="AK24" s="13" t="s">
        <v>45</v>
      </c>
      <c r="AL24" s="133" t="s">
        <v>1940</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所有→16戸</v>
      </c>
      <c r="H25" s="20" t="str">
        <f>"未更新→"&amp;COUNTIF(H5:H24,"未更新")&amp;"戸"</f>
        <v>未更新→19戸</v>
      </c>
      <c r="I25" s="20" t="str">
        <f>"クロス→"&amp;COUNTIF(I5:I24,"クロス")&amp;"戸"</f>
        <v>クロス→20戸</v>
      </c>
      <c r="J25" s="20" t="str">
        <f>"ベニヤ→"&amp;COUNTIF(J5:J24,"ベニヤ")&amp;"戸"</f>
        <v>ベニヤ→19戸</v>
      </c>
      <c r="K25" s="20" t="str">
        <f>"既存→"&amp;COUNTIF(K5:K24,"既存")&amp;"戸"</f>
        <v>既存→3戸</v>
      </c>
      <c r="L25" s="20" t="str">
        <f>"普通便座→"&amp;COUNTIF(L5:L24,"普通便座")&amp;"戸"</f>
        <v>普通便座→3戸</v>
      </c>
      <c r="M25" s="20" t="str">
        <f>"有→"&amp;COUNTIF(M5:M24,"有")&amp;"戸"</f>
        <v>有→4戸</v>
      </c>
      <c r="N25" s="20" t="str">
        <f>"有→"&amp;COUNTIF(N5:N24,"有")&amp;"戸"</f>
        <v>有→3戸</v>
      </c>
      <c r="O25" s="20" t="str">
        <f>"有→"&amp;COUNTIF(O5:O24,"有")&amp;"戸"</f>
        <v>有→14戸</v>
      </c>
      <c r="P25" s="20" t="str">
        <f>"クロス→"&amp;COUNTIF(P5:P24,"クロス")&amp;"戸"</f>
        <v>クロス→20戸</v>
      </c>
      <c r="Q25" s="20" t="str">
        <f>"CF→"&amp;COUNTIF(Q5:Q24,"CF")&amp;"戸"</f>
        <v>CF→20戸</v>
      </c>
      <c r="R25" s="20" t="str">
        <f>"1000→"&amp;COUNTIF(R5:R24,"1000")&amp;"戸"</f>
        <v>1000→1戸</v>
      </c>
      <c r="S25" s="20" t="str">
        <f>"可→"&amp;COUNTIF(S5:S24,"可")&amp;"戸"</f>
        <v>可→20戸</v>
      </c>
      <c r="T25" s="20" t="str">
        <f>"900→"&amp;COUNTIF(T5:T24,"900")&amp;"戸"</f>
        <v>900→20戸</v>
      </c>
      <c r="U25" s="20" t="str">
        <f>"有→"&amp;COUNTIF(U5:U24,"有")&amp;"戸"</f>
        <v>有→0戸</v>
      </c>
      <c r="V25" s="20" t="str">
        <f>"クロス→"&amp;COUNTIF(V5:V24,"クロス")&amp;"戸"</f>
        <v>クロス→20戸</v>
      </c>
      <c r="W25" s="20" t="str">
        <f>"CF→"&amp;COUNTIF(W5:W24,"CF")&amp;"戸"</f>
        <v>CF→20戸</v>
      </c>
      <c r="X25" s="20" t="str">
        <f>"既存→"&amp;COUNTIF(X5:X24,"既存")&amp;"戸"</f>
        <v>既存→3戸</v>
      </c>
      <c r="Y25" s="20" t="str">
        <f>"TOTO→"&amp;COUNTIF(Y5:Y24,"TOTO")&amp;"戸"</f>
        <v>TOTO→9戸</v>
      </c>
      <c r="Z25" s="130">
        <f>-COUNTA(Z5:Z24)</f>
        <v>-10</v>
      </c>
      <c r="AA25" s="20" t="str">
        <f>"可→"&amp;COUNTIF(AA5:AA24,"可")&amp;"戸"</f>
        <v>可→2戸</v>
      </c>
      <c r="AB25" s="20" t="str">
        <f>"既存→"&amp;COUNTIF(AB5:AB24,"既存")&amp;"戸"</f>
        <v>既存→5戸</v>
      </c>
      <c r="AC25" s="130">
        <f>COUNTIF(AC5:AC24,"有")</f>
        <v>3</v>
      </c>
      <c r="AD25" s="130">
        <f>COUNTIF(AD5:AD24,"有")</f>
        <v>11</v>
      </c>
      <c r="AE25" s="20" t="str">
        <f>"ポリ板→"&amp;COUNTIF(AE5:AE24,"ポリ板")&amp;"戸"</f>
        <v>ポリ板→15戸</v>
      </c>
      <c r="AF25" s="20" t="str">
        <f>"ポリ板→"&amp;COUNTIF(AF5:AF24,"ポリ板")&amp;"戸"</f>
        <v>ポリ板→20戸</v>
      </c>
      <c r="AG25" s="20" t="str">
        <f>"既存→"&amp;COUNTIF(AG5:AG24,"既存")&amp;"戸"</f>
        <v>既存→1戸</v>
      </c>
      <c r="AH25" s="20" t="str">
        <f>"洗面所→"&amp;COUNTIF(AH5:AH24,"洗面所")&amp;"戸"</f>
        <v>洗面所→20戸</v>
      </c>
      <c r="AI25" s="130">
        <f>COUNTIF(AI5:AI24,"有")</f>
        <v>4</v>
      </c>
      <c r="AJ25" s="130">
        <f>COUNTIF(AJ5:AJ24,"有")</f>
        <v>7</v>
      </c>
      <c r="AK25" s="130">
        <f>COUNTIF(AK5:AK24,"有")</f>
        <v>8</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更新済み→1戸</v>
      </c>
      <c r="I26" s="35" t="str">
        <f>"珪藻土→"&amp;COUNTIF(I5:I24,"珪藻土")&amp;"戸"</f>
        <v>珪藻土→0戸</v>
      </c>
      <c r="J26" s="35" t="str">
        <f>"クロス→"&amp;COUNTIF(J5:J24,"クロス")&amp;"戸"</f>
        <v>クロス→1戸</v>
      </c>
      <c r="K26" s="35" t="str">
        <f>"タンクレス→"&amp;COUNTIF(K5:K24,"タンクレス")&amp;"戸"</f>
        <v>タンクレス→1戸</v>
      </c>
      <c r="L26" s="35" t="str">
        <f>"暖房便座→"&amp;COUNTIF(L5:L24,"暖房便座")&amp;"戸"</f>
        <v>暖房便座→2戸</v>
      </c>
      <c r="M26" s="35" t="str">
        <f>"無→"&amp;COUNTIF(M5:M24,"無")&amp;"戸"</f>
        <v>無→16戸</v>
      </c>
      <c r="N26" s="35" t="str">
        <f>"無→"&amp;COUNTIF(N5:N24,"無")&amp;"戸"</f>
        <v>無→17戸</v>
      </c>
      <c r="O26" s="35" t="str">
        <f>"無→"&amp;COUNTIF(O5:O24,"無")&amp;"戸"</f>
        <v>無→5戸</v>
      </c>
      <c r="P26" s="35" t="str">
        <f>"珪藻土→"&amp;COUNTIF(P5:P24,"珪藻土")&amp;"戸"</f>
        <v>珪藻土→0戸</v>
      </c>
      <c r="Q26" s="35" t="str">
        <f>"塩ビタイル→"&amp;COUNTIF(Q5:Q24,"塩ビタイル")&amp;"戸"</f>
        <v>塩ビタイル→0戸</v>
      </c>
      <c r="R26" s="35" t="str">
        <f>"900→"&amp;COUNTIF(R5:R24,"900")&amp;"戸"</f>
        <v>900→1戸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リフォーム済み→17戸</v>
      </c>
      <c r="Y26" s="35" t="str">
        <f>"LIXIL→"&amp;COUNTIF(Y5:Y24,"LIXIL")&amp;"戸"</f>
        <v>LIXIL→1戸</v>
      </c>
      <c r="Z26" s="131"/>
      <c r="AA26" s="35" t="str">
        <f>"不可→"&amp;COUNTIF(AA5:AA24,"不可")&amp;"戸"</f>
        <v>不可→18戸</v>
      </c>
      <c r="AB26" s="36" t="str">
        <f>"システム→"&amp;COUNTIF(AB5:AB24,"システム")&amp;"戸"</f>
        <v>システム→15戸</v>
      </c>
      <c r="AC26" s="131"/>
      <c r="AD26" s="131"/>
      <c r="AE26" s="35" t="str">
        <f>"SUS→"&amp;COUNTIF(AE5:AE24,"SUS")&amp;"戸"</f>
        <v>SUS→5戸</v>
      </c>
      <c r="AF26" s="35" t="str">
        <f>"SUS→"&amp;COUNTIF(AF5:AF24,"SUS")&amp;"戸"</f>
        <v>SUS→0戸</v>
      </c>
      <c r="AG26" s="35" t="str">
        <f>"リフォーム済み→"&amp;COUNTIF(AG5:AG24,"リフォーム済み")&amp;"戸"</f>
        <v>リフォーム済み→19戸</v>
      </c>
      <c r="AH26" s="35" t="str">
        <f>"ベランダ→"&amp;COUNTIF(AH5:AH24,"ベランダ")&amp;"戸"</f>
        <v>ベランダ→0戸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レストパル→1戸</v>
      </c>
      <c r="L27" s="35" t="str">
        <f>"WL→"&amp;COUNTIF(L5:L24,"WL")&amp;"戸"</f>
        <v>WL→15戸</v>
      </c>
      <c r="M27" s="23"/>
      <c r="N27" s="23"/>
      <c r="O27" s="23"/>
      <c r="P27" s="35" t="str">
        <f>"塗装→"&amp;COUNTIF(P5:P24,"塗装")&amp;"戸"</f>
        <v>塗装→0戸</v>
      </c>
      <c r="Q27" s="35" t="str">
        <f>"フローリング→"&amp;COUNTIF(Q5:Q24,"フローリング")&amp;"戸"</f>
        <v>フローリング→0戸</v>
      </c>
      <c r="R27" s="35" t="str">
        <f>"750→"&amp;COUNTIF(R5:R24,"750")&amp;"戸"</f>
        <v>750→14戸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35" t="str">
        <f>"空家→"&amp;COUNTIF(G5:G24,"空家")&amp;"戸"</f>
        <v>空家→4戸</v>
      </c>
      <c r="H28" s="39"/>
      <c r="I28" s="28"/>
      <c r="J28" s="27"/>
      <c r="K28" s="35" t="str">
        <f>"一体型→"&amp;COUNTIF(K5:K24,"一体型")&amp;"戸"</f>
        <v>一体型→0戸</v>
      </c>
      <c r="L28" s="28"/>
      <c r="M28" s="28"/>
      <c r="N28" s="28"/>
      <c r="O28" s="28"/>
      <c r="P28" s="28"/>
      <c r="Q28" s="28"/>
      <c r="R28" s="35" t="str">
        <f>"740→"&amp;COUNTIF(R5:R24,"740")&amp;"戸"</f>
        <v>740→2戸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1"/>
    </row>
    <row r="29" spans="1:43" s="2" customFormat="1" x14ac:dyDescent="0.4">
      <c r="A29" s="31"/>
      <c r="AI29" s="37"/>
      <c r="AJ29" s="37"/>
      <c r="AQ29" s="1"/>
    </row>
  </sheetData>
  <autoFilter ref="AI3:AK4" xr:uid="{75E57161-0FDA-446F-966D-D1A89849FBCA}"/>
  <mergeCells count="47">
    <mergeCell ref="AL21:AP21"/>
    <mergeCell ref="AL22:AP22"/>
    <mergeCell ref="AL23:AP23"/>
    <mergeCell ref="AL24:AP24"/>
    <mergeCell ref="A25:E28"/>
    <mergeCell ref="F25:F28"/>
    <mergeCell ref="AL25:AP28"/>
    <mergeCell ref="Z25:Z28"/>
    <mergeCell ref="AC25:AC28"/>
    <mergeCell ref="AI25:AI28"/>
    <mergeCell ref="AJ25:AJ28"/>
    <mergeCell ref="AK25:AK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5F26F957-191B-4E52-9BB5-3CCD83B35751}"/>
  </dataValidations>
  <printOptions horizontalCentered="1" verticalCentered="1"/>
  <pageMargins left="0.11811023622047245" right="0.11811023622047245" top="0.55118110236220474" bottom="0.19685039370078741" header="0.31496062992125984" footer="0.31496062992125984"/>
  <pageSetup paperSize="8" scale="48"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9D25A501-8246-4247-8E47-DE03D1BB0FB4}">
          <x14:formula1>
            <xm:f>Sheet1!$G$6:$G$7</xm:f>
          </x14:formula1>
          <xm:sqref>S5:S24 AA5:AA24</xm:sqref>
        </x14:dataValidation>
        <x14:dataValidation type="list" allowBlank="1" showInputMessage="1" showErrorMessage="1" xr:uid="{0C47C206-1E43-4B28-BBDB-A40EF1799C75}">
          <x14:formula1>
            <xm:f>Sheet1!$I$1:$I$2</xm:f>
          </x14:formula1>
          <xm:sqref>X5:X24</xm:sqref>
        </x14:dataValidation>
        <x14:dataValidation type="list" allowBlank="1" showInputMessage="1" showErrorMessage="1" xr:uid="{57573BB3-0BED-4DCB-9839-6BEA0FF84B6C}">
          <x14:formula1>
            <xm:f>Sheet1!$G$17:$G$18</xm:f>
          </x14:formula1>
          <xm:sqref>AH5:AH24</xm:sqref>
        </x14:dataValidation>
        <x14:dataValidation type="list" allowBlank="1" showInputMessage="1" showErrorMessage="1" xr:uid="{F334D414-7A04-44BD-A948-F85C04A1CD1A}">
          <x14:formula1>
            <xm:f>Sheet1!$E$17:$E$18</xm:f>
          </x14:formula1>
          <xm:sqref>AG5:AG24</xm:sqref>
        </x14:dataValidation>
        <x14:dataValidation type="list" allowBlank="1" showInputMessage="1" showErrorMessage="1" xr:uid="{B7D85ED4-CDB7-4805-BCA7-F35DB004204D}">
          <x14:formula1>
            <xm:f>Sheet1!$G$1:$G$4</xm:f>
          </x14:formula1>
          <xm:sqref>AE5:AF24</xm:sqref>
        </x14:dataValidation>
        <x14:dataValidation type="list" allowBlank="1" showInputMessage="1" showErrorMessage="1" xr:uid="{EED0F7BA-A106-4A3A-8282-E16B1CCDEB68}">
          <x14:formula1>
            <xm:f>Sheet1!$A$13:$A$15</xm:f>
          </x14:formula1>
          <xm:sqref>AB5:AB24</xm:sqref>
        </x14:dataValidation>
        <x14:dataValidation type="list" allowBlank="1" showInputMessage="1" showErrorMessage="1" xr:uid="{9A1E5EC1-09C4-4A47-B687-14375143D0A3}">
          <x14:formula1>
            <xm:f>Sheet1!$C$17:$C$20</xm:f>
          </x14:formula1>
          <xm:sqref>T5:T24</xm:sqref>
        </x14:dataValidation>
        <x14:dataValidation type="list" allowBlank="1" showInputMessage="1" showErrorMessage="1" xr:uid="{2DA92C30-8F97-4D55-979A-5A51532BB2FD}">
          <x14:formula1>
            <xm:f>Sheet1!$A$17:$A$20</xm:f>
          </x14:formula1>
          <xm:sqref>R5:R6 R16:R23 R9:R13</xm:sqref>
        </x14:dataValidation>
        <x14:dataValidation type="list" allowBlank="1" showInputMessage="1" showErrorMessage="1" xr:uid="{7B58DE11-BF92-4F26-961F-071A15C61596}">
          <x14:formula1>
            <xm:f>Sheet1!$C$6:$C$7</xm:f>
          </x14:formula1>
          <xm:sqref>U5:U24 M5:O24 AC5:AD24 AJ5:AK16 AJ18:AK24</xm:sqref>
        </x14:dataValidation>
        <x14:dataValidation type="list" allowBlank="1" showInputMessage="1" showErrorMessage="1" xr:uid="{A3126545-D236-4F81-9D6C-95D61EE486A4}">
          <x14:formula1>
            <xm:f>Sheet1!$E$9:$E$11</xm:f>
          </x14:formula1>
          <xm:sqref>L5:L24</xm:sqref>
        </x14:dataValidation>
        <x14:dataValidation type="list" allowBlank="1" showInputMessage="1" showErrorMessage="1" xr:uid="{72BB2123-691E-4BC7-ABBF-D646623BC30C}">
          <x14:formula1>
            <xm:f>Sheet1!$G$9:$G$12</xm:f>
          </x14:formula1>
          <xm:sqref>K5:K24</xm:sqref>
        </x14:dataValidation>
        <x14:dataValidation type="list" allowBlank="1" showInputMessage="1" showErrorMessage="1" xr:uid="{D5868C8B-DB3D-4BAA-B3C3-F17D5832A915}">
          <x14:formula1>
            <xm:f>Sheet1!$D$1:$D$3</xm:f>
          </x14:formula1>
          <xm:sqref>J5:J24</xm:sqref>
        </x14:dataValidation>
        <x14:dataValidation type="list" allowBlank="1" showInputMessage="1" showErrorMessage="1" xr:uid="{63CCC28E-9CE3-4DA4-8A12-F46BE7CC4D45}">
          <x14:formula1>
            <xm:f>Sheet1!$A$9:$A$11</xm:f>
          </x14:formula1>
          <xm:sqref>V5:V24 P5:P24 I5:I24</xm:sqref>
        </x14:dataValidation>
        <x14:dataValidation type="list" allowBlank="1" showInputMessage="1" showErrorMessage="1" xr:uid="{78D5CA53-6C1F-41FD-8FCC-96BAADD4B928}">
          <x14:formula1>
            <xm:f>Sheet1!$A$6:$A$7</xm:f>
          </x14:formula1>
          <xm:sqref>H5:H24</xm:sqref>
        </x14:dataValidation>
        <x14:dataValidation type="list" allowBlank="1" showInputMessage="1" showErrorMessage="1" xr:uid="{0D1079A8-0E34-4614-9CCC-16F428540D37}">
          <x14:formula1>
            <xm:f>Sheet1!$A$1:$A$4</xm:f>
          </x14:formula1>
          <xm:sqref>G5:G24</xm:sqref>
        </x14:dataValidation>
        <x14:dataValidation type="list" allowBlank="1" showInputMessage="1" showErrorMessage="1" xr:uid="{24A13F89-FA4B-425F-BE02-6D5DD42FA524}">
          <x14:formula1>
            <xm:f>Sheet1!$C$9:$C$11</xm:f>
          </x14:formula1>
          <xm:sqref>Q5:Q24 W5:W24</xm:sqref>
        </x14:dataValidation>
        <x14:dataValidation type="list" allowBlank="1" showInputMessage="1" showErrorMessage="1" xr:uid="{A2BFA717-8A30-4485-AA06-C3DBBF080E23}">
          <x14:formula1>
            <xm:f>Sheet1!$C$6:$C$8</xm:f>
          </x14:formula1>
          <xm:sqref>AI5:AI24 AJ17:AK17</xm:sqref>
        </x14:dataValidation>
        <x14:dataValidation type="list" allowBlank="1" showInputMessage="1" showErrorMessage="1" xr:uid="{7A88363F-2207-43EE-81FE-442726C61370}">
          <x14:formula1>
            <xm:f>Sheet1!$I$9:$I$13</xm:f>
          </x14:formula1>
          <xm:sqref>Y5:Y24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9CA5-022E-4595-A372-2B9EACF31C3B}">
  <sheetPr codeName="Sheet12">
    <tabColor theme="4" tint="0.39997558519241921"/>
  </sheetPr>
  <dimension ref="A1:AR39"/>
  <sheetViews>
    <sheetView view="pageBreakPreview" zoomScaleNormal="40" zoomScaleSheetLayoutView="70" workbookViewId="0">
      <pane xSplit="5" ySplit="4" topLeftCell="AI8" activePane="bottomRight" state="frozen"/>
      <selection activeCell="N11" sqref="N11"/>
      <selection pane="topRight" activeCell="N11" sqref="N11"/>
      <selection pane="bottomLeft" activeCell="N11" sqref="N11"/>
      <selection pane="bottomRight" activeCell="AI10" sqref="AI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3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4" s="10" customFormat="1" ht="15" customHeight="1" x14ac:dyDescent="0.4">
      <c r="A5" s="6">
        <v>12</v>
      </c>
      <c r="B5" s="6">
        <v>101</v>
      </c>
      <c r="C5" s="6" t="s">
        <v>80</v>
      </c>
      <c r="D5" s="18" t="s">
        <v>2050</v>
      </c>
      <c r="E5" s="32" t="s">
        <v>18</v>
      </c>
      <c r="F5" s="6" t="s">
        <v>2051</v>
      </c>
      <c r="G5" s="6" t="s">
        <v>43</v>
      </c>
      <c r="H5" s="6" t="s">
        <v>52</v>
      </c>
      <c r="I5" s="6" t="s">
        <v>84</v>
      </c>
      <c r="J5" s="6" t="s">
        <v>85</v>
      </c>
      <c r="K5" s="6" t="s">
        <v>60</v>
      </c>
      <c r="L5" s="6" t="s">
        <v>92</v>
      </c>
      <c r="M5" s="6" t="s">
        <v>45</v>
      </c>
      <c r="N5" s="6" t="s">
        <v>45</v>
      </c>
      <c r="O5" s="6" t="s">
        <v>45</v>
      </c>
      <c r="P5" s="6" t="s">
        <v>84</v>
      </c>
      <c r="Q5" s="6" t="s">
        <v>86</v>
      </c>
      <c r="R5" s="6">
        <v>750</v>
      </c>
      <c r="S5" s="16" t="s">
        <v>39</v>
      </c>
      <c r="T5" s="6">
        <v>900</v>
      </c>
      <c r="U5" s="6" t="s">
        <v>45</v>
      </c>
      <c r="V5" s="6" t="s">
        <v>84</v>
      </c>
      <c r="W5" s="6" t="s">
        <v>86</v>
      </c>
      <c r="X5" s="16" t="s">
        <v>60</v>
      </c>
      <c r="Y5" s="16" t="s">
        <v>141</v>
      </c>
      <c r="Z5" s="16"/>
      <c r="AA5" s="16" t="s">
        <v>39</v>
      </c>
      <c r="AB5" s="8" t="s">
        <v>19</v>
      </c>
      <c r="AC5" s="8" t="s">
        <v>45</v>
      </c>
      <c r="AD5" s="8" t="s">
        <v>45</v>
      </c>
      <c r="AE5" s="8" t="s">
        <v>116</v>
      </c>
      <c r="AF5" s="16" t="s">
        <v>50</v>
      </c>
      <c r="AG5" s="17" t="s">
        <v>60</v>
      </c>
      <c r="AH5" s="17" t="s">
        <v>62</v>
      </c>
      <c r="AI5" s="17" t="s">
        <v>45</v>
      </c>
      <c r="AJ5" s="17" t="s">
        <v>45</v>
      </c>
      <c r="AK5" s="9" t="s">
        <v>45</v>
      </c>
      <c r="AL5" s="140" t="s">
        <v>2052</v>
      </c>
      <c r="AM5" s="141"/>
      <c r="AN5" s="141"/>
      <c r="AO5" s="141"/>
      <c r="AP5" s="142"/>
    </row>
    <row r="6" spans="1:44" s="14" customFormat="1" ht="33.75" customHeight="1" x14ac:dyDescent="0.4">
      <c r="A6" s="11">
        <v>12</v>
      </c>
      <c r="B6" s="11">
        <v>201</v>
      </c>
      <c r="C6" s="11" t="s">
        <v>80</v>
      </c>
      <c r="D6" s="13" t="s">
        <v>2070</v>
      </c>
      <c r="E6" s="33" t="s">
        <v>18</v>
      </c>
      <c r="F6" s="11" t="s">
        <v>2071</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531</v>
      </c>
      <c r="Z6" s="40"/>
      <c r="AA6" s="40" t="s">
        <v>39</v>
      </c>
      <c r="AB6" s="40" t="s">
        <v>19</v>
      </c>
      <c r="AC6" s="11" t="s">
        <v>45</v>
      </c>
      <c r="AD6" s="11" t="s">
        <v>45</v>
      </c>
      <c r="AE6" s="11" t="s">
        <v>116</v>
      </c>
      <c r="AF6" s="11" t="s">
        <v>50</v>
      </c>
      <c r="AG6" s="13" t="s">
        <v>60</v>
      </c>
      <c r="AH6" s="13" t="s">
        <v>62</v>
      </c>
      <c r="AI6" s="13" t="s">
        <v>45</v>
      </c>
      <c r="AJ6" s="13" t="s">
        <v>23</v>
      </c>
      <c r="AK6" s="13" t="s">
        <v>45</v>
      </c>
      <c r="AL6" s="133" t="s">
        <v>2072</v>
      </c>
      <c r="AM6" s="134"/>
      <c r="AN6" s="134"/>
      <c r="AO6" s="134"/>
      <c r="AP6" s="135"/>
    </row>
    <row r="7" spans="1:44" s="10" customFormat="1" ht="37.5" customHeight="1" x14ac:dyDescent="0.4">
      <c r="A7" s="6">
        <v>12</v>
      </c>
      <c r="B7" s="6">
        <v>301</v>
      </c>
      <c r="C7" s="6" t="s">
        <v>80</v>
      </c>
      <c r="D7" s="18" t="s">
        <v>2053</v>
      </c>
      <c r="E7" s="34" t="s">
        <v>18</v>
      </c>
      <c r="F7" s="46" t="s">
        <v>2054</v>
      </c>
      <c r="G7" s="6" t="s">
        <v>43</v>
      </c>
      <c r="H7" s="6" t="s">
        <v>52</v>
      </c>
      <c r="I7" s="6" t="s">
        <v>84</v>
      </c>
      <c r="J7" s="6" t="s">
        <v>46</v>
      </c>
      <c r="K7" s="6" t="s">
        <v>37</v>
      </c>
      <c r="L7" s="6" t="s">
        <v>92</v>
      </c>
      <c r="M7" s="6" t="s">
        <v>45</v>
      </c>
      <c r="N7" s="6" t="s">
        <v>45</v>
      </c>
      <c r="O7" s="6" t="s">
        <v>23</v>
      </c>
      <c r="P7" s="6" t="s">
        <v>84</v>
      </c>
      <c r="Q7" s="6" t="s">
        <v>86</v>
      </c>
      <c r="R7" s="6">
        <v>1000</v>
      </c>
      <c r="S7" s="6" t="s">
        <v>39</v>
      </c>
      <c r="T7" s="6">
        <v>900</v>
      </c>
      <c r="U7" s="6" t="s">
        <v>45</v>
      </c>
      <c r="V7" s="6" t="s">
        <v>84</v>
      </c>
      <c r="W7" s="6" t="s">
        <v>86</v>
      </c>
      <c r="X7" s="6" t="s">
        <v>60</v>
      </c>
      <c r="Y7" s="6" t="s">
        <v>141</v>
      </c>
      <c r="Z7" s="6"/>
      <c r="AA7" s="6" t="s">
        <v>39</v>
      </c>
      <c r="AB7" s="6" t="s">
        <v>88</v>
      </c>
      <c r="AC7" s="16" t="s">
        <v>23</v>
      </c>
      <c r="AD7" s="16" t="s">
        <v>23</v>
      </c>
      <c r="AE7" s="16" t="s">
        <v>116</v>
      </c>
      <c r="AF7" s="16" t="s">
        <v>116</v>
      </c>
      <c r="AG7" s="17" t="s">
        <v>60</v>
      </c>
      <c r="AH7" s="17" t="s">
        <v>62</v>
      </c>
      <c r="AI7" s="17" t="s">
        <v>23</v>
      </c>
      <c r="AJ7" s="17" t="s">
        <v>45</v>
      </c>
      <c r="AK7" s="17" t="s">
        <v>23</v>
      </c>
      <c r="AL7" s="106" t="s">
        <v>2055</v>
      </c>
      <c r="AM7" s="107"/>
      <c r="AN7" s="107"/>
      <c r="AO7" s="107"/>
      <c r="AP7" s="108"/>
    </row>
    <row r="8" spans="1:44" s="14" customFormat="1" ht="47.25" customHeight="1" x14ac:dyDescent="0.4">
      <c r="A8" s="11">
        <v>12</v>
      </c>
      <c r="B8" s="11">
        <v>401</v>
      </c>
      <c r="C8" s="11" t="s">
        <v>80</v>
      </c>
      <c r="D8" s="13" t="s">
        <v>2076</v>
      </c>
      <c r="E8" s="33" t="s">
        <v>18</v>
      </c>
      <c r="F8" s="11" t="s">
        <v>2077</v>
      </c>
      <c r="G8" s="11" t="s">
        <v>43</v>
      </c>
      <c r="H8" s="11" t="s">
        <v>52</v>
      </c>
      <c r="I8" s="11" t="s">
        <v>84</v>
      </c>
      <c r="J8" s="11" t="s">
        <v>85</v>
      </c>
      <c r="K8" s="11" t="s">
        <v>60</v>
      </c>
      <c r="L8" s="11" t="s">
        <v>92</v>
      </c>
      <c r="M8" s="11" t="s">
        <v>45</v>
      </c>
      <c r="N8" s="11" t="s">
        <v>23</v>
      </c>
      <c r="O8" s="11" t="s">
        <v>45</v>
      </c>
      <c r="P8" s="11" t="s">
        <v>84</v>
      </c>
      <c r="Q8" s="11" t="s">
        <v>86</v>
      </c>
      <c r="R8" s="11">
        <v>750</v>
      </c>
      <c r="S8" s="40" t="s">
        <v>39</v>
      </c>
      <c r="T8" s="11">
        <v>900</v>
      </c>
      <c r="U8" s="11" t="s">
        <v>45</v>
      </c>
      <c r="V8" s="11" t="s">
        <v>84</v>
      </c>
      <c r="W8" s="11" t="s">
        <v>86</v>
      </c>
      <c r="X8" s="40" t="s">
        <v>60</v>
      </c>
      <c r="Y8" s="40" t="s">
        <v>87</v>
      </c>
      <c r="Z8" s="40" t="s">
        <v>2078</v>
      </c>
      <c r="AA8" s="40" t="s">
        <v>39</v>
      </c>
      <c r="AB8" s="40" t="s">
        <v>19</v>
      </c>
      <c r="AC8" s="11" t="s">
        <v>45</v>
      </c>
      <c r="AD8" s="11" t="s">
        <v>45</v>
      </c>
      <c r="AE8" s="11" t="s">
        <v>878</v>
      </c>
      <c r="AF8" s="11" t="s">
        <v>878</v>
      </c>
      <c r="AG8" s="13" t="s">
        <v>60</v>
      </c>
      <c r="AH8" s="13" t="s">
        <v>62</v>
      </c>
      <c r="AI8" s="13" t="s">
        <v>45</v>
      </c>
      <c r="AJ8" s="13" t="s">
        <v>23</v>
      </c>
      <c r="AK8" s="13" t="s">
        <v>23</v>
      </c>
      <c r="AL8" s="133" t="s">
        <v>2079</v>
      </c>
      <c r="AM8" s="134"/>
      <c r="AN8" s="134"/>
      <c r="AO8" s="134"/>
      <c r="AP8" s="135"/>
    </row>
    <row r="9" spans="1:44" s="10" customFormat="1" ht="44.25" customHeight="1" x14ac:dyDescent="0.4">
      <c r="A9" s="6">
        <v>12</v>
      </c>
      <c r="B9" s="6">
        <v>501</v>
      </c>
      <c r="C9" s="6" t="s">
        <v>80</v>
      </c>
      <c r="D9" s="18" t="s">
        <v>2044</v>
      </c>
      <c r="E9" s="34" t="s">
        <v>18</v>
      </c>
      <c r="F9" s="6" t="s">
        <v>2045</v>
      </c>
      <c r="G9" s="6" t="s">
        <v>43</v>
      </c>
      <c r="H9" s="6" t="s">
        <v>52</v>
      </c>
      <c r="I9" s="6" t="s">
        <v>84</v>
      </c>
      <c r="J9" s="6" t="s">
        <v>85</v>
      </c>
      <c r="K9" s="6" t="s">
        <v>60</v>
      </c>
      <c r="L9" s="6" t="s">
        <v>92</v>
      </c>
      <c r="M9" s="6" t="s">
        <v>45</v>
      </c>
      <c r="N9" s="6" t="s">
        <v>45</v>
      </c>
      <c r="O9" s="6" t="s">
        <v>23</v>
      </c>
      <c r="P9" s="6" t="s">
        <v>84</v>
      </c>
      <c r="Q9" s="6" t="s">
        <v>86</v>
      </c>
      <c r="R9" s="6" t="s">
        <v>2046</v>
      </c>
      <c r="S9" s="6" t="s">
        <v>39</v>
      </c>
      <c r="T9" s="6">
        <v>900</v>
      </c>
      <c r="U9" s="6" t="s">
        <v>23</v>
      </c>
      <c r="V9" s="6" t="s">
        <v>84</v>
      </c>
      <c r="W9" s="6" t="s">
        <v>86</v>
      </c>
      <c r="X9" s="6" t="s">
        <v>19</v>
      </c>
      <c r="Y9" s="6" t="s">
        <v>2047</v>
      </c>
      <c r="Z9" s="6"/>
      <c r="AA9" s="6" t="s">
        <v>39</v>
      </c>
      <c r="AB9" s="6" t="s">
        <v>88</v>
      </c>
      <c r="AC9" s="16" t="s">
        <v>45</v>
      </c>
      <c r="AD9" s="16" t="s">
        <v>45</v>
      </c>
      <c r="AE9" s="16" t="s">
        <v>50</v>
      </c>
      <c r="AF9" s="16" t="s">
        <v>50</v>
      </c>
      <c r="AG9" s="17" t="s">
        <v>60</v>
      </c>
      <c r="AH9" s="17" t="s">
        <v>96</v>
      </c>
      <c r="AI9" s="17" t="s">
        <v>45</v>
      </c>
      <c r="AJ9" s="17" t="s">
        <v>45</v>
      </c>
      <c r="AK9" s="17" t="s">
        <v>45</v>
      </c>
      <c r="AL9" s="106" t="s">
        <v>2048</v>
      </c>
      <c r="AM9" s="107"/>
      <c r="AN9" s="107"/>
      <c r="AO9" s="107"/>
      <c r="AP9" s="108"/>
    </row>
    <row r="10" spans="1:44" s="14" customFormat="1" ht="44.25" customHeight="1" x14ac:dyDescent="0.4">
      <c r="A10" s="11">
        <v>12</v>
      </c>
      <c r="B10" s="11">
        <v>102</v>
      </c>
      <c r="C10" s="11" t="s">
        <v>80</v>
      </c>
      <c r="D10" s="13" t="s">
        <v>2056</v>
      </c>
      <c r="E10" s="33" t="s">
        <v>18</v>
      </c>
      <c r="F10" s="11" t="s">
        <v>2057</v>
      </c>
      <c r="G10" s="11" t="s">
        <v>43</v>
      </c>
      <c r="H10" s="11" t="s">
        <v>52</v>
      </c>
      <c r="I10" s="11" t="s">
        <v>84</v>
      </c>
      <c r="J10" s="11" t="s">
        <v>85</v>
      </c>
      <c r="K10" s="11" t="s">
        <v>60</v>
      </c>
      <c r="L10" s="11" t="s">
        <v>92</v>
      </c>
      <c r="M10" s="11" t="s">
        <v>23</v>
      </c>
      <c r="N10" s="11" t="s">
        <v>45</v>
      </c>
      <c r="O10" s="11" t="s">
        <v>23</v>
      </c>
      <c r="P10" s="11" t="s">
        <v>84</v>
      </c>
      <c r="Q10" s="11" t="s">
        <v>86</v>
      </c>
      <c r="R10" s="11">
        <v>750</v>
      </c>
      <c r="S10" s="40" t="s">
        <v>39</v>
      </c>
      <c r="T10" s="11">
        <v>900</v>
      </c>
      <c r="U10" s="11" t="s">
        <v>45</v>
      </c>
      <c r="V10" s="11" t="s">
        <v>84</v>
      </c>
      <c r="W10" s="11" t="s">
        <v>86</v>
      </c>
      <c r="X10" s="40" t="s">
        <v>60</v>
      </c>
      <c r="Y10" s="40" t="s">
        <v>141</v>
      </c>
      <c r="Z10" s="40"/>
      <c r="AA10" s="40" t="s">
        <v>39</v>
      </c>
      <c r="AB10" s="40" t="s">
        <v>88</v>
      </c>
      <c r="AC10" s="11" t="s">
        <v>45</v>
      </c>
      <c r="AD10" s="11" t="s">
        <v>23</v>
      </c>
      <c r="AE10" s="11" t="s">
        <v>116</v>
      </c>
      <c r="AF10" s="11" t="s">
        <v>116</v>
      </c>
      <c r="AG10" s="13" t="s">
        <v>60</v>
      </c>
      <c r="AH10" s="13" t="s">
        <v>62</v>
      </c>
      <c r="AI10" s="13" t="s">
        <v>241</v>
      </c>
      <c r="AJ10" s="13" t="s">
        <v>23</v>
      </c>
      <c r="AK10" s="13" t="s">
        <v>45</v>
      </c>
      <c r="AL10" s="133" t="s">
        <v>2058</v>
      </c>
      <c r="AM10" s="134"/>
      <c r="AN10" s="134"/>
      <c r="AO10" s="134"/>
      <c r="AP10" s="135"/>
    </row>
    <row r="11" spans="1:44" s="10" customFormat="1" ht="45.75" customHeight="1" x14ac:dyDescent="0.4">
      <c r="A11" s="6">
        <v>12</v>
      </c>
      <c r="B11" s="6">
        <v>202</v>
      </c>
      <c r="C11" s="6" t="s">
        <v>80</v>
      </c>
      <c r="D11" s="18" t="s">
        <v>2722</v>
      </c>
      <c r="E11" s="34" t="s">
        <v>18</v>
      </c>
      <c r="F11" s="6" t="s">
        <v>2723</v>
      </c>
      <c r="G11" s="6" t="s">
        <v>43</v>
      </c>
      <c r="H11" s="6" t="s">
        <v>52</v>
      </c>
      <c r="I11" s="6" t="s">
        <v>84</v>
      </c>
      <c r="J11" s="6" t="s">
        <v>85</v>
      </c>
      <c r="K11" s="6" t="s">
        <v>60</v>
      </c>
      <c r="L11" s="6" t="s">
        <v>92</v>
      </c>
      <c r="M11" s="6" t="s">
        <v>45</v>
      </c>
      <c r="N11" s="6" t="s">
        <v>23</v>
      </c>
      <c r="O11" s="6" t="s">
        <v>23</v>
      </c>
      <c r="P11" s="6" t="s">
        <v>84</v>
      </c>
      <c r="Q11" s="6" t="s">
        <v>86</v>
      </c>
      <c r="R11" s="6">
        <v>750</v>
      </c>
      <c r="S11" s="6" t="s">
        <v>39</v>
      </c>
      <c r="T11" s="6">
        <v>900</v>
      </c>
      <c r="U11" s="6" t="s">
        <v>45</v>
      </c>
      <c r="V11" s="6" t="s">
        <v>84</v>
      </c>
      <c r="W11" s="6" t="s">
        <v>86</v>
      </c>
      <c r="X11" s="6" t="s">
        <v>60</v>
      </c>
      <c r="Y11" s="6" t="s">
        <v>141</v>
      </c>
      <c r="Z11" s="6"/>
      <c r="AA11" s="6" t="s">
        <v>39</v>
      </c>
      <c r="AB11" s="6" t="s">
        <v>19</v>
      </c>
      <c r="AC11" s="16" t="s">
        <v>45</v>
      </c>
      <c r="AD11" s="16" t="s">
        <v>45</v>
      </c>
      <c r="AE11" s="16" t="s">
        <v>116</v>
      </c>
      <c r="AF11" s="16" t="s">
        <v>50</v>
      </c>
      <c r="AG11" s="17" t="s">
        <v>60</v>
      </c>
      <c r="AH11" s="17" t="s">
        <v>62</v>
      </c>
      <c r="AI11" s="17" t="s">
        <v>45</v>
      </c>
      <c r="AJ11" s="17" t="s">
        <v>23</v>
      </c>
      <c r="AK11" s="17" t="s">
        <v>45</v>
      </c>
      <c r="AL11" s="106" t="s">
        <v>2724</v>
      </c>
      <c r="AM11" s="107"/>
      <c r="AN11" s="107"/>
      <c r="AO11" s="107"/>
      <c r="AP11" s="108"/>
    </row>
    <row r="12" spans="1:44" s="14" customFormat="1" ht="57.75" customHeight="1" x14ac:dyDescent="0.4">
      <c r="A12" s="11">
        <v>12</v>
      </c>
      <c r="B12" s="11">
        <v>302</v>
      </c>
      <c r="C12" s="11" t="s">
        <v>80</v>
      </c>
      <c r="D12" s="13" t="s">
        <v>2138</v>
      </c>
      <c r="E12" s="33" t="s">
        <v>18</v>
      </c>
      <c r="F12" s="45" t="s">
        <v>2139</v>
      </c>
      <c r="G12" s="11" t="s">
        <v>43</v>
      </c>
      <c r="H12" s="11" t="s">
        <v>52</v>
      </c>
      <c r="I12" s="11" t="s">
        <v>84</v>
      </c>
      <c r="J12" s="11" t="s">
        <v>85</v>
      </c>
      <c r="K12" s="11" t="s">
        <v>60</v>
      </c>
      <c r="L12" s="11" t="s">
        <v>92</v>
      </c>
      <c r="M12" s="11" t="s">
        <v>45</v>
      </c>
      <c r="N12" s="11" t="s">
        <v>45</v>
      </c>
      <c r="O12" s="11" t="s">
        <v>23</v>
      </c>
      <c r="P12" s="11" t="s">
        <v>84</v>
      </c>
      <c r="Q12" s="11" t="s">
        <v>86</v>
      </c>
      <c r="R12" s="11">
        <v>600</v>
      </c>
      <c r="S12" s="40" t="s">
        <v>39</v>
      </c>
      <c r="T12" s="11">
        <v>900</v>
      </c>
      <c r="U12" s="11" t="s">
        <v>45</v>
      </c>
      <c r="V12" s="11" t="s">
        <v>84</v>
      </c>
      <c r="W12" s="11" t="s">
        <v>86</v>
      </c>
      <c r="X12" s="40" t="s">
        <v>60</v>
      </c>
      <c r="Y12" s="40" t="s">
        <v>87</v>
      </c>
      <c r="Z12" s="40" t="s">
        <v>2140</v>
      </c>
      <c r="AA12" s="40" t="s">
        <v>39</v>
      </c>
      <c r="AB12" s="40" t="s">
        <v>88</v>
      </c>
      <c r="AC12" s="11" t="s">
        <v>23</v>
      </c>
      <c r="AD12" s="11" t="s">
        <v>23</v>
      </c>
      <c r="AE12" s="11" t="s">
        <v>50</v>
      </c>
      <c r="AF12" s="11" t="s">
        <v>50</v>
      </c>
      <c r="AG12" s="13" t="s">
        <v>60</v>
      </c>
      <c r="AH12" s="13" t="s">
        <v>62</v>
      </c>
      <c r="AI12" s="13" t="s">
        <v>45</v>
      </c>
      <c r="AJ12" s="13" t="s">
        <v>23</v>
      </c>
      <c r="AK12" s="13" t="s">
        <v>45</v>
      </c>
      <c r="AL12" s="133" t="s">
        <v>2141</v>
      </c>
      <c r="AM12" s="134"/>
      <c r="AN12" s="134"/>
      <c r="AO12" s="134"/>
      <c r="AP12" s="135"/>
    </row>
    <row r="13" spans="1:44" s="10" customFormat="1" ht="41.25" customHeight="1" x14ac:dyDescent="0.4">
      <c r="A13" s="6">
        <v>12</v>
      </c>
      <c r="B13" s="6">
        <v>402</v>
      </c>
      <c r="C13" s="6" t="s">
        <v>80</v>
      </c>
      <c r="D13" s="18" t="s">
        <v>2063</v>
      </c>
      <c r="E13" s="34" t="s">
        <v>18</v>
      </c>
      <c r="F13" s="6" t="s">
        <v>2064</v>
      </c>
      <c r="G13" s="6" t="s">
        <v>40</v>
      </c>
      <c r="H13" s="6" t="s">
        <v>52</v>
      </c>
      <c r="I13" s="6" t="s">
        <v>84</v>
      </c>
      <c r="J13" s="6" t="s">
        <v>85</v>
      </c>
      <c r="K13" s="6" t="s">
        <v>60</v>
      </c>
      <c r="L13" s="6" t="s">
        <v>92</v>
      </c>
      <c r="M13" s="6" t="s">
        <v>23</v>
      </c>
      <c r="N13" s="6" t="s">
        <v>23</v>
      </c>
      <c r="O13" s="6" t="s">
        <v>45</v>
      </c>
      <c r="P13" s="6" t="s">
        <v>84</v>
      </c>
      <c r="Q13" s="6" t="s">
        <v>86</v>
      </c>
      <c r="R13" s="6">
        <v>750</v>
      </c>
      <c r="S13" s="6" t="s">
        <v>39</v>
      </c>
      <c r="T13" s="6">
        <v>800</v>
      </c>
      <c r="U13" s="6" t="s">
        <v>45</v>
      </c>
      <c r="V13" s="6" t="s">
        <v>84</v>
      </c>
      <c r="W13" s="6" t="s">
        <v>86</v>
      </c>
      <c r="X13" s="6" t="s">
        <v>60</v>
      </c>
      <c r="Y13" s="6" t="s">
        <v>141</v>
      </c>
      <c r="Z13" s="6"/>
      <c r="AA13" s="6" t="s">
        <v>39</v>
      </c>
      <c r="AB13" s="6" t="s">
        <v>88</v>
      </c>
      <c r="AC13" s="16" t="s">
        <v>23</v>
      </c>
      <c r="AD13" s="16" t="s">
        <v>45</v>
      </c>
      <c r="AE13" s="16" t="s">
        <v>116</v>
      </c>
      <c r="AF13" s="16" t="s">
        <v>50</v>
      </c>
      <c r="AG13" s="17" t="s">
        <v>60</v>
      </c>
      <c r="AH13" s="17" t="s">
        <v>62</v>
      </c>
      <c r="AI13" s="17" t="s">
        <v>45</v>
      </c>
      <c r="AJ13" s="17" t="s">
        <v>23</v>
      </c>
      <c r="AK13" s="17" t="s">
        <v>45</v>
      </c>
      <c r="AL13" s="106" t="s">
        <v>2065</v>
      </c>
      <c r="AM13" s="107"/>
      <c r="AN13" s="107"/>
      <c r="AO13" s="107"/>
      <c r="AP13" s="108"/>
    </row>
    <row r="14" spans="1:44" s="14" customFormat="1" ht="48.75" customHeight="1" x14ac:dyDescent="0.4">
      <c r="A14" s="11">
        <v>12</v>
      </c>
      <c r="B14" s="11">
        <v>502</v>
      </c>
      <c r="C14" s="11" t="s">
        <v>80</v>
      </c>
      <c r="D14" s="13" t="s">
        <v>2613</v>
      </c>
      <c r="E14" s="33" t="s">
        <v>18</v>
      </c>
      <c r="F14" s="11" t="s">
        <v>2614</v>
      </c>
      <c r="G14" s="11" t="s">
        <v>43</v>
      </c>
      <c r="H14" s="11" t="s">
        <v>52</v>
      </c>
      <c r="I14" s="11" t="s">
        <v>84</v>
      </c>
      <c r="J14" s="11" t="s">
        <v>85</v>
      </c>
      <c r="K14" s="11" t="s">
        <v>60</v>
      </c>
      <c r="L14" s="11" t="s">
        <v>92</v>
      </c>
      <c r="M14" s="11" t="s">
        <v>45</v>
      </c>
      <c r="N14" s="11" t="s">
        <v>45</v>
      </c>
      <c r="O14" s="11" t="s">
        <v>45</v>
      </c>
      <c r="P14" s="11" t="s">
        <v>84</v>
      </c>
      <c r="Q14" s="11" t="s">
        <v>86</v>
      </c>
      <c r="R14" s="11">
        <v>750</v>
      </c>
      <c r="S14" s="40" t="s">
        <v>39</v>
      </c>
      <c r="T14" s="11">
        <v>900</v>
      </c>
      <c r="U14" s="11" t="s">
        <v>45</v>
      </c>
      <c r="V14" s="11" t="s">
        <v>84</v>
      </c>
      <c r="W14" s="11" t="s">
        <v>86</v>
      </c>
      <c r="X14" s="40" t="s">
        <v>60</v>
      </c>
      <c r="Y14" s="40" t="s">
        <v>87</v>
      </c>
      <c r="Z14" s="40" t="s">
        <v>2615</v>
      </c>
      <c r="AA14" s="40" t="s">
        <v>39</v>
      </c>
      <c r="AB14" s="40" t="s">
        <v>88</v>
      </c>
      <c r="AC14" s="11" t="s">
        <v>23</v>
      </c>
      <c r="AD14" s="11" t="s">
        <v>23</v>
      </c>
      <c r="AE14" s="11" t="s">
        <v>50</v>
      </c>
      <c r="AF14" s="11" t="s">
        <v>50</v>
      </c>
      <c r="AG14" s="13" t="s">
        <v>60</v>
      </c>
      <c r="AH14" s="13" t="s">
        <v>62</v>
      </c>
      <c r="AI14" s="13" t="s">
        <v>45</v>
      </c>
      <c r="AJ14" s="13" t="s">
        <v>45</v>
      </c>
      <c r="AK14" s="13" t="s">
        <v>45</v>
      </c>
      <c r="AL14" s="133" t="s">
        <v>2616</v>
      </c>
      <c r="AM14" s="134"/>
      <c r="AN14" s="134"/>
      <c r="AO14" s="134"/>
      <c r="AP14" s="135"/>
    </row>
    <row r="15" spans="1:44" s="10" customFormat="1" ht="42.75" customHeight="1" x14ac:dyDescent="0.4">
      <c r="A15" s="6">
        <v>12</v>
      </c>
      <c r="B15" s="6">
        <v>103</v>
      </c>
      <c r="C15" s="6" t="s">
        <v>80</v>
      </c>
      <c r="D15" s="18" t="s">
        <v>2096</v>
      </c>
      <c r="E15" s="34" t="s">
        <v>18</v>
      </c>
      <c r="F15" s="6" t="s">
        <v>2097</v>
      </c>
      <c r="G15" s="6" t="s">
        <v>43</v>
      </c>
      <c r="H15" s="6" t="s">
        <v>52</v>
      </c>
      <c r="I15" s="6" t="s">
        <v>84</v>
      </c>
      <c r="J15" s="6" t="s">
        <v>85</v>
      </c>
      <c r="K15" s="6" t="s">
        <v>60</v>
      </c>
      <c r="L15" s="6" t="s">
        <v>92</v>
      </c>
      <c r="M15" s="6" t="s">
        <v>23</v>
      </c>
      <c r="N15" s="6" t="s">
        <v>45</v>
      </c>
      <c r="O15" s="6" t="s">
        <v>23</v>
      </c>
      <c r="P15" s="6" t="s">
        <v>84</v>
      </c>
      <c r="Q15" s="6" t="s">
        <v>86</v>
      </c>
      <c r="R15" s="6" t="s">
        <v>2098</v>
      </c>
      <c r="S15" s="6" t="s">
        <v>39</v>
      </c>
      <c r="T15" s="6">
        <v>900</v>
      </c>
      <c r="U15" s="6" t="s">
        <v>45</v>
      </c>
      <c r="V15" s="6" t="s">
        <v>84</v>
      </c>
      <c r="W15" s="6" t="s">
        <v>86</v>
      </c>
      <c r="X15" s="6" t="s">
        <v>60</v>
      </c>
      <c r="Y15" s="6" t="s">
        <v>141</v>
      </c>
      <c r="Z15" s="6"/>
      <c r="AA15" s="6" t="s">
        <v>39</v>
      </c>
      <c r="AB15" s="6" t="s">
        <v>88</v>
      </c>
      <c r="AC15" s="16" t="s">
        <v>23</v>
      </c>
      <c r="AD15" s="16" t="s">
        <v>23</v>
      </c>
      <c r="AE15" s="16" t="s">
        <v>50</v>
      </c>
      <c r="AF15" s="16" t="s">
        <v>50</v>
      </c>
      <c r="AG15" s="17" t="s">
        <v>60</v>
      </c>
      <c r="AH15" s="17" t="s">
        <v>62</v>
      </c>
      <c r="AI15" s="17" t="s">
        <v>45</v>
      </c>
      <c r="AJ15" s="17" t="s">
        <v>23</v>
      </c>
      <c r="AK15" s="17" t="s">
        <v>45</v>
      </c>
      <c r="AL15" s="106" t="s">
        <v>2099</v>
      </c>
      <c r="AM15" s="107"/>
      <c r="AN15" s="107"/>
      <c r="AO15" s="107"/>
      <c r="AP15" s="108"/>
    </row>
    <row r="16" spans="1:44" s="14" customFormat="1" ht="55.5" customHeight="1" x14ac:dyDescent="0.4">
      <c r="A16" s="11">
        <v>12</v>
      </c>
      <c r="B16" s="11">
        <v>203</v>
      </c>
      <c r="C16" s="11" t="s">
        <v>80</v>
      </c>
      <c r="D16" s="13" t="s">
        <v>2725</v>
      </c>
      <c r="E16" s="33" t="s">
        <v>18</v>
      </c>
      <c r="F16" s="45" t="s">
        <v>2726</v>
      </c>
      <c r="G16" s="11" t="s">
        <v>43</v>
      </c>
      <c r="H16" s="11" t="s">
        <v>52</v>
      </c>
      <c r="I16" s="11" t="s">
        <v>84</v>
      </c>
      <c r="J16" s="11" t="s">
        <v>85</v>
      </c>
      <c r="K16" s="11" t="s">
        <v>60</v>
      </c>
      <c r="L16" s="11" t="s">
        <v>92</v>
      </c>
      <c r="M16" s="11" t="s">
        <v>45</v>
      </c>
      <c r="N16" s="11" t="s">
        <v>45</v>
      </c>
      <c r="O16" s="11" t="s">
        <v>45</v>
      </c>
      <c r="P16" s="11" t="s">
        <v>1767</v>
      </c>
      <c r="Q16" s="11" t="s">
        <v>2727</v>
      </c>
      <c r="R16" s="11">
        <v>730</v>
      </c>
      <c r="S16" s="40" t="s">
        <v>39</v>
      </c>
      <c r="T16" s="11">
        <v>800</v>
      </c>
      <c r="U16" s="11" t="s">
        <v>45</v>
      </c>
      <c r="V16" s="11" t="s">
        <v>1767</v>
      </c>
      <c r="W16" s="11" t="s">
        <v>86</v>
      </c>
      <c r="X16" s="40" t="s">
        <v>60</v>
      </c>
      <c r="Y16" s="40" t="s">
        <v>87</v>
      </c>
      <c r="Z16" s="40" t="s">
        <v>2728</v>
      </c>
      <c r="AA16" s="40" t="s">
        <v>39</v>
      </c>
      <c r="AB16" s="40" t="s">
        <v>88</v>
      </c>
      <c r="AC16" s="11" t="s">
        <v>45</v>
      </c>
      <c r="AD16" s="11" t="s">
        <v>23</v>
      </c>
      <c r="AE16" s="11" t="s">
        <v>50</v>
      </c>
      <c r="AF16" s="11" t="s">
        <v>50</v>
      </c>
      <c r="AG16" s="13" t="s">
        <v>60</v>
      </c>
      <c r="AH16" s="13" t="s">
        <v>62</v>
      </c>
      <c r="AI16" s="13" t="s">
        <v>45</v>
      </c>
      <c r="AJ16" s="13" t="s">
        <v>23</v>
      </c>
      <c r="AK16" s="13" t="s">
        <v>45</v>
      </c>
      <c r="AL16" s="133" t="s">
        <v>2729</v>
      </c>
      <c r="AM16" s="134"/>
      <c r="AN16" s="134"/>
      <c r="AO16" s="134"/>
      <c r="AP16" s="135"/>
    </row>
    <row r="17" spans="1:42" s="10" customFormat="1" ht="55.5" customHeight="1" x14ac:dyDescent="0.4">
      <c r="A17" s="6">
        <v>12</v>
      </c>
      <c r="B17" s="6">
        <v>303</v>
      </c>
      <c r="C17" s="6" t="s">
        <v>80</v>
      </c>
      <c r="D17" s="18" t="s">
        <v>2080</v>
      </c>
      <c r="E17" s="34" t="s">
        <v>18</v>
      </c>
      <c r="F17" s="6" t="s">
        <v>2081</v>
      </c>
      <c r="G17" s="6" t="s">
        <v>43</v>
      </c>
      <c r="H17" s="6" t="s">
        <v>52</v>
      </c>
      <c r="I17" s="6" t="s">
        <v>84</v>
      </c>
      <c r="J17" s="6" t="s">
        <v>85</v>
      </c>
      <c r="K17" s="6" t="s">
        <v>60</v>
      </c>
      <c r="L17" s="6" t="s">
        <v>92</v>
      </c>
      <c r="M17" s="6" t="s">
        <v>45</v>
      </c>
      <c r="N17" s="6" t="s">
        <v>23</v>
      </c>
      <c r="O17" s="6" t="s">
        <v>45</v>
      </c>
      <c r="P17" s="6" t="s">
        <v>84</v>
      </c>
      <c r="Q17" s="6" t="s">
        <v>86</v>
      </c>
      <c r="R17" s="6">
        <v>750</v>
      </c>
      <c r="S17" s="6" t="s">
        <v>39</v>
      </c>
      <c r="T17" s="6">
        <v>900</v>
      </c>
      <c r="U17" s="6" t="s">
        <v>45</v>
      </c>
      <c r="V17" s="6" t="s">
        <v>84</v>
      </c>
      <c r="W17" s="6" t="s">
        <v>86</v>
      </c>
      <c r="X17" s="6" t="s">
        <v>60</v>
      </c>
      <c r="Y17" s="6" t="s">
        <v>141</v>
      </c>
      <c r="Z17" s="6"/>
      <c r="AA17" s="6" t="s">
        <v>39</v>
      </c>
      <c r="AB17" s="6" t="s">
        <v>88</v>
      </c>
      <c r="AC17" s="16" t="s">
        <v>45</v>
      </c>
      <c r="AD17" s="16" t="s">
        <v>45</v>
      </c>
      <c r="AE17" s="16" t="s">
        <v>50</v>
      </c>
      <c r="AF17" s="16" t="s">
        <v>50</v>
      </c>
      <c r="AG17" s="17" t="s">
        <v>60</v>
      </c>
      <c r="AH17" s="17" t="s">
        <v>62</v>
      </c>
      <c r="AI17" s="17" t="s">
        <v>23</v>
      </c>
      <c r="AJ17" s="17" t="s">
        <v>45</v>
      </c>
      <c r="AK17" s="17" t="s">
        <v>45</v>
      </c>
      <c r="AL17" s="106" t="s">
        <v>2082</v>
      </c>
      <c r="AM17" s="107"/>
      <c r="AN17" s="107"/>
      <c r="AO17" s="107"/>
      <c r="AP17" s="108"/>
    </row>
    <row r="18" spans="1:42" s="14" customFormat="1" ht="15" customHeight="1" x14ac:dyDescent="0.4">
      <c r="A18" s="11">
        <v>12</v>
      </c>
      <c r="B18" s="11">
        <v>403</v>
      </c>
      <c r="C18" s="11" t="s">
        <v>80</v>
      </c>
      <c r="D18" s="13" t="s">
        <v>2083</v>
      </c>
      <c r="E18" s="33" t="s">
        <v>18</v>
      </c>
      <c r="F18" s="11" t="s">
        <v>2084</v>
      </c>
      <c r="G18" s="11" t="s">
        <v>43</v>
      </c>
      <c r="H18" s="11" t="s">
        <v>52</v>
      </c>
      <c r="I18" s="11" t="s">
        <v>84</v>
      </c>
      <c r="J18" s="11" t="s">
        <v>85</v>
      </c>
      <c r="K18" s="11" t="s">
        <v>60</v>
      </c>
      <c r="L18" s="11" t="s">
        <v>92</v>
      </c>
      <c r="M18" s="11" t="s">
        <v>23</v>
      </c>
      <c r="N18" s="11" t="s">
        <v>45</v>
      </c>
      <c r="O18" s="11" t="s">
        <v>23</v>
      </c>
      <c r="P18" s="11" t="s">
        <v>84</v>
      </c>
      <c r="Q18" s="11" t="s">
        <v>86</v>
      </c>
      <c r="R18" s="11" t="s">
        <v>2085</v>
      </c>
      <c r="S18" s="40" t="s">
        <v>39</v>
      </c>
      <c r="T18" s="11">
        <v>900</v>
      </c>
      <c r="U18" s="11" t="s">
        <v>45</v>
      </c>
      <c r="V18" s="11" t="s">
        <v>84</v>
      </c>
      <c r="W18" s="11" t="s">
        <v>86</v>
      </c>
      <c r="X18" s="40" t="s">
        <v>60</v>
      </c>
      <c r="Y18" s="40" t="s">
        <v>141</v>
      </c>
      <c r="Z18" s="40"/>
      <c r="AA18" s="40" t="s">
        <v>39</v>
      </c>
      <c r="AB18" s="40" t="s">
        <v>88</v>
      </c>
      <c r="AC18" s="11" t="s">
        <v>23</v>
      </c>
      <c r="AD18" s="11" t="s">
        <v>23</v>
      </c>
      <c r="AE18" s="11" t="s">
        <v>50</v>
      </c>
      <c r="AF18" s="11" t="s">
        <v>50</v>
      </c>
      <c r="AG18" s="13" t="s">
        <v>60</v>
      </c>
      <c r="AH18" s="13" t="s">
        <v>62</v>
      </c>
      <c r="AI18" s="13" t="s">
        <v>45</v>
      </c>
      <c r="AJ18" s="13" t="s">
        <v>45</v>
      </c>
      <c r="AK18" s="13" t="s">
        <v>45</v>
      </c>
      <c r="AL18" s="133" t="s">
        <v>2086</v>
      </c>
      <c r="AM18" s="134"/>
      <c r="AN18" s="134"/>
      <c r="AO18" s="134"/>
      <c r="AP18" s="135"/>
    </row>
    <row r="19" spans="1:42" s="10" customFormat="1" ht="69" customHeight="1" x14ac:dyDescent="0.4">
      <c r="A19" s="6">
        <v>12</v>
      </c>
      <c r="B19" s="6">
        <v>503</v>
      </c>
      <c r="C19" s="6" t="s">
        <v>80</v>
      </c>
      <c r="D19" s="18" t="s">
        <v>2292</v>
      </c>
      <c r="E19" s="34" t="s">
        <v>18</v>
      </c>
      <c r="F19" s="6" t="s">
        <v>2293</v>
      </c>
      <c r="G19" s="6" t="s">
        <v>43</v>
      </c>
      <c r="H19" s="6" t="s">
        <v>52</v>
      </c>
      <c r="I19" s="6" t="s">
        <v>84</v>
      </c>
      <c r="J19" s="6" t="s">
        <v>85</v>
      </c>
      <c r="K19" s="6" t="s">
        <v>60</v>
      </c>
      <c r="L19" s="6" t="s">
        <v>92</v>
      </c>
      <c r="M19" s="6" t="s">
        <v>45</v>
      </c>
      <c r="N19" s="6" t="s">
        <v>45</v>
      </c>
      <c r="O19" s="6" t="s">
        <v>45</v>
      </c>
      <c r="P19" s="6" t="s">
        <v>84</v>
      </c>
      <c r="Q19" s="6" t="s">
        <v>86</v>
      </c>
      <c r="R19" s="6">
        <v>750</v>
      </c>
      <c r="S19" s="6" t="s">
        <v>39</v>
      </c>
      <c r="T19" s="6">
        <v>900</v>
      </c>
      <c r="U19" s="6" t="s">
        <v>45</v>
      </c>
      <c r="V19" s="6" t="s">
        <v>84</v>
      </c>
      <c r="W19" s="6" t="s">
        <v>86</v>
      </c>
      <c r="X19" s="6" t="s">
        <v>60</v>
      </c>
      <c r="Y19" s="6" t="s">
        <v>87</v>
      </c>
      <c r="Z19" s="6" t="s">
        <v>2294</v>
      </c>
      <c r="AA19" s="6" t="s">
        <v>39</v>
      </c>
      <c r="AB19" s="6" t="s">
        <v>88</v>
      </c>
      <c r="AC19" s="16" t="s">
        <v>23</v>
      </c>
      <c r="AD19" s="16" t="s">
        <v>45</v>
      </c>
      <c r="AE19" s="16" t="s">
        <v>50</v>
      </c>
      <c r="AF19" s="16" t="s">
        <v>50</v>
      </c>
      <c r="AG19" s="17" t="s">
        <v>60</v>
      </c>
      <c r="AH19" s="17" t="s">
        <v>62</v>
      </c>
      <c r="AI19" s="17" t="s">
        <v>241</v>
      </c>
      <c r="AJ19" s="17" t="s">
        <v>45</v>
      </c>
      <c r="AK19" s="17" t="s">
        <v>45</v>
      </c>
      <c r="AL19" s="106" t="s">
        <v>2295</v>
      </c>
      <c r="AM19" s="107"/>
      <c r="AN19" s="107"/>
      <c r="AO19" s="107"/>
      <c r="AP19" s="108"/>
    </row>
    <row r="20" spans="1:42" s="14" customFormat="1" ht="39.75" customHeight="1" x14ac:dyDescent="0.4">
      <c r="A20" s="11">
        <v>12</v>
      </c>
      <c r="B20" s="11">
        <v>104</v>
      </c>
      <c r="C20" s="11" t="s">
        <v>80</v>
      </c>
      <c r="D20" s="13" t="s">
        <v>2100</v>
      </c>
      <c r="E20" s="33" t="s">
        <v>18</v>
      </c>
      <c r="F20" s="11" t="s">
        <v>2101</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87</v>
      </c>
      <c r="Z20" s="40" t="s">
        <v>2102</v>
      </c>
      <c r="AA20" s="40" t="s">
        <v>39</v>
      </c>
      <c r="AB20" s="40" t="s">
        <v>88</v>
      </c>
      <c r="AC20" s="11" t="s">
        <v>45</v>
      </c>
      <c r="AD20" s="11" t="s">
        <v>23</v>
      </c>
      <c r="AE20" s="11" t="s">
        <v>50</v>
      </c>
      <c r="AF20" s="11" t="s">
        <v>50</v>
      </c>
      <c r="AG20" s="13" t="s">
        <v>60</v>
      </c>
      <c r="AH20" s="13" t="s">
        <v>62</v>
      </c>
      <c r="AI20" s="13" t="s">
        <v>45</v>
      </c>
      <c r="AJ20" s="13" t="s">
        <v>45</v>
      </c>
      <c r="AK20" s="13" t="s">
        <v>45</v>
      </c>
      <c r="AL20" s="133" t="s">
        <v>2103</v>
      </c>
      <c r="AM20" s="134"/>
      <c r="AN20" s="134"/>
      <c r="AO20" s="134"/>
      <c r="AP20" s="135"/>
    </row>
    <row r="21" spans="1:42" s="10" customFormat="1" ht="46.5" customHeight="1" x14ac:dyDescent="0.4">
      <c r="A21" s="6">
        <v>12</v>
      </c>
      <c r="B21" s="6">
        <v>204</v>
      </c>
      <c r="C21" s="6" t="s">
        <v>80</v>
      </c>
      <c r="D21" s="18" t="s">
        <v>2104</v>
      </c>
      <c r="E21" s="34" t="s">
        <v>18</v>
      </c>
      <c r="F21" s="6" t="s">
        <v>2105</v>
      </c>
      <c r="G21" s="6" t="s">
        <v>43</v>
      </c>
      <c r="H21" s="6" t="s">
        <v>52</v>
      </c>
      <c r="I21" s="6" t="s">
        <v>84</v>
      </c>
      <c r="J21" s="6" t="s">
        <v>85</v>
      </c>
      <c r="K21" s="6" t="s">
        <v>60</v>
      </c>
      <c r="L21" s="6" t="s">
        <v>92</v>
      </c>
      <c r="M21" s="6" t="s">
        <v>45</v>
      </c>
      <c r="N21" s="6" t="s">
        <v>45</v>
      </c>
      <c r="O21" s="6" t="s">
        <v>23</v>
      </c>
      <c r="P21" s="6" t="s">
        <v>84</v>
      </c>
      <c r="Q21" s="6" t="s">
        <v>86</v>
      </c>
      <c r="R21" s="48"/>
      <c r="S21" s="48"/>
      <c r="T21" s="6">
        <v>640</v>
      </c>
      <c r="U21" s="6" t="s">
        <v>45</v>
      </c>
      <c r="V21" s="6" t="s">
        <v>84</v>
      </c>
      <c r="W21" s="6" t="s">
        <v>86</v>
      </c>
      <c r="X21" s="6" t="s">
        <v>60</v>
      </c>
      <c r="Y21" s="6" t="s">
        <v>141</v>
      </c>
      <c r="Z21" s="6"/>
      <c r="AA21" s="6" t="s">
        <v>65</v>
      </c>
      <c r="AB21" s="6" t="s">
        <v>19</v>
      </c>
      <c r="AC21" s="16" t="s">
        <v>45</v>
      </c>
      <c r="AD21" s="16" t="s">
        <v>45</v>
      </c>
      <c r="AE21" s="16" t="s">
        <v>116</v>
      </c>
      <c r="AF21" s="16" t="s">
        <v>50</v>
      </c>
      <c r="AG21" s="17" t="s">
        <v>60</v>
      </c>
      <c r="AH21" s="17" t="s">
        <v>62</v>
      </c>
      <c r="AI21" s="17" t="s">
        <v>45</v>
      </c>
      <c r="AJ21" s="17" t="s">
        <v>45</v>
      </c>
      <c r="AK21" s="17" t="s">
        <v>23</v>
      </c>
      <c r="AL21" s="106" t="s">
        <v>2106</v>
      </c>
      <c r="AM21" s="107"/>
      <c r="AN21" s="107"/>
      <c r="AO21" s="107"/>
      <c r="AP21" s="108"/>
    </row>
    <row r="22" spans="1:42" s="14" customFormat="1" ht="48" customHeight="1" x14ac:dyDescent="0.4">
      <c r="A22" s="11">
        <v>12</v>
      </c>
      <c r="B22" s="11">
        <v>304</v>
      </c>
      <c r="C22" s="11" t="s">
        <v>80</v>
      </c>
      <c r="D22" s="13" t="s">
        <v>2087</v>
      </c>
      <c r="E22" s="33" t="s">
        <v>18</v>
      </c>
      <c r="F22" s="11" t="s">
        <v>2088</v>
      </c>
      <c r="G22" s="11" t="s">
        <v>43</v>
      </c>
      <c r="H22" s="11" t="s">
        <v>52</v>
      </c>
      <c r="I22" s="11" t="s">
        <v>84</v>
      </c>
      <c r="J22" s="11" t="s">
        <v>85</v>
      </c>
      <c r="K22" s="11" t="s">
        <v>37</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2089</v>
      </c>
      <c r="Z22" s="40"/>
      <c r="AA22" s="40" t="s">
        <v>65</v>
      </c>
      <c r="AB22" s="40" t="s">
        <v>88</v>
      </c>
      <c r="AC22" s="11" t="s">
        <v>23</v>
      </c>
      <c r="AD22" s="11" t="s">
        <v>23</v>
      </c>
      <c r="AE22" s="11" t="s">
        <v>50</v>
      </c>
      <c r="AF22" s="11" t="s">
        <v>50</v>
      </c>
      <c r="AG22" s="13" t="s">
        <v>19</v>
      </c>
      <c r="AH22" s="13" t="s">
        <v>62</v>
      </c>
      <c r="AI22" s="13" t="s">
        <v>45</v>
      </c>
      <c r="AJ22" s="13" t="s">
        <v>45</v>
      </c>
      <c r="AK22" s="13" t="s">
        <v>45</v>
      </c>
      <c r="AL22" s="133" t="s">
        <v>2090</v>
      </c>
      <c r="AM22" s="134"/>
      <c r="AN22" s="134"/>
      <c r="AO22" s="134"/>
      <c r="AP22" s="135"/>
    </row>
    <row r="23" spans="1:42" s="10" customFormat="1" ht="52.5" customHeight="1" x14ac:dyDescent="0.4">
      <c r="A23" s="6">
        <v>12</v>
      </c>
      <c r="B23" s="6">
        <v>404</v>
      </c>
      <c r="C23" s="6" t="s">
        <v>80</v>
      </c>
      <c r="D23" s="18"/>
      <c r="E23" s="34" t="s">
        <v>2092</v>
      </c>
      <c r="F23" s="6"/>
      <c r="G23" s="6"/>
      <c r="H23" s="6"/>
      <c r="I23" s="6"/>
      <c r="J23" s="6"/>
      <c r="K23" s="6"/>
      <c r="L23" s="6"/>
      <c r="M23" s="6"/>
      <c r="N23" s="6"/>
      <c r="O23" s="6"/>
      <c r="P23" s="6"/>
      <c r="Q23" s="6"/>
      <c r="R23" s="6"/>
      <c r="S23" s="6"/>
      <c r="T23" s="6"/>
      <c r="U23" s="6"/>
      <c r="V23" s="6"/>
      <c r="W23" s="6"/>
      <c r="X23" s="6"/>
      <c r="Y23" s="6"/>
      <c r="Z23" s="6"/>
      <c r="AA23" s="6"/>
      <c r="AB23" s="6"/>
      <c r="AC23" s="16"/>
      <c r="AD23" s="16"/>
      <c r="AE23" s="16"/>
      <c r="AF23" s="16"/>
      <c r="AG23" s="17"/>
      <c r="AH23" s="17"/>
      <c r="AI23" s="17"/>
      <c r="AJ23" s="17"/>
      <c r="AK23" s="17"/>
      <c r="AL23" s="106"/>
      <c r="AM23" s="107"/>
      <c r="AN23" s="107"/>
      <c r="AO23" s="107"/>
      <c r="AP23" s="108"/>
    </row>
    <row r="24" spans="1:42" s="14" customFormat="1" ht="52.5" customHeight="1" x14ac:dyDescent="0.4">
      <c r="A24" s="11">
        <v>12</v>
      </c>
      <c r="B24" s="11">
        <v>504</v>
      </c>
      <c r="C24" s="11" t="s">
        <v>80</v>
      </c>
      <c r="D24" s="13" t="s">
        <v>2091</v>
      </c>
      <c r="E24" s="33" t="s">
        <v>18</v>
      </c>
      <c r="F24" s="11" t="s">
        <v>2093</v>
      </c>
      <c r="G24" s="11" t="s">
        <v>43</v>
      </c>
      <c r="H24" s="11" t="s">
        <v>52</v>
      </c>
      <c r="I24" s="11" t="s">
        <v>84</v>
      </c>
      <c r="J24" s="11" t="s">
        <v>85</v>
      </c>
      <c r="K24" s="11" t="s">
        <v>19</v>
      </c>
      <c r="L24" s="11" t="s">
        <v>92</v>
      </c>
      <c r="M24" s="11" t="s">
        <v>45</v>
      </c>
      <c r="N24" s="11" t="s">
        <v>23</v>
      </c>
      <c r="O24" s="11" t="s">
        <v>23</v>
      </c>
      <c r="P24" s="11" t="s">
        <v>84</v>
      </c>
      <c r="Q24" s="11" t="s">
        <v>86</v>
      </c>
      <c r="R24" s="11">
        <v>750</v>
      </c>
      <c r="S24" s="40" t="s">
        <v>39</v>
      </c>
      <c r="T24" s="11">
        <v>900</v>
      </c>
      <c r="U24" s="11" t="s">
        <v>45</v>
      </c>
      <c r="V24" s="11" t="s">
        <v>84</v>
      </c>
      <c r="W24" s="11" t="s">
        <v>86</v>
      </c>
      <c r="X24" s="40" t="s">
        <v>60</v>
      </c>
      <c r="Y24" s="40" t="s">
        <v>87</v>
      </c>
      <c r="Z24" s="40" t="s">
        <v>2094</v>
      </c>
      <c r="AA24" s="40" t="s">
        <v>39</v>
      </c>
      <c r="AB24" s="40" t="s">
        <v>19</v>
      </c>
      <c r="AC24" s="11" t="s">
        <v>45</v>
      </c>
      <c r="AD24" s="11" t="s">
        <v>45</v>
      </c>
      <c r="AE24" s="11" t="s">
        <v>50</v>
      </c>
      <c r="AF24" s="11" t="s">
        <v>50</v>
      </c>
      <c r="AG24" s="13" t="s">
        <v>60</v>
      </c>
      <c r="AH24" s="13" t="s">
        <v>62</v>
      </c>
      <c r="AI24" s="13" t="s">
        <v>45</v>
      </c>
      <c r="AJ24" s="13" t="s">
        <v>45</v>
      </c>
      <c r="AK24" s="13" t="s">
        <v>45</v>
      </c>
      <c r="AL24" s="133" t="s">
        <v>2095</v>
      </c>
      <c r="AM24" s="134"/>
      <c r="AN24" s="134"/>
      <c r="AO24" s="134"/>
      <c r="AP24" s="135"/>
    </row>
    <row r="25" spans="1:42" s="10" customFormat="1" ht="41.25" customHeight="1" x14ac:dyDescent="0.4">
      <c r="A25" s="6">
        <v>12</v>
      </c>
      <c r="B25" s="6">
        <v>105</v>
      </c>
      <c r="C25" s="6" t="s">
        <v>80</v>
      </c>
      <c r="D25" s="18" t="s">
        <v>2147</v>
      </c>
      <c r="E25" s="34" t="s">
        <v>18</v>
      </c>
      <c r="F25" s="18" t="s">
        <v>2148</v>
      </c>
      <c r="G25" s="6" t="s">
        <v>43</v>
      </c>
      <c r="H25" s="6" t="s">
        <v>52</v>
      </c>
      <c r="I25" s="6" t="s">
        <v>84</v>
      </c>
      <c r="J25" s="6" t="s">
        <v>85</v>
      </c>
      <c r="K25" s="6" t="s">
        <v>60</v>
      </c>
      <c r="L25" s="6" t="s">
        <v>92</v>
      </c>
      <c r="M25" s="6" t="s">
        <v>45</v>
      </c>
      <c r="N25" s="6" t="s">
        <v>45</v>
      </c>
      <c r="O25" s="6" t="s">
        <v>45</v>
      </c>
      <c r="P25" s="6" t="s">
        <v>84</v>
      </c>
      <c r="Q25" s="6" t="s">
        <v>86</v>
      </c>
      <c r="R25" s="6">
        <v>750</v>
      </c>
      <c r="S25" s="6" t="s">
        <v>39</v>
      </c>
      <c r="T25" s="6">
        <v>900</v>
      </c>
      <c r="U25" s="6" t="s">
        <v>45</v>
      </c>
      <c r="V25" s="6" t="s">
        <v>84</v>
      </c>
      <c r="W25" s="6" t="s">
        <v>86</v>
      </c>
      <c r="X25" s="6" t="s">
        <v>60</v>
      </c>
      <c r="Y25" s="6" t="s">
        <v>87</v>
      </c>
      <c r="Z25" s="6" t="s">
        <v>2149</v>
      </c>
      <c r="AA25" s="6" t="s">
        <v>39</v>
      </c>
      <c r="AB25" s="6" t="s">
        <v>88</v>
      </c>
      <c r="AC25" s="16" t="s">
        <v>45</v>
      </c>
      <c r="AD25" s="16" t="s">
        <v>23</v>
      </c>
      <c r="AE25" s="16" t="s">
        <v>50</v>
      </c>
      <c r="AF25" s="16" t="s">
        <v>50</v>
      </c>
      <c r="AG25" s="17" t="s">
        <v>60</v>
      </c>
      <c r="AH25" s="17" t="s">
        <v>62</v>
      </c>
      <c r="AI25" s="17" t="s">
        <v>45</v>
      </c>
      <c r="AJ25" s="17" t="s">
        <v>45</v>
      </c>
      <c r="AK25" s="17" t="s">
        <v>45</v>
      </c>
      <c r="AL25" s="106" t="s">
        <v>2150</v>
      </c>
      <c r="AM25" s="107"/>
      <c r="AN25" s="107"/>
      <c r="AO25" s="107"/>
      <c r="AP25" s="108"/>
    </row>
    <row r="26" spans="1:42" s="14" customFormat="1" ht="72.75" customHeight="1" x14ac:dyDescent="0.4">
      <c r="A26" s="11">
        <v>12</v>
      </c>
      <c r="B26" s="11">
        <v>205</v>
      </c>
      <c r="C26" s="11" t="s">
        <v>80</v>
      </c>
      <c r="D26" s="13" t="s">
        <v>2119</v>
      </c>
      <c r="E26" s="33" t="s">
        <v>18</v>
      </c>
      <c r="F26" s="11" t="s">
        <v>2120</v>
      </c>
      <c r="G26" s="11" t="s">
        <v>43</v>
      </c>
      <c r="H26" s="11" t="s">
        <v>52</v>
      </c>
      <c r="I26" s="11" t="s">
        <v>84</v>
      </c>
      <c r="J26" s="11" t="s">
        <v>85</v>
      </c>
      <c r="K26" s="11" t="s">
        <v>60</v>
      </c>
      <c r="L26" s="11" t="s">
        <v>92</v>
      </c>
      <c r="M26" s="11" t="s">
        <v>45</v>
      </c>
      <c r="N26" s="11" t="s">
        <v>23</v>
      </c>
      <c r="O26" s="11" t="s">
        <v>23</v>
      </c>
      <c r="P26" s="11" t="s">
        <v>2121</v>
      </c>
      <c r="Q26" s="11" t="s">
        <v>86</v>
      </c>
      <c r="R26" s="11">
        <v>750</v>
      </c>
      <c r="S26" s="40" t="s">
        <v>39</v>
      </c>
      <c r="T26" s="11">
        <v>900</v>
      </c>
      <c r="U26" s="11" t="s">
        <v>45</v>
      </c>
      <c r="V26" s="11" t="s">
        <v>84</v>
      </c>
      <c r="W26" s="11" t="s">
        <v>86</v>
      </c>
      <c r="X26" s="40" t="s">
        <v>60</v>
      </c>
      <c r="Y26" s="40" t="s">
        <v>141</v>
      </c>
      <c r="Z26" s="40"/>
      <c r="AA26" s="40" t="s">
        <v>39</v>
      </c>
      <c r="AB26" s="40" t="s">
        <v>88</v>
      </c>
      <c r="AC26" s="11" t="s">
        <v>23</v>
      </c>
      <c r="AD26" s="11" t="s">
        <v>23</v>
      </c>
      <c r="AE26" s="11" t="s">
        <v>50</v>
      </c>
      <c r="AF26" s="11" t="s">
        <v>50</v>
      </c>
      <c r="AG26" s="13" t="s">
        <v>60</v>
      </c>
      <c r="AH26" s="13" t="s">
        <v>62</v>
      </c>
      <c r="AI26" s="13" t="s">
        <v>241</v>
      </c>
      <c r="AJ26" s="13" t="s">
        <v>45</v>
      </c>
      <c r="AK26" s="13" t="s">
        <v>23</v>
      </c>
      <c r="AL26" s="133" t="s">
        <v>2125</v>
      </c>
      <c r="AM26" s="134"/>
      <c r="AN26" s="134"/>
      <c r="AO26" s="134"/>
      <c r="AP26" s="135"/>
    </row>
    <row r="27" spans="1:42" s="10" customFormat="1" ht="57.75" customHeight="1" x14ac:dyDescent="0.4">
      <c r="A27" s="6">
        <v>12</v>
      </c>
      <c r="B27" s="6">
        <v>305</v>
      </c>
      <c r="C27" s="6" t="s">
        <v>80</v>
      </c>
      <c r="D27" s="18" t="s">
        <v>2122</v>
      </c>
      <c r="E27" s="34" t="s">
        <v>18</v>
      </c>
      <c r="F27" s="6" t="s">
        <v>2123</v>
      </c>
      <c r="G27" s="6" t="s">
        <v>43</v>
      </c>
      <c r="H27" s="6" t="s">
        <v>52</v>
      </c>
      <c r="I27" s="6" t="s">
        <v>84</v>
      </c>
      <c r="J27" s="6" t="s">
        <v>85</v>
      </c>
      <c r="K27" s="6" t="s">
        <v>60</v>
      </c>
      <c r="L27" s="6" t="s">
        <v>92</v>
      </c>
      <c r="M27" s="6" t="s">
        <v>45</v>
      </c>
      <c r="N27" s="6" t="s">
        <v>23</v>
      </c>
      <c r="O27" s="6" t="s">
        <v>23</v>
      </c>
      <c r="P27" s="6" t="s">
        <v>2121</v>
      </c>
      <c r="Q27" s="6" t="s">
        <v>86</v>
      </c>
      <c r="R27" s="6">
        <v>750</v>
      </c>
      <c r="S27" s="6" t="s">
        <v>39</v>
      </c>
      <c r="T27" s="6">
        <v>900</v>
      </c>
      <c r="U27" s="6" t="s">
        <v>45</v>
      </c>
      <c r="V27" s="6" t="s">
        <v>84</v>
      </c>
      <c r="W27" s="6" t="s">
        <v>86</v>
      </c>
      <c r="X27" s="6" t="s">
        <v>60</v>
      </c>
      <c r="Y27" s="6" t="s">
        <v>141</v>
      </c>
      <c r="Z27" s="6"/>
      <c r="AA27" s="6" t="s">
        <v>39</v>
      </c>
      <c r="AB27" s="6" t="s">
        <v>88</v>
      </c>
      <c r="AC27" s="16" t="s">
        <v>45</v>
      </c>
      <c r="AD27" s="16" t="s">
        <v>23</v>
      </c>
      <c r="AE27" s="16" t="s">
        <v>50</v>
      </c>
      <c r="AF27" s="16" t="s">
        <v>50</v>
      </c>
      <c r="AG27" s="17" t="s">
        <v>60</v>
      </c>
      <c r="AH27" s="17" t="s">
        <v>62</v>
      </c>
      <c r="AI27" s="17" t="s">
        <v>241</v>
      </c>
      <c r="AJ27" s="17" t="s">
        <v>45</v>
      </c>
      <c r="AK27" s="17" t="s">
        <v>45</v>
      </c>
      <c r="AL27" s="106" t="s">
        <v>2124</v>
      </c>
      <c r="AM27" s="107"/>
      <c r="AN27" s="107"/>
      <c r="AO27" s="107"/>
      <c r="AP27" s="108"/>
    </row>
    <row r="28" spans="1:42" s="14" customFormat="1" ht="56.25" customHeight="1" x14ac:dyDescent="0.4">
      <c r="A28" s="11">
        <v>12</v>
      </c>
      <c r="B28" s="11">
        <v>405</v>
      </c>
      <c r="C28" s="11" t="s">
        <v>80</v>
      </c>
      <c r="D28" s="13" t="s">
        <v>2126</v>
      </c>
      <c r="E28" s="33" t="s">
        <v>18</v>
      </c>
      <c r="F28" s="11" t="s">
        <v>2127</v>
      </c>
      <c r="G28" s="11" t="s">
        <v>43</v>
      </c>
      <c r="H28" s="11" t="s">
        <v>52</v>
      </c>
      <c r="I28" s="11" t="s">
        <v>84</v>
      </c>
      <c r="J28" s="11" t="s">
        <v>85</v>
      </c>
      <c r="K28" s="11" t="s">
        <v>60</v>
      </c>
      <c r="L28" s="11" t="s">
        <v>92</v>
      </c>
      <c r="M28" s="11" t="s">
        <v>45</v>
      </c>
      <c r="N28" s="11" t="s">
        <v>45</v>
      </c>
      <c r="O28" s="11" t="s">
        <v>23</v>
      </c>
      <c r="P28" s="11" t="s">
        <v>84</v>
      </c>
      <c r="Q28" s="11" t="s">
        <v>86</v>
      </c>
      <c r="R28" s="11">
        <v>750</v>
      </c>
      <c r="S28" s="40" t="s">
        <v>39</v>
      </c>
      <c r="T28" s="11">
        <v>900</v>
      </c>
      <c r="U28" s="11" t="s">
        <v>45</v>
      </c>
      <c r="V28" s="11" t="s">
        <v>84</v>
      </c>
      <c r="W28" s="11" t="s">
        <v>86</v>
      </c>
      <c r="X28" s="40" t="s">
        <v>60</v>
      </c>
      <c r="Y28" s="40" t="s">
        <v>87</v>
      </c>
      <c r="Z28" s="40" t="s">
        <v>2128</v>
      </c>
      <c r="AA28" s="40" t="s">
        <v>39</v>
      </c>
      <c r="AB28" s="40" t="s">
        <v>88</v>
      </c>
      <c r="AC28" s="11" t="s">
        <v>45</v>
      </c>
      <c r="AD28" s="11" t="s">
        <v>45</v>
      </c>
      <c r="AE28" s="11" t="s">
        <v>50</v>
      </c>
      <c r="AF28" s="11" t="s">
        <v>50</v>
      </c>
      <c r="AG28" s="13" t="s">
        <v>60</v>
      </c>
      <c r="AH28" s="13" t="s">
        <v>62</v>
      </c>
      <c r="AI28" s="13" t="s">
        <v>45</v>
      </c>
      <c r="AJ28" s="13" t="s">
        <v>45</v>
      </c>
      <c r="AK28" s="13" t="s">
        <v>23</v>
      </c>
      <c r="AL28" s="133" t="s">
        <v>2129</v>
      </c>
      <c r="AM28" s="134"/>
      <c r="AN28" s="134"/>
      <c r="AO28" s="134"/>
      <c r="AP28" s="135"/>
    </row>
    <row r="29" spans="1:42" s="10" customFormat="1" ht="47.25" customHeight="1" x14ac:dyDescent="0.4">
      <c r="A29" s="6">
        <v>12</v>
      </c>
      <c r="B29" s="6">
        <v>505</v>
      </c>
      <c r="C29" s="6" t="s">
        <v>80</v>
      </c>
      <c r="D29" s="18" t="s">
        <v>2107</v>
      </c>
      <c r="E29" s="34" t="s">
        <v>18</v>
      </c>
      <c r="F29" s="6" t="s">
        <v>2108</v>
      </c>
      <c r="G29" s="6" t="s">
        <v>43</v>
      </c>
      <c r="H29" s="6" t="s">
        <v>52</v>
      </c>
      <c r="I29" s="6" t="s">
        <v>84</v>
      </c>
      <c r="J29" s="6" t="s">
        <v>85</v>
      </c>
      <c r="K29" s="6" t="s">
        <v>60</v>
      </c>
      <c r="L29" s="6" t="s">
        <v>92</v>
      </c>
      <c r="M29" s="6" t="s">
        <v>45</v>
      </c>
      <c r="N29" s="6" t="s">
        <v>45</v>
      </c>
      <c r="O29" s="6" t="s">
        <v>45</v>
      </c>
      <c r="P29" s="6" t="s">
        <v>84</v>
      </c>
      <c r="Q29" s="6" t="s">
        <v>86</v>
      </c>
      <c r="R29" s="6">
        <v>750</v>
      </c>
      <c r="S29" s="6" t="s">
        <v>39</v>
      </c>
      <c r="T29" s="6">
        <v>900</v>
      </c>
      <c r="U29" s="6" t="s">
        <v>45</v>
      </c>
      <c r="V29" s="6" t="s">
        <v>84</v>
      </c>
      <c r="W29" s="6" t="s">
        <v>86</v>
      </c>
      <c r="X29" s="6" t="s">
        <v>60</v>
      </c>
      <c r="Y29" s="6" t="s">
        <v>87</v>
      </c>
      <c r="Z29" s="6" t="s">
        <v>2109</v>
      </c>
      <c r="AA29" s="6" t="s">
        <v>39</v>
      </c>
      <c r="AB29" s="6" t="s">
        <v>88</v>
      </c>
      <c r="AC29" s="16" t="s">
        <v>45</v>
      </c>
      <c r="AD29" s="16" t="s">
        <v>23</v>
      </c>
      <c r="AE29" s="16" t="s">
        <v>50</v>
      </c>
      <c r="AF29" s="16" t="s">
        <v>50</v>
      </c>
      <c r="AG29" s="17" t="s">
        <v>60</v>
      </c>
      <c r="AH29" s="17" t="s">
        <v>62</v>
      </c>
      <c r="AI29" s="17" t="s">
        <v>23</v>
      </c>
      <c r="AJ29" s="17" t="s">
        <v>45</v>
      </c>
      <c r="AK29" s="17" t="s">
        <v>45</v>
      </c>
      <c r="AL29" s="106" t="s">
        <v>2110</v>
      </c>
      <c r="AM29" s="107"/>
      <c r="AN29" s="107"/>
      <c r="AO29" s="107"/>
      <c r="AP29" s="108"/>
    </row>
    <row r="30" spans="1:42" s="14" customFormat="1" ht="38.25" customHeight="1" x14ac:dyDescent="0.4">
      <c r="A30" s="11">
        <v>12</v>
      </c>
      <c r="B30" s="11">
        <v>106</v>
      </c>
      <c r="C30" s="11" t="s">
        <v>80</v>
      </c>
      <c r="D30" s="13" t="s">
        <v>2135</v>
      </c>
      <c r="E30" s="33" t="s">
        <v>18</v>
      </c>
      <c r="F30" s="45" t="s">
        <v>2136</v>
      </c>
      <c r="G30" s="11" t="s">
        <v>43</v>
      </c>
      <c r="H30" s="11" t="s">
        <v>52</v>
      </c>
      <c r="I30" s="11" t="s">
        <v>84</v>
      </c>
      <c r="J30" s="11" t="s">
        <v>85</v>
      </c>
      <c r="K30" s="11" t="s">
        <v>60</v>
      </c>
      <c r="L30" s="11" t="s">
        <v>92</v>
      </c>
      <c r="M30" s="11" t="s">
        <v>45</v>
      </c>
      <c r="N30" s="11" t="s">
        <v>45</v>
      </c>
      <c r="O30" s="11" t="s">
        <v>23</v>
      </c>
      <c r="P30" s="11" t="s">
        <v>84</v>
      </c>
      <c r="Q30" s="11" t="s">
        <v>86</v>
      </c>
      <c r="R30" s="11">
        <v>750</v>
      </c>
      <c r="S30" s="40" t="s">
        <v>39</v>
      </c>
      <c r="T30" s="11">
        <v>900</v>
      </c>
      <c r="U30" s="11" t="s">
        <v>45</v>
      </c>
      <c r="V30" s="11" t="s">
        <v>84</v>
      </c>
      <c r="W30" s="11" t="s">
        <v>86</v>
      </c>
      <c r="X30" s="40" t="s">
        <v>60</v>
      </c>
      <c r="Y30" s="40" t="s">
        <v>141</v>
      </c>
      <c r="Z30" s="40"/>
      <c r="AA30" s="40" t="s">
        <v>39</v>
      </c>
      <c r="AB30" s="40" t="s">
        <v>88</v>
      </c>
      <c r="AC30" s="11" t="s">
        <v>45</v>
      </c>
      <c r="AD30" s="11" t="s">
        <v>23</v>
      </c>
      <c r="AE30" s="11" t="s">
        <v>50</v>
      </c>
      <c r="AF30" s="11" t="s">
        <v>50</v>
      </c>
      <c r="AG30" s="13" t="s">
        <v>60</v>
      </c>
      <c r="AH30" s="13" t="s">
        <v>62</v>
      </c>
      <c r="AI30" s="13" t="s">
        <v>23</v>
      </c>
      <c r="AJ30" s="13" t="s">
        <v>45</v>
      </c>
      <c r="AK30" s="13" t="s">
        <v>23</v>
      </c>
      <c r="AL30" s="133" t="s">
        <v>2137</v>
      </c>
      <c r="AM30" s="134"/>
      <c r="AN30" s="134"/>
      <c r="AO30" s="134"/>
      <c r="AP30" s="135"/>
    </row>
    <row r="31" spans="1:42" s="10" customFormat="1" ht="36.75" customHeight="1" x14ac:dyDescent="0.4">
      <c r="A31" s="6">
        <v>12</v>
      </c>
      <c r="B31" s="6">
        <v>206</v>
      </c>
      <c r="C31" s="6" t="s">
        <v>80</v>
      </c>
      <c r="D31" s="18" t="s">
        <v>2414</v>
      </c>
      <c r="E31" s="34" t="s">
        <v>18</v>
      </c>
      <c r="F31" s="6" t="s">
        <v>2415</v>
      </c>
      <c r="G31" s="6" t="s">
        <v>43</v>
      </c>
      <c r="H31" s="6" t="s">
        <v>52</v>
      </c>
      <c r="I31" s="6" t="s">
        <v>84</v>
      </c>
      <c r="J31" s="6" t="s">
        <v>85</v>
      </c>
      <c r="K31" s="6" t="s">
        <v>60</v>
      </c>
      <c r="L31" s="6" t="s">
        <v>92</v>
      </c>
      <c r="M31" s="6" t="s">
        <v>45</v>
      </c>
      <c r="N31" s="6" t="s">
        <v>23</v>
      </c>
      <c r="O31" s="6" t="s">
        <v>23</v>
      </c>
      <c r="P31" s="6" t="s">
        <v>84</v>
      </c>
      <c r="Q31" s="6" t="s">
        <v>86</v>
      </c>
      <c r="R31" s="6">
        <v>750</v>
      </c>
      <c r="S31" s="6" t="s">
        <v>39</v>
      </c>
      <c r="T31" s="6">
        <v>900</v>
      </c>
      <c r="U31" s="6" t="s">
        <v>45</v>
      </c>
      <c r="V31" s="6" t="s">
        <v>84</v>
      </c>
      <c r="W31" s="6" t="s">
        <v>86</v>
      </c>
      <c r="X31" s="6" t="s">
        <v>60</v>
      </c>
      <c r="Y31" s="6" t="s">
        <v>344</v>
      </c>
      <c r="Z31" s="46" t="s">
        <v>2416</v>
      </c>
      <c r="AA31" s="6" t="s">
        <v>39</v>
      </c>
      <c r="AB31" s="6" t="s">
        <v>88</v>
      </c>
      <c r="AC31" s="16" t="s">
        <v>45</v>
      </c>
      <c r="AD31" s="16" t="s">
        <v>45</v>
      </c>
      <c r="AE31" s="16" t="s">
        <v>50</v>
      </c>
      <c r="AF31" s="16" t="s">
        <v>50</v>
      </c>
      <c r="AG31" s="17" t="s">
        <v>60</v>
      </c>
      <c r="AH31" s="17" t="s">
        <v>62</v>
      </c>
      <c r="AI31" s="17" t="s">
        <v>23</v>
      </c>
      <c r="AJ31" s="17" t="s">
        <v>45</v>
      </c>
      <c r="AK31" s="17" t="s">
        <v>23</v>
      </c>
      <c r="AL31" s="106" t="s">
        <v>2417</v>
      </c>
      <c r="AM31" s="107"/>
      <c r="AN31" s="107"/>
      <c r="AO31" s="107"/>
      <c r="AP31" s="108"/>
    </row>
    <row r="32" spans="1:42" s="14" customFormat="1" ht="40.5" customHeight="1" x14ac:dyDescent="0.4">
      <c r="A32" s="11">
        <v>12</v>
      </c>
      <c r="B32" s="11">
        <v>306</v>
      </c>
      <c r="C32" s="11" t="s">
        <v>80</v>
      </c>
      <c r="D32" s="13" t="s">
        <v>2130</v>
      </c>
      <c r="E32" s="33" t="s">
        <v>18</v>
      </c>
      <c r="F32" s="11" t="s">
        <v>2131</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60</v>
      </c>
      <c r="Y32" s="40" t="s">
        <v>531</v>
      </c>
      <c r="Z32" s="40"/>
      <c r="AA32" s="40" t="s">
        <v>39</v>
      </c>
      <c r="AB32" s="40" t="s">
        <v>19</v>
      </c>
      <c r="AC32" s="11" t="s">
        <v>45</v>
      </c>
      <c r="AD32" s="11" t="s">
        <v>45</v>
      </c>
      <c r="AE32" s="11" t="s">
        <v>116</v>
      </c>
      <c r="AF32" s="11" t="s">
        <v>50</v>
      </c>
      <c r="AG32" s="13" t="s">
        <v>60</v>
      </c>
      <c r="AH32" s="13" t="s">
        <v>62</v>
      </c>
      <c r="AI32" s="13" t="s">
        <v>45</v>
      </c>
      <c r="AJ32" s="13" t="s">
        <v>23</v>
      </c>
      <c r="AK32" s="13" t="s">
        <v>23</v>
      </c>
      <c r="AL32" s="133" t="s">
        <v>2748</v>
      </c>
      <c r="AM32" s="134"/>
      <c r="AN32" s="134"/>
      <c r="AO32" s="134"/>
      <c r="AP32" s="135"/>
    </row>
    <row r="33" spans="1:43" s="10" customFormat="1" ht="15" customHeight="1" x14ac:dyDescent="0.4">
      <c r="A33" s="6">
        <v>12</v>
      </c>
      <c r="B33" s="6">
        <v>406</v>
      </c>
      <c r="C33" s="6" t="s">
        <v>80</v>
      </c>
      <c r="D33" s="18" t="s">
        <v>2132</v>
      </c>
      <c r="E33" s="34" t="s">
        <v>18</v>
      </c>
      <c r="F33" s="6" t="s">
        <v>2133</v>
      </c>
      <c r="G33" s="6" t="s">
        <v>40</v>
      </c>
      <c r="H33" s="6" t="s">
        <v>52</v>
      </c>
      <c r="I33" s="6"/>
      <c r="J33" s="6"/>
      <c r="K33" s="6"/>
      <c r="L33" s="6"/>
      <c r="M33" s="6"/>
      <c r="N33" s="6"/>
      <c r="O33" s="6"/>
      <c r="P33" s="6"/>
      <c r="Q33" s="6"/>
      <c r="R33" s="6"/>
      <c r="S33" s="6"/>
      <c r="T33" s="6"/>
      <c r="U33" s="6"/>
      <c r="V33" s="6"/>
      <c r="W33" s="6"/>
      <c r="X33" s="6"/>
      <c r="Y33" s="6"/>
      <c r="Z33" s="6"/>
      <c r="AA33" s="6"/>
      <c r="AB33" s="6"/>
      <c r="AC33" s="16"/>
      <c r="AD33" s="16" t="s">
        <v>45</v>
      </c>
      <c r="AE33" s="16"/>
      <c r="AF33" s="16"/>
      <c r="AG33" s="17"/>
      <c r="AH33" s="17"/>
      <c r="AI33" s="17" t="s">
        <v>45</v>
      </c>
      <c r="AJ33" s="17" t="s">
        <v>45</v>
      </c>
      <c r="AK33" s="17" t="s">
        <v>45</v>
      </c>
      <c r="AL33" s="106" t="s">
        <v>2134</v>
      </c>
      <c r="AM33" s="107"/>
      <c r="AN33" s="107"/>
      <c r="AO33" s="107"/>
      <c r="AP33" s="108"/>
    </row>
    <row r="34" spans="1:43" s="14" customFormat="1" ht="15" customHeight="1" x14ac:dyDescent="0.4">
      <c r="A34" s="11">
        <v>12</v>
      </c>
      <c r="B34" s="11">
        <v>506</v>
      </c>
      <c r="C34" s="11" t="s">
        <v>80</v>
      </c>
      <c r="D34" s="13" t="s">
        <v>181</v>
      </c>
      <c r="E34" s="33" t="s">
        <v>18</v>
      </c>
      <c r="F34" s="11" t="s">
        <v>182</v>
      </c>
      <c r="G34" s="11" t="s">
        <v>43</v>
      </c>
      <c r="H34" s="11" t="s">
        <v>52</v>
      </c>
      <c r="I34" s="11" t="s">
        <v>84</v>
      </c>
      <c r="J34" s="11" t="s">
        <v>85</v>
      </c>
      <c r="K34" s="11" t="s">
        <v>60</v>
      </c>
      <c r="L34" s="11" t="s">
        <v>92</v>
      </c>
      <c r="M34" s="11" t="s">
        <v>45</v>
      </c>
      <c r="N34" s="11" t="s">
        <v>45</v>
      </c>
      <c r="O34" s="11" t="s">
        <v>45</v>
      </c>
      <c r="P34" s="11" t="s">
        <v>84</v>
      </c>
      <c r="Q34" s="11" t="s">
        <v>86</v>
      </c>
      <c r="R34" s="11">
        <v>900</v>
      </c>
      <c r="S34" s="40" t="s">
        <v>39</v>
      </c>
      <c r="T34" s="11">
        <v>900</v>
      </c>
      <c r="U34" s="11" t="s">
        <v>45</v>
      </c>
      <c r="V34" s="11" t="s">
        <v>84</v>
      </c>
      <c r="W34" s="11" t="s">
        <v>86</v>
      </c>
      <c r="X34" s="40" t="s">
        <v>60</v>
      </c>
      <c r="Y34" s="40" t="s">
        <v>87</v>
      </c>
      <c r="Z34" s="40" t="s">
        <v>630</v>
      </c>
      <c r="AA34" s="40" t="s">
        <v>39</v>
      </c>
      <c r="AB34" s="40" t="s">
        <v>88</v>
      </c>
      <c r="AC34" s="11" t="s">
        <v>45</v>
      </c>
      <c r="AD34" s="11" t="s">
        <v>23</v>
      </c>
      <c r="AE34" s="11" t="s">
        <v>50</v>
      </c>
      <c r="AF34" s="11" t="s">
        <v>50</v>
      </c>
      <c r="AG34" s="13" t="s">
        <v>60</v>
      </c>
      <c r="AH34" s="13" t="s">
        <v>62</v>
      </c>
      <c r="AI34" s="13" t="s">
        <v>45</v>
      </c>
      <c r="AJ34" s="13" t="s">
        <v>23</v>
      </c>
      <c r="AK34" s="13" t="s">
        <v>23</v>
      </c>
      <c r="AL34" s="94" t="s">
        <v>183</v>
      </c>
      <c r="AM34" s="95"/>
      <c r="AN34" s="95"/>
      <c r="AO34" s="95"/>
      <c r="AP34" s="96"/>
    </row>
    <row r="35" spans="1:43" s="2" customFormat="1" ht="11.25" customHeight="1" x14ac:dyDescent="0.4">
      <c r="A35" s="118" t="s">
        <v>12</v>
      </c>
      <c r="B35" s="119"/>
      <c r="C35" s="119"/>
      <c r="D35" s="119"/>
      <c r="E35" s="120"/>
      <c r="F35" s="127">
        <f>COUNTA(D5:D34)</f>
        <v>29</v>
      </c>
      <c r="G35" s="20" t="str">
        <f>"所有→"&amp;COUNTIF(G5:G34,"所有")&amp;"戸"</f>
        <v>所有→27戸</v>
      </c>
      <c r="H35" s="20" t="str">
        <f>"未更新→"&amp;COUNTIF(H5:H34,"未更新")&amp;"戸"</f>
        <v>未更新→29戸</v>
      </c>
      <c r="I35" s="20" t="str">
        <f>"クロス→"&amp;COUNTIF(I5:I34,"クロス")&amp;"戸"</f>
        <v>クロス→28戸</v>
      </c>
      <c r="J35" s="20" t="str">
        <f>"ベニヤ→"&amp;COUNTIF(J5:J34,"ベニヤ")&amp;"戸"</f>
        <v>ベニヤ→27戸</v>
      </c>
      <c r="K35" s="20" t="str">
        <f>"既存→"&amp;COUNTIF(K5:K34,"既存")&amp;"戸"</f>
        <v>既存→1戸</v>
      </c>
      <c r="L35" s="20" t="str">
        <f>"普通便座→"&amp;COUNTIF(L5:L34,"普通便座")&amp;"戸"</f>
        <v>普通便座→0戸</v>
      </c>
      <c r="M35" s="20" t="str">
        <f>"有→"&amp;COUNTIF(M5:M34,"有")&amp;"戸"</f>
        <v>有→4戸</v>
      </c>
      <c r="N35" s="20" t="str">
        <f>"有→"&amp;COUNTIF(N5:N34,"有")&amp;"戸"</f>
        <v>有→8戸</v>
      </c>
      <c r="O35" s="20" t="str">
        <f>"有→"&amp;COUNTIF(O5:O34,"有")&amp;"戸"</f>
        <v>有→18戸</v>
      </c>
      <c r="P35" s="20" t="str">
        <f>"クロス→"&amp;COUNTIF(P5:P34,"クロス")&amp;"戸"</f>
        <v>クロス→25戸</v>
      </c>
      <c r="Q35" s="20" t="str">
        <f>"CF→"&amp;COUNTIF(Q5:Q34,"CF")&amp;"戸"</f>
        <v>CF→28戸</v>
      </c>
      <c r="R35" s="20" t="str">
        <f>"1000→"&amp;COUNTIF(R5:R34,"1000")&amp;"戸"</f>
        <v>1000→1戸</v>
      </c>
      <c r="S35" s="20" t="str">
        <f>"可→"&amp;COUNTIF(S5:S34,"可")&amp;"戸"</f>
        <v>可→27戸</v>
      </c>
      <c r="T35" s="20" t="str">
        <f>"900→"&amp;COUNTIF(T5:T34,"900")&amp;"戸"</f>
        <v>900→25戸</v>
      </c>
      <c r="U35" s="20" t="str">
        <f>"有→"&amp;COUNTIF(U5:U34,"有")&amp;"戸"</f>
        <v>有→1戸</v>
      </c>
      <c r="V35" s="20" t="str">
        <f>"クロス→"&amp;COUNTIF(V5:V34,"クロス")&amp;"戸"</f>
        <v>クロス→27戸</v>
      </c>
      <c r="W35" s="20" t="str">
        <f>"CF→"&amp;COUNTIF(W5:W34,"CF")&amp;"戸"</f>
        <v>CF→28戸</v>
      </c>
      <c r="X35" s="20" t="str">
        <f>"既存→"&amp;COUNTIF(X5:X34,"既存")&amp;"戸"</f>
        <v>既存→1戸</v>
      </c>
      <c r="Y35" s="20" t="str">
        <f>"TOTO→"&amp;COUNTIF(Y5:Y34,"TOTO")&amp;"戸"</f>
        <v>TOTO→11戸</v>
      </c>
      <c r="Z35" s="130">
        <f>COUNTA(Z5:Z34)</f>
        <v>12</v>
      </c>
      <c r="AA35" s="20" t="str">
        <f>"可→"&amp;COUNTIF(AA5:AA34,"可")&amp;"戸"</f>
        <v>可→26戸</v>
      </c>
      <c r="AB35" s="20" t="str">
        <f>"既存→"&amp;COUNTIF(AB5:AB34,"既存")&amp;"戸"</f>
        <v>既存→7戸</v>
      </c>
      <c r="AC35" s="130">
        <f>COUNTIF(AC5:AC34,"有")</f>
        <v>9</v>
      </c>
      <c r="AD35" s="130">
        <f>COUNTIF(AD5:AD34,"有")</f>
        <v>15</v>
      </c>
      <c r="AE35" s="20" t="str">
        <f>"ポリ板→"&amp;COUNTIF(AE5:AE34,"ポリ板")&amp;"戸"</f>
        <v>ポリ板→19戸</v>
      </c>
      <c r="AF35" s="20" t="str">
        <f>"ポリ板→"&amp;COUNTIF(AF5:AF34,"ポリ板")&amp;"戸"</f>
        <v>ポリ板→25戸</v>
      </c>
      <c r="AG35" s="20" t="str">
        <f>"既存→"&amp;COUNTIF(AG5:AG34,"既存")&amp;"戸"</f>
        <v>既存→1戸</v>
      </c>
      <c r="AH35" s="20" t="str">
        <f>"洗面所→"&amp;COUNTIF(AH5:AH34,"洗面所")&amp;"戸"</f>
        <v>洗面所→27戸</v>
      </c>
      <c r="AI35" s="130">
        <f>COUNTIF(AI5:AI34,"有")</f>
        <v>5</v>
      </c>
      <c r="AJ35" s="130">
        <f>COUNTIF(AJ5:AJ34,"有")</f>
        <v>10</v>
      </c>
      <c r="AK35" s="130">
        <f>COUNTIF(AK5:AK34,"有")</f>
        <v>9</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賃貸→0戸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暖房便座→0戸</v>
      </c>
      <c r="M36" s="35" t="str">
        <f>"無→"&amp;COUNTIF(M5:M34,"無")&amp;"戸"</f>
        <v>無→24戸</v>
      </c>
      <c r="N36" s="35" t="str">
        <f>"無→"&amp;COUNTIF(N5:N34,"無")&amp;"戸"</f>
        <v>無→20戸</v>
      </c>
      <c r="O36" s="35" t="str">
        <f>"無→"&amp;COUNTIF(O5:O34,"無")&amp;"戸"</f>
        <v>無→10戸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800→2戸</v>
      </c>
      <c r="U36" s="35" t="str">
        <f>"無→"&amp;COUNTIF(U5:U34,"無")&amp;"戸"</f>
        <v>無→27戸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リフォーム済み→27戸</v>
      </c>
      <c r="Y36" s="35" t="str">
        <f>"LIXIL→"&amp;COUNTIF(Y5:Y34,"LIXIL")&amp;"戸"</f>
        <v>LIXIL→1戸</v>
      </c>
      <c r="Z36" s="131"/>
      <c r="AA36" s="35" t="str">
        <f>"不可→"&amp;COUNTIF(AA5:AA34,"不可")&amp;"戸"</f>
        <v>不可→2戸</v>
      </c>
      <c r="AB36" s="36" t="str">
        <f>"システム→"&amp;COUNTIF(AB5:AB34,"システム")&amp;"戸"</f>
        <v>システム→21戸</v>
      </c>
      <c r="AC36" s="131"/>
      <c r="AD36" s="131"/>
      <c r="AE36" s="35" t="str">
        <f>"SUS→"&amp;COUNTIF(AE5:AE34,"SUS")&amp;"戸"</f>
        <v>SUS→8戸</v>
      </c>
      <c r="AF36" s="35" t="str">
        <f>"SUS→"&amp;COUNTIF(AF5:AF34,"SUS")&amp;"戸"</f>
        <v>SUS→2戸</v>
      </c>
      <c r="AG36" s="35" t="str">
        <f>"リフォーム済み→"&amp;COUNTIF(AG5:AG34,"リフォーム済み")&amp;"戸"</f>
        <v>リフォーム済み→27戸</v>
      </c>
      <c r="AH36" s="35" t="str">
        <f>"ベランダ→"&amp;COUNTIF(AH5:AH34,"ベランダ")&amp;"戸"</f>
        <v>ベランダ→1戸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その他→1戸</v>
      </c>
      <c r="K37" s="35" t="str">
        <f>"レストパル→"&amp;COUNTIF(K5:K34,"レストパル")&amp;"戸"</f>
        <v>レストパル→0戸</v>
      </c>
      <c r="L37" s="35" t="str">
        <f>"WL→"&amp;COUNTIF(L5:L34,"WL")&amp;"戸"</f>
        <v>WL→28戸</v>
      </c>
      <c r="M37" s="23"/>
      <c r="N37" s="23"/>
      <c r="O37" s="23"/>
      <c r="P37" s="35" t="str">
        <f>"塗装→"&amp;COUNTIF(P5:P34,"塗装")&amp;"戸"</f>
        <v>塗装→0戸</v>
      </c>
      <c r="Q37" s="35" t="str">
        <f>"フローリング→"&amp;COUNTIF(Q5:Q34,"フローリング")&amp;"戸"</f>
        <v>フローリング→0戸</v>
      </c>
      <c r="R37" s="35" t="str">
        <f>"750→"&amp;COUNTIF(R5:R34,"750")&amp;"戸"</f>
        <v>750→20戸</v>
      </c>
      <c r="S37" s="35"/>
      <c r="T37" s="35" t="str">
        <f>"740→"&amp;COUNTIF(T5:T34,"740")&amp;"戸"</f>
        <v>740→0戸</v>
      </c>
      <c r="U37" s="22"/>
      <c r="V37" s="35" t="str">
        <f>"塗装→"&amp;COUNTIF(V5:V34,"塗装")&amp;"戸"</f>
        <v>塗装→0戸</v>
      </c>
      <c r="W37" s="35" t="str">
        <f>"フローリング→"&amp;COUNTIF(W5:W34,"フローリング")&amp;"戸"</f>
        <v>フローリング→0戸</v>
      </c>
      <c r="X37" s="35"/>
      <c r="Y37" s="35" t="str">
        <f>"Panasonic→"&amp;COUNTIF(Y5:Y34,"Panasonic")&amp;"戸"</f>
        <v>Panasonic→1戸</v>
      </c>
      <c r="Z37" s="131"/>
      <c r="AA37" s="35"/>
      <c r="AB37" s="35" t="str">
        <f>"その他→"&amp;COUNTIF(AB5:AB34,"その他")&amp;"戸"</f>
        <v>その他→0戸</v>
      </c>
      <c r="AC37" s="131"/>
      <c r="AD37" s="131"/>
      <c r="AE37" s="35" t="str">
        <f>"ホーロー→"&amp;COUNTIF(AE5:AE34,"ホーロー")&amp;"戸"</f>
        <v>ホーロー→1戸</v>
      </c>
      <c r="AF37" s="35" t="str">
        <f>"ホーロー→"&amp;COUNTIF(AF5:AF34,"ホーロー")&amp;"戸"</f>
        <v>ホーロー→1戸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空家→2戸</v>
      </c>
      <c r="H38" s="39"/>
      <c r="I38" s="28"/>
      <c r="J38" s="27"/>
      <c r="K38" s="35" t="str">
        <f>"一体型→"&amp;COUNTIF(K5:K34,"一体型")&amp;"戸"</f>
        <v>一体型→2戸</v>
      </c>
      <c r="L38" s="28"/>
      <c r="M38" s="28"/>
      <c r="N38" s="28"/>
      <c r="O38" s="28"/>
      <c r="P38" s="28"/>
      <c r="Q38" s="28"/>
      <c r="R38" s="35" t="str">
        <f>"740→"&amp;COUNTIF(R5:R34,"740")&amp;"戸"</f>
        <v>740→0戸</v>
      </c>
      <c r="S38" s="27"/>
      <c r="T38" s="35" t="str">
        <f>"640→"&amp;COUNTIF(T5:T34,"640")&amp;"戸"</f>
        <v>640→1戸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4"/>
    </row>
    <row r="39" spans="1:43" s="2" customFormat="1" x14ac:dyDescent="0.4">
      <c r="A39" s="31"/>
      <c r="AG39" s="37"/>
      <c r="AH39" s="37"/>
      <c r="AO39" s="1"/>
    </row>
  </sheetData>
  <autoFilter ref="AI3:AK4" xr:uid="{23F59CA5-022E-4595-A372-2B9EACF31C3B}"/>
  <mergeCells count="57">
    <mergeCell ref="AL26:AP26"/>
    <mergeCell ref="AL27:AP27"/>
    <mergeCell ref="A35:E38"/>
    <mergeCell ref="F35:F38"/>
    <mergeCell ref="AL28:AP28"/>
    <mergeCell ref="AL29:AP29"/>
    <mergeCell ref="AL30:AP30"/>
    <mergeCell ref="AL31:AP31"/>
    <mergeCell ref="AL32:AP32"/>
    <mergeCell ref="AL33:AP33"/>
    <mergeCell ref="AL34:AP34"/>
    <mergeCell ref="AL35:AP38"/>
    <mergeCell ref="Z35:Z38"/>
    <mergeCell ref="AC35:AC38"/>
    <mergeCell ref="AI35:AI38"/>
    <mergeCell ref="AJ35:AJ38"/>
    <mergeCell ref="AL19:AP19"/>
    <mergeCell ref="AL11:AP11"/>
    <mergeCell ref="AL12:AP12"/>
    <mergeCell ref="AL13:AP13"/>
    <mergeCell ref="AL14:AP14"/>
    <mergeCell ref="AL15:AP15"/>
    <mergeCell ref="AL16:AP16"/>
    <mergeCell ref="AL17:AP17"/>
    <mergeCell ref="AL18:AP18"/>
    <mergeCell ref="A1:AN2"/>
    <mergeCell ref="A3:A4"/>
    <mergeCell ref="B3:B4"/>
    <mergeCell ref="C3:C4"/>
    <mergeCell ref="D3:E4"/>
    <mergeCell ref="F3:F4"/>
    <mergeCell ref="G3:G4"/>
    <mergeCell ref="H3:H4"/>
    <mergeCell ref="I3:J3"/>
    <mergeCell ref="K3:Q3"/>
    <mergeCell ref="R3:W3"/>
    <mergeCell ref="AI3:AI4"/>
    <mergeCell ref="AL3:AP4"/>
    <mergeCell ref="X3:AA3"/>
    <mergeCell ref="AB3:AF3"/>
    <mergeCell ref="AG3:AH3"/>
    <mergeCell ref="AD35:AD38"/>
    <mergeCell ref="AK35:AK38"/>
    <mergeCell ref="AJ3:AJ4"/>
    <mergeCell ref="AK3:AK4"/>
    <mergeCell ref="AL8:AP8"/>
    <mergeCell ref="AL9:AP9"/>
    <mergeCell ref="AL10:AP10"/>
    <mergeCell ref="AL5:AP5"/>
    <mergeCell ref="AL6:AP6"/>
    <mergeCell ref="AL7:AP7"/>
    <mergeCell ref="AL25:AP25"/>
    <mergeCell ref="AL20:AP20"/>
    <mergeCell ref="AL21:AP21"/>
    <mergeCell ref="AL22:AP22"/>
    <mergeCell ref="AL23:AP23"/>
    <mergeCell ref="AL24:AP24"/>
  </mergeCells>
  <phoneticPr fontId="1"/>
  <dataValidations count="1">
    <dataValidation imeMode="off" allowBlank="1" showInputMessage="1" showErrorMessage="1" sqref="C1:C3 A39:C1048576 A1:A35 B1:B34 C5:C34" xr:uid="{A91F060E-A2DA-4841-A058-D211177DCBCB}"/>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37" man="1"/>
  </colBreaks>
  <extLst>
    <ext xmlns:x14="http://schemas.microsoft.com/office/spreadsheetml/2009/9/main" uri="{CCE6A557-97BC-4b89-ADB6-D9C93CAAB3DF}">
      <x14:dataValidations xmlns:xm="http://schemas.microsoft.com/office/excel/2006/main" count="19">
        <x14:dataValidation type="list" allowBlank="1" showInputMessage="1" showErrorMessage="1" xr:uid="{3CA914C0-E709-4854-AA4A-29F32DCEED32}">
          <x14:formula1>
            <xm:f>Sheet1!$C$9:$C$11</xm:f>
          </x14:formula1>
          <xm:sqref>Q5:Q34 W5:W34</xm:sqref>
        </x14:dataValidation>
        <x14:dataValidation type="list" allowBlank="1" showInputMessage="1" showErrorMessage="1" xr:uid="{8054F101-7660-493C-A153-D05347A04ACB}">
          <x14:formula1>
            <xm:f>Sheet1!$A$1:$A$4</xm:f>
          </x14:formula1>
          <xm:sqref>G5:G34</xm:sqref>
        </x14:dataValidation>
        <x14:dataValidation type="list" allowBlank="1" showInputMessage="1" showErrorMessage="1" xr:uid="{9C1A5F54-42C9-4476-8857-DE65020D1A8C}">
          <x14:formula1>
            <xm:f>Sheet1!$A$6:$A$7</xm:f>
          </x14:formula1>
          <xm:sqref>H5:H34</xm:sqref>
        </x14:dataValidation>
        <x14:dataValidation type="list" allowBlank="1" showInputMessage="1" showErrorMessage="1" xr:uid="{27DE64D8-C453-4E3F-870A-8B97A4481957}">
          <x14:formula1>
            <xm:f>Sheet1!$A$9:$A$11</xm:f>
          </x14:formula1>
          <xm:sqref>P17:P25 I5:I34 P28:P34 P5:P15 V5:V15 V17:V34</xm:sqref>
        </x14:dataValidation>
        <x14:dataValidation type="list" allowBlank="1" showInputMessage="1" showErrorMessage="1" xr:uid="{4E2777BB-DAE3-4BEA-AA6F-1953FF1AA919}">
          <x14:formula1>
            <xm:f>Sheet1!$D$1:$D$3</xm:f>
          </x14:formula1>
          <xm:sqref>J5:J34</xm:sqref>
        </x14:dataValidation>
        <x14:dataValidation type="list" allowBlank="1" showInputMessage="1" showErrorMessage="1" xr:uid="{0EFC8294-CA2B-4479-9CD1-75B32739E0D0}">
          <x14:formula1>
            <xm:f>Sheet1!$G$9:$G$12</xm:f>
          </x14:formula1>
          <xm:sqref>K5:K6 K8:K21 K23:K34</xm:sqref>
        </x14:dataValidation>
        <x14:dataValidation type="list" allowBlank="1" showInputMessage="1" showErrorMessage="1" xr:uid="{F76464F3-E2D3-4823-AD5F-E8C764CDBF47}">
          <x14:formula1>
            <xm:f>Sheet1!$E$9:$E$11</xm:f>
          </x14:formula1>
          <xm:sqref>L5:L34</xm:sqref>
        </x14:dataValidation>
        <x14:dataValidation type="list" allowBlank="1" showInputMessage="1" showErrorMessage="1" xr:uid="{8F45EC0B-4FD2-431C-9791-2E2F98CE81DD}">
          <x14:formula1>
            <xm:f>Sheet1!$C$6:$C$7</xm:f>
          </x14:formula1>
          <xm:sqref>U5:U34 M5:O34 AC5:AD34 AJ23:AK34 AJ5:AK13 AJ15:AK21</xm:sqref>
        </x14:dataValidation>
        <x14:dataValidation type="list" allowBlank="1" showInputMessage="1" showErrorMessage="1" xr:uid="{9E200FE4-08ED-4A5E-B568-1ED89C0D2171}">
          <x14:formula1>
            <xm:f>Sheet1!$A$17:$A$20</xm:f>
          </x14:formula1>
          <xm:sqref>R8 R5:R6 R19:R34 R10:R14 R17</xm:sqref>
        </x14:dataValidation>
        <x14:dataValidation type="list" allowBlank="1" showInputMessage="1" showErrorMessage="1" xr:uid="{B8A87FD6-9845-4E4B-AA43-CF967202E1A8}">
          <x14:formula1>
            <xm:f>Sheet1!$C$17:$C$20</xm:f>
          </x14:formula1>
          <xm:sqref>T5:T34</xm:sqref>
        </x14:dataValidation>
        <x14:dataValidation type="list" allowBlank="1" showInputMessage="1" showErrorMessage="1" xr:uid="{94288C6A-C943-40C9-B11C-1D3C853968AA}">
          <x14:formula1>
            <xm:f>Sheet1!$A$13:$A$15</xm:f>
          </x14:formula1>
          <xm:sqref>AB5:AB34</xm:sqref>
        </x14:dataValidation>
        <x14:dataValidation type="list" allowBlank="1" showInputMessage="1" showErrorMessage="1" xr:uid="{292093F1-5A32-4EA2-B9CC-A5286E9E2F87}">
          <x14:formula1>
            <xm:f>Sheet1!$G$1:$G$4</xm:f>
          </x14:formula1>
          <xm:sqref>AE5:AF34</xm:sqref>
        </x14:dataValidation>
        <x14:dataValidation type="list" allowBlank="1" showInputMessage="1" showErrorMessage="1" xr:uid="{A3871F8A-8BEF-4D17-8AD8-0A0959B4DA19}">
          <x14:formula1>
            <xm:f>Sheet1!$E$17:$E$18</xm:f>
          </x14:formula1>
          <xm:sqref>AG5:AG34</xm:sqref>
        </x14:dataValidation>
        <x14:dataValidation type="list" allowBlank="1" showInputMessage="1" showErrorMessage="1" xr:uid="{67195376-54CA-4E1E-AF3D-BFD5E4B24605}">
          <x14:formula1>
            <xm:f>Sheet1!$G$17:$G$18</xm:f>
          </x14:formula1>
          <xm:sqref>AH5:AH34</xm:sqref>
        </x14:dataValidation>
        <x14:dataValidation type="list" allowBlank="1" showInputMessage="1" showErrorMessage="1" xr:uid="{2656279F-842C-40FC-98CE-0896A28B8D0E}">
          <x14:formula1>
            <xm:f>Sheet1!$I$1:$I$2</xm:f>
          </x14:formula1>
          <xm:sqref>X5:X34</xm:sqref>
        </x14:dataValidation>
        <x14:dataValidation type="list" allowBlank="1" showInputMessage="1" showErrorMessage="1" xr:uid="{49B76540-DD0F-4E8B-9FA7-9454331FCC46}">
          <x14:formula1>
            <xm:f>Sheet1!$G$6:$G$7</xm:f>
          </x14:formula1>
          <xm:sqref>S5:S34 AA5:AA34</xm:sqref>
        </x14:dataValidation>
        <x14:dataValidation type="list" allowBlank="1" showInputMessage="1" showErrorMessage="1" xr:uid="{B8BF2852-9698-455C-BA59-6A4733F0C70C}">
          <x14:formula1>
            <xm:f>Sheet1!$C$6:$C$8</xm:f>
          </x14:formula1>
          <xm:sqref>AI5:AI34 AJ22:AK22 AJ14:AK14</xm:sqref>
        </x14:dataValidation>
        <x14:dataValidation type="list" allowBlank="1" showInputMessage="1" showErrorMessage="1" xr:uid="{3943D729-2B74-4620-B8C9-A98AE762F629}">
          <x14:formula1>
            <xm:f>Sheet1!$I$9:$I$13</xm:f>
          </x14:formula1>
          <xm:sqref>Y5:Y8 Y10:Y21 Y23:Y34</xm:sqref>
        </x14:dataValidation>
        <x14:dataValidation type="list" allowBlank="1" showInputMessage="1" showErrorMessage="1" xr:uid="{F3698B5A-7C07-46C1-B48F-F8A60CFAC11B}">
          <x14:formula1>
            <xm:f>Sheet1!$G$9:$G$13</xm:f>
          </x14:formula1>
          <xm:sqref>K7 K22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8DA5-3416-4157-AB19-08CDA4000D5A}">
  <sheetPr codeName="Sheet13">
    <tabColor theme="4" tint="0.39997558519241921"/>
  </sheetPr>
  <dimension ref="A1:AR39"/>
  <sheetViews>
    <sheetView view="pageBreakPreview" zoomScaleNormal="40" zoomScaleSheetLayoutView="70" workbookViewId="0">
      <pane xSplit="5" ySplit="4" topLeftCell="F8" activePane="bottomRight" state="frozen"/>
      <selection activeCell="N11" sqref="N11"/>
      <selection pane="topRight" activeCell="N11" sqref="N11"/>
      <selection pane="bottomLeft" activeCell="N11" sqref="N11"/>
      <selection pane="bottomRight" activeCell="AI20" sqref="AI2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2664</v>
      </c>
      <c r="AE4" s="3" t="s">
        <v>55</v>
      </c>
      <c r="AF4" s="3" t="s">
        <v>56</v>
      </c>
      <c r="AG4" s="3" t="s">
        <v>2</v>
      </c>
      <c r="AH4" s="3" t="s">
        <v>61</v>
      </c>
      <c r="AI4" s="98"/>
      <c r="AJ4" s="100"/>
      <c r="AK4" s="100"/>
      <c r="AL4" s="89"/>
      <c r="AM4" s="102"/>
      <c r="AN4" s="102"/>
      <c r="AO4" s="102"/>
      <c r="AP4" s="90"/>
    </row>
    <row r="5" spans="1:44" s="10" customFormat="1" ht="34.5" customHeight="1" x14ac:dyDescent="0.4">
      <c r="A5" s="6">
        <v>13</v>
      </c>
      <c r="B5" s="6">
        <v>101</v>
      </c>
      <c r="C5" s="6" t="s">
        <v>80</v>
      </c>
      <c r="D5" s="18" t="s">
        <v>2569</v>
      </c>
      <c r="E5" s="32" t="s">
        <v>18</v>
      </c>
      <c r="F5" s="6" t="s">
        <v>2570</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23</v>
      </c>
      <c r="V5" s="6" t="s">
        <v>84</v>
      </c>
      <c r="W5" s="6" t="s">
        <v>86</v>
      </c>
      <c r="X5" s="16" t="s">
        <v>60</v>
      </c>
      <c r="Y5" s="16" t="s">
        <v>87</v>
      </c>
      <c r="Z5" s="16" t="s">
        <v>2571</v>
      </c>
      <c r="AA5" s="16" t="s">
        <v>39</v>
      </c>
      <c r="AB5" s="7" t="s">
        <v>88</v>
      </c>
      <c r="AC5" s="8" t="s">
        <v>45</v>
      </c>
      <c r="AD5" s="8" t="s">
        <v>45</v>
      </c>
      <c r="AE5" s="8" t="s">
        <v>116</v>
      </c>
      <c r="AF5" s="16" t="s">
        <v>50</v>
      </c>
      <c r="AG5" s="17" t="s">
        <v>60</v>
      </c>
      <c r="AH5" s="17" t="s">
        <v>62</v>
      </c>
      <c r="AI5" s="17" t="s">
        <v>45</v>
      </c>
      <c r="AJ5" s="17" t="s">
        <v>45</v>
      </c>
      <c r="AK5" s="17" t="s">
        <v>45</v>
      </c>
      <c r="AL5" s="140" t="s">
        <v>2572</v>
      </c>
      <c r="AM5" s="141"/>
      <c r="AN5" s="141"/>
      <c r="AO5" s="141"/>
      <c r="AP5" s="142"/>
    </row>
    <row r="6" spans="1:44" s="14" customFormat="1" ht="27.75" customHeight="1" x14ac:dyDescent="0.4">
      <c r="A6" s="11">
        <v>13</v>
      </c>
      <c r="B6" s="11">
        <v>201</v>
      </c>
      <c r="C6" s="11" t="s">
        <v>80</v>
      </c>
      <c r="D6" s="13" t="s">
        <v>2543</v>
      </c>
      <c r="E6" s="33" t="s">
        <v>18</v>
      </c>
      <c r="F6" s="11" t="s">
        <v>2544</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2545</v>
      </c>
      <c r="Z6" s="40"/>
      <c r="AA6" s="40" t="s">
        <v>39</v>
      </c>
      <c r="AB6" s="12" t="s">
        <v>88</v>
      </c>
      <c r="AC6" s="11" t="s">
        <v>45</v>
      </c>
      <c r="AD6" s="11" t="s">
        <v>23</v>
      </c>
      <c r="AE6" s="11" t="s">
        <v>50</v>
      </c>
      <c r="AF6" s="11" t="s">
        <v>50</v>
      </c>
      <c r="AG6" s="13" t="s">
        <v>60</v>
      </c>
      <c r="AH6" s="13" t="s">
        <v>62</v>
      </c>
      <c r="AI6" s="13" t="s">
        <v>23</v>
      </c>
      <c r="AJ6" s="13" t="s">
        <v>45</v>
      </c>
      <c r="AK6" s="13" t="s">
        <v>45</v>
      </c>
      <c r="AL6" s="133" t="s">
        <v>2546</v>
      </c>
      <c r="AM6" s="134"/>
      <c r="AN6" s="134"/>
      <c r="AO6" s="134"/>
      <c r="AP6" s="135"/>
    </row>
    <row r="7" spans="1:44" s="10" customFormat="1" ht="47.25" customHeight="1" x14ac:dyDescent="0.4">
      <c r="A7" s="6">
        <v>13</v>
      </c>
      <c r="B7" s="6">
        <v>301</v>
      </c>
      <c r="C7" s="6" t="s">
        <v>80</v>
      </c>
      <c r="D7" s="18" t="s">
        <v>2547</v>
      </c>
      <c r="E7" s="34" t="s">
        <v>18</v>
      </c>
      <c r="F7" s="6" t="s">
        <v>2548</v>
      </c>
      <c r="G7" s="6" t="s">
        <v>40</v>
      </c>
      <c r="H7" s="6" t="s">
        <v>52</v>
      </c>
      <c r="I7" s="6" t="s">
        <v>84</v>
      </c>
      <c r="J7" s="6" t="s">
        <v>85</v>
      </c>
      <c r="K7" s="6" t="s">
        <v>60</v>
      </c>
      <c r="L7" s="6" t="s">
        <v>92</v>
      </c>
      <c r="M7" s="6" t="s">
        <v>45</v>
      </c>
      <c r="N7" s="6" t="s">
        <v>45</v>
      </c>
      <c r="O7" s="6" t="s">
        <v>23</v>
      </c>
      <c r="P7" s="6" t="s">
        <v>84</v>
      </c>
      <c r="Q7" s="6" t="s">
        <v>86</v>
      </c>
      <c r="R7" s="6">
        <v>750</v>
      </c>
      <c r="S7" s="6" t="s">
        <v>39</v>
      </c>
      <c r="T7" s="6">
        <v>900</v>
      </c>
      <c r="U7" s="6" t="s">
        <v>45</v>
      </c>
      <c r="V7" s="6" t="s">
        <v>84</v>
      </c>
      <c r="W7" s="6" t="s">
        <v>86</v>
      </c>
      <c r="X7" s="6" t="s">
        <v>19</v>
      </c>
      <c r="Y7" s="6"/>
      <c r="Z7" s="6"/>
      <c r="AA7" s="6" t="s">
        <v>65</v>
      </c>
      <c r="AB7" s="15" t="s">
        <v>19</v>
      </c>
      <c r="AC7" s="16" t="s">
        <v>45</v>
      </c>
      <c r="AD7" s="16" t="s">
        <v>45</v>
      </c>
      <c r="AE7" s="16" t="s">
        <v>50</v>
      </c>
      <c r="AF7" s="16" t="s">
        <v>50</v>
      </c>
      <c r="AG7" s="17" t="s">
        <v>60</v>
      </c>
      <c r="AH7" s="17" t="s">
        <v>62</v>
      </c>
      <c r="AI7" s="17" t="s">
        <v>45</v>
      </c>
      <c r="AJ7" s="17" t="s">
        <v>23</v>
      </c>
      <c r="AK7" s="17" t="s">
        <v>45</v>
      </c>
      <c r="AL7" s="106" t="s">
        <v>2549</v>
      </c>
      <c r="AM7" s="107"/>
      <c r="AN7" s="107"/>
      <c r="AO7" s="107"/>
      <c r="AP7" s="108"/>
    </row>
    <row r="8" spans="1:44" s="14" customFormat="1" ht="15" customHeight="1" x14ac:dyDescent="0.4">
      <c r="A8" s="11">
        <v>13</v>
      </c>
      <c r="B8" s="11">
        <v>401</v>
      </c>
      <c r="C8" s="11" t="s">
        <v>80</v>
      </c>
      <c r="D8" s="13" t="s">
        <v>2550</v>
      </c>
      <c r="E8" s="33" t="s">
        <v>18</v>
      </c>
      <c r="F8" s="11" t="s">
        <v>2551</v>
      </c>
      <c r="G8" s="11" t="s">
        <v>43</v>
      </c>
      <c r="H8" s="11" t="s">
        <v>52</v>
      </c>
      <c r="I8" s="11" t="s">
        <v>84</v>
      </c>
      <c r="J8" s="11" t="s">
        <v>85</v>
      </c>
      <c r="K8" s="11" t="s">
        <v>60</v>
      </c>
      <c r="L8" s="11" t="s">
        <v>92</v>
      </c>
      <c r="M8" s="11" t="s">
        <v>45</v>
      </c>
      <c r="N8" s="11" t="s">
        <v>45</v>
      </c>
      <c r="O8" s="11" t="s">
        <v>45</v>
      </c>
      <c r="P8" s="11" t="s">
        <v>84</v>
      </c>
      <c r="Q8" s="11" t="s">
        <v>86</v>
      </c>
      <c r="R8" s="11">
        <v>750</v>
      </c>
      <c r="S8" s="40" t="s">
        <v>39</v>
      </c>
      <c r="T8" s="11">
        <v>900</v>
      </c>
      <c r="U8" s="11" t="s">
        <v>45</v>
      </c>
      <c r="V8" s="11" t="s">
        <v>84</v>
      </c>
      <c r="W8" s="11" t="s">
        <v>86</v>
      </c>
      <c r="X8" s="40" t="s">
        <v>60</v>
      </c>
      <c r="Y8" s="40" t="s">
        <v>87</v>
      </c>
      <c r="Z8" s="40" t="s">
        <v>2552</v>
      </c>
      <c r="AA8" s="40" t="s">
        <v>39</v>
      </c>
      <c r="AB8" s="12" t="s">
        <v>19</v>
      </c>
      <c r="AC8" s="11" t="s">
        <v>45</v>
      </c>
      <c r="AD8" s="11" t="s">
        <v>45</v>
      </c>
      <c r="AE8" s="11" t="s">
        <v>116</v>
      </c>
      <c r="AF8" s="11" t="s">
        <v>50</v>
      </c>
      <c r="AG8" s="13" t="s">
        <v>60</v>
      </c>
      <c r="AH8" s="13" t="s">
        <v>62</v>
      </c>
      <c r="AI8" s="13" t="s">
        <v>45</v>
      </c>
      <c r="AJ8" s="13" t="s">
        <v>45</v>
      </c>
      <c r="AK8" s="13" t="s">
        <v>45</v>
      </c>
      <c r="AL8" s="133" t="s">
        <v>2553</v>
      </c>
      <c r="AM8" s="134"/>
      <c r="AN8" s="134"/>
      <c r="AO8" s="134"/>
      <c r="AP8" s="135"/>
    </row>
    <row r="9" spans="1:44" s="10" customFormat="1" ht="40.5" customHeight="1" x14ac:dyDescent="0.4">
      <c r="A9" s="6">
        <v>13</v>
      </c>
      <c r="B9" s="6">
        <v>501</v>
      </c>
      <c r="C9" s="6" t="s">
        <v>80</v>
      </c>
      <c r="D9" s="18" t="s">
        <v>2531</v>
      </c>
      <c r="E9" s="34" t="s">
        <v>18</v>
      </c>
      <c r="F9" s="6" t="s">
        <v>2532</v>
      </c>
      <c r="G9" s="6" t="s">
        <v>43</v>
      </c>
      <c r="H9" s="6" t="s">
        <v>52</v>
      </c>
      <c r="I9" s="6" t="s">
        <v>84</v>
      </c>
      <c r="J9" s="6" t="s">
        <v>85</v>
      </c>
      <c r="K9" s="6" t="s">
        <v>19</v>
      </c>
      <c r="L9" s="6" t="s">
        <v>24</v>
      </c>
      <c r="M9" s="6" t="s">
        <v>45</v>
      </c>
      <c r="N9" s="6" t="s">
        <v>45</v>
      </c>
      <c r="O9" s="6" t="s">
        <v>23</v>
      </c>
      <c r="P9" s="6" t="s">
        <v>84</v>
      </c>
      <c r="Q9" s="6" t="s">
        <v>86</v>
      </c>
      <c r="R9" s="6">
        <v>750</v>
      </c>
      <c r="S9" s="6" t="s">
        <v>39</v>
      </c>
      <c r="T9" s="6">
        <v>900</v>
      </c>
      <c r="U9" s="6" t="s">
        <v>45</v>
      </c>
      <c r="V9" s="6" t="s">
        <v>84</v>
      </c>
      <c r="W9" s="6" t="s">
        <v>86</v>
      </c>
      <c r="X9" s="6" t="s">
        <v>19</v>
      </c>
      <c r="Y9" s="6"/>
      <c r="Z9" s="6"/>
      <c r="AA9" s="6" t="s">
        <v>65</v>
      </c>
      <c r="AB9" s="15" t="s">
        <v>19</v>
      </c>
      <c r="AC9" s="16" t="s">
        <v>45</v>
      </c>
      <c r="AD9" s="16" t="s">
        <v>45</v>
      </c>
      <c r="AE9" s="16" t="s">
        <v>50</v>
      </c>
      <c r="AF9" s="16" t="s">
        <v>50</v>
      </c>
      <c r="AG9" s="17" t="s">
        <v>60</v>
      </c>
      <c r="AH9" s="17" t="s">
        <v>62</v>
      </c>
      <c r="AI9" s="17" t="s">
        <v>45</v>
      </c>
      <c r="AJ9" s="17" t="s">
        <v>45</v>
      </c>
      <c r="AK9" s="17" t="s">
        <v>45</v>
      </c>
      <c r="AL9" s="106" t="s">
        <v>2533</v>
      </c>
      <c r="AM9" s="107"/>
      <c r="AN9" s="107"/>
      <c r="AO9" s="107"/>
      <c r="AP9" s="108"/>
    </row>
    <row r="10" spans="1:44" s="14" customFormat="1" ht="42" customHeight="1" x14ac:dyDescent="0.4">
      <c r="A10" s="11">
        <v>13</v>
      </c>
      <c r="B10" s="11">
        <v>102</v>
      </c>
      <c r="C10" s="11" t="s">
        <v>80</v>
      </c>
      <c r="D10" s="76" t="s">
        <v>2712</v>
      </c>
      <c r="E10" s="33" t="s">
        <v>18</v>
      </c>
      <c r="F10" s="11" t="s">
        <v>2597</v>
      </c>
      <c r="G10" s="11" t="s">
        <v>22</v>
      </c>
      <c r="H10" s="11" t="s">
        <v>52</v>
      </c>
      <c r="I10" s="11" t="s">
        <v>84</v>
      </c>
      <c r="J10" s="11" t="s">
        <v>85</v>
      </c>
      <c r="K10" s="11" t="s">
        <v>19</v>
      </c>
      <c r="L10" s="11" t="s">
        <v>24</v>
      </c>
      <c r="M10" s="11" t="s">
        <v>45</v>
      </c>
      <c r="N10" s="11" t="s">
        <v>45</v>
      </c>
      <c r="O10" s="11" t="s">
        <v>23</v>
      </c>
      <c r="P10" s="11" t="s">
        <v>84</v>
      </c>
      <c r="Q10" s="11" t="s">
        <v>86</v>
      </c>
      <c r="R10" s="11">
        <v>750</v>
      </c>
      <c r="S10" s="40" t="s">
        <v>39</v>
      </c>
      <c r="T10" s="11">
        <v>900</v>
      </c>
      <c r="U10" s="11" t="s">
        <v>45</v>
      </c>
      <c r="V10" s="11" t="s">
        <v>84</v>
      </c>
      <c r="W10" s="11" t="s">
        <v>86</v>
      </c>
      <c r="X10" s="40" t="s">
        <v>19</v>
      </c>
      <c r="Y10" s="40"/>
      <c r="Z10" s="40"/>
      <c r="AA10" s="40" t="s">
        <v>65</v>
      </c>
      <c r="AB10" s="12" t="s">
        <v>19</v>
      </c>
      <c r="AC10" s="11" t="s">
        <v>45</v>
      </c>
      <c r="AD10" s="11" t="s">
        <v>45</v>
      </c>
      <c r="AE10" s="11" t="s">
        <v>116</v>
      </c>
      <c r="AF10" s="11" t="s">
        <v>50</v>
      </c>
      <c r="AG10" s="13" t="s">
        <v>60</v>
      </c>
      <c r="AH10" s="13" t="s">
        <v>62</v>
      </c>
      <c r="AI10" s="13" t="s">
        <v>45</v>
      </c>
      <c r="AJ10" s="13" t="s">
        <v>23</v>
      </c>
      <c r="AK10" s="13" t="s">
        <v>23</v>
      </c>
      <c r="AL10" s="133" t="s">
        <v>2598</v>
      </c>
      <c r="AM10" s="134"/>
      <c r="AN10" s="134"/>
      <c r="AO10" s="134"/>
      <c r="AP10" s="135"/>
    </row>
    <row r="11" spans="1:44" s="10" customFormat="1" ht="15" customHeight="1" x14ac:dyDescent="0.4">
      <c r="A11" s="6">
        <v>13</v>
      </c>
      <c r="B11" s="6">
        <v>202</v>
      </c>
      <c r="C11" s="6" t="s">
        <v>80</v>
      </c>
      <c r="D11" s="18" t="s">
        <v>2679</v>
      </c>
      <c r="E11" s="34" t="s">
        <v>18</v>
      </c>
      <c r="F11" s="6" t="s">
        <v>2680</v>
      </c>
      <c r="G11" s="6" t="s">
        <v>43</v>
      </c>
      <c r="H11" s="6" t="s">
        <v>52</v>
      </c>
      <c r="I11" s="6" t="s">
        <v>84</v>
      </c>
      <c r="J11" s="6" t="s">
        <v>85</v>
      </c>
      <c r="K11" s="6" t="s">
        <v>60</v>
      </c>
      <c r="L11" s="6" t="s">
        <v>92</v>
      </c>
      <c r="M11" s="6" t="s">
        <v>45</v>
      </c>
      <c r="N11" s="6" t="s">
        <v>23</v>
      </c>
      <c r="O11" s="6" t="s">
        <v>23</v>
      </c>
      <c r="P11" s="6" t="s">
        <v>84</v>
      </c>
      <c r="Q11" s="6" t="s">
        <v>86</v>
      </c>
      <c r="R11" s="6">
        <v>750</v>
      </c>
      <c r="S11" s="6" t="s">
        <v>39</v>
      </c>
      <c r="T11" s="6">
        <v>800</v>
      </c>
      <c r="U11" s="6" t="s">
        <v>45</v>
      </c>
      <c r="V11" s="6" t="s">
        <v>84</v>
      </c>
      <c r="W11" s="6" t="s">
        <v>86</v>
      </c>
      <c r="X11" s="6" t="s">
        <v>60</v>
      </c>
      <c r="Y11" s="6" t="s">
        <v>87</v>
      </c>
      <c r="Z11" s="6" t="s">
        <v>2681</v>
      </c>
      <c r="AA11" s="6" t="s">
        <v>39</v>
      </c>
      <c r="AB11" s="15" t="s">
        <v>88</v>
      </c>
      <c r="AC11" s="16" t="s">
        <v>45</v>
      </c>
      <c r="AD11" s="16" t="s">
        <v>23</v>
      </c>
      <c r="AE11" s="16" t="s">
        <v>50</v>
      </c>
      <c r="AF11" s="16" t="s">
        <v>50</v>
      </c>
      <c r="AG11" s="17" t="s">
        <v>60</v>
      </c>
      <c r="AH11" s="17" t="s">
        <v>62</v>
      </c>
      <c r="AI11" s="17" t="s">
        <v>23</v>
      </c>
      <c r="AJ11" s="17" t="s">
        <v>23</v>
      </c>
      <c r="AK11" s="17" t="s">
        <v>45</v>
      </c>
      <c r="AL11" s="106" t="s">
        <v>2682</v>
      </c>
      <c r="AM11" s="107"/>
      <c r="AN11" s="107"/>
      <c r="AO11" s="107"/>
      <c r="AP11" s="108"/>
    </row>
    <row r="12" spans="1:44" s="14" customFormat="1" ht="36" customHeight="1" x14ac:dyDescent="0.4">
      <c r="A12" s="11">
        <v>13</v>
      </c>
      <c r="B12" s="11">
        <v>302</v>
      </c>
      <c r="C12" s="11" t="s">
        <v>80</v>
      </c>
      <c r="D12" s="13" t="s">
        <v>2631</v>
      </c>
      <c r="E12" s="33" t="s">
        <v>18</v>
      </c>
      <c r="F12" s="45" t="s">
        <v>2632</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640</v>
      </c>
      <c r="U12" s="11" t="s">
        <v>45</v>
      </c>
      <c r="V12" s="11" t="s">
        <v>84</v>
      </c>
      <c r="W12" s="11" t="s">
        <v>86</v>
      </c>
      <c r="X12" s="40" t="s">
        <v>60</v>
      </c>
      <c r="Y12" s="40" t="s">
        <v>87</v>
      </c>
      <c r="Z12" s="40"/>
      <c r="AA12" s="40" t="s">
        <v>39</v>
      </c>
      <c r="AB12" s="12" t="s">
        <v>88</v>
      </c>
      <c r="AC12" s="11" t="s">
        <v>45</v>
      </c>
      <c r="AD12" s="11" t="s">
        <v>23</v>
      </c>
      <c r="AE12" s="11" t="s">
        <v>116</v>
      </c>
      <c r="AF12" s="11" t="s">
        <v>116</v>
      </c>
      <c r="AG12" s="13" t="s">
        <v>60</v>
      </c>
      <c r="AH12" s="13" t="s">
        <v>62</v>
      </c>
      <c r="AI12" s="13" t="s">
        <v>45</v>
      </c>
      <c r="AJ12" s="13" t="s">
        <v>23</v>
      </c>
      <c r="AK12" s="13" t="s">
        <v>45</v>
      </c>
      <c r="AL12" s="133" t="s">
        <v>2683</v>
      </c>
      <c r="AM12" s="134"/>
      <c r="AN12" s="134"/>
      <c r="AO12" s="134"/>
      <c r="AP12" s="135"/>
    </row>
    <row r="13" spans="1:44" s="10" customFormat="1" ht="49.5" customHeight="1" x14ac:dyDescent="0.4">
      <c r="A13" s="6">
        <v>13</v>
      </c>
      <c r="B13" s="6">
        <v>402</v>
      </c>
      <c r="C13" s="6" t="s">
        <v>80</v>
      </c>
      <c r="D13" s="18" t="s">
        <v>2558</v>
      </c>
      <c r="E13" s="34" t="s">
        <v>18</v>
      </c>
      <c r="F13" s="6" t="s">
        <v>2559</v>
      </c>
      <c r="G13" s="6" t="s">
        <v>43</v>
      </c>
      <c r="H13" s="6" t="s">
        <v>52</v>
      </c>
      <c r="I13" s="6" t="s">
        <v>84</v>
      </c>
      <c r="J13" s="6" t="s">
        <v>85</v>
      </c>
      <c r="K13" s="6" t="s">
        <v>19</v>
      </c>
      <c r="L13" s="6" t="s">
        <v>24</v>
      </c>
      <c r="M13" s="6" t="s">
        <v>45</v>
      </c>
      <c r="N13" s="6" t="s">
        <v>45</v>
      </c>
      <c r="O13" s="6" t="s">
        <v>23</v>
      </c>
      <c r="P13" s="6" t="s">
        <v>84</v>
      </c>
      <c r="Q13" s="6" t="s">
        <v>86</v>
      </c>
      <c r="R13" s="6">
        <v>750</v>
      </c>
      <c r="S13" s="6" t="s">
        <v>39</v>
      </c>
      <c r="T13" s="6">
        <v>900</v>
      </c>
      <c r="U13" s="6" t="s">
        <v>45</v>
      </c>
      <c r="V13" s="6" t="s">
        <v>84</v>
      </c>
      <c r="W13" s="6" t="s">
        <v>86</v>
      </c>
      <c r="X13" s="6" t="s">
        <v>19</v>
      </c>
      <c r="Y13" s="6"/>
      <c r="Z13" s="6"/>
      <c r="AA13" s="6" t="s">
        <v>65</v>
      </c>
      <c r="AB13" s="15" t="s">
        <v>19</v>
      </c>
      <c r="AC13" s="16" t="s">
        <v>45</v>
      </c>
      <c r="AD13" s="16" t="s">
        <v>45</v>
      </c>
      <c r="AE13" s="16" t="s">
        <v>116</v>
      </c>
      <c r="AF13" s="16" t="s">
        <v>50</v>
      </c>
      <c r="AG13" s="17" t="s">
        <v>60</v>
      </c>
      <c r="AH13" s="17" t="s">
        <v>62</v>
      </c>
      <c r="AI13" s="17" t="s">
        <v>45</v>
      </c>
      <c r="AJ13" s="17" t="s">
        <v>23</v>
      </c>
      <c r="AK13" s="17" t="s">
        <v>45</v>
      </c>
      <c r="AL13" s="106" t="s">
        <v>2560</v>
      </c>
      <c r="AM13" s="107"/>
      <c r="AN13" s="107"/>
      <c r="AO13" s="107"/>
      <c r="AP13" s="108"/>
    </row>
    <row r="14" spans="1:44" s="14" customFormat="1" ht="61.5" customHeight="1" x14ac:dyDescent="0.4">
      <c r="A14" s="11">
        <v>13</v>
      </c>
      <c r="B14" s="11">
        <v>502</v>
      </c>
      <c r="C14" s="11" t="s">
        <v>80</v>
      </c>
      <c r="D14" s="61" t="s">
        <v>2245</v>
      </c>
      <c r="E14" s="33" t="s">
        <v>18</v>
      </c>
      <c r="F14" s="11" t="s">
        <v>2246</v>
      </c>
      <c r="G14" s="11" t="s">
        <v>43</v>
      </c>
      <c r="H14" s="11" t="s">
        <v>52</v>
      </c>
      <c r="I14" s="11" t="s">
        <v>84</v>
      </c>
      <c r="J14" s="11" t="s">
        <v>85</v>
      </c>
      <c r="K14" s="11" t="s">
        <v>60</v>
      </c>
      <c r="L14" s="11" t="s">
        <v>92</v>
      </c>
      <c r="M14" s="11" t="s">
        <v>45</v>
      </c>
      <c r="N14" s="11" t="s">
        <v>23</v>
      </c>
      <c r="O14" s="11" t="s">
        <v>23</v>
      </c>
      <c r="P14" s="11" t="s">
        <v>84</v>
      </c>
      <c r="Q14" s="11" t="s">
        <v>86</v>
      </c>
      <c r="R14" s="11">
        <v>750</v>
      </c>
      <c r="S14" s="40" t="s">
        <v>39</v>
      </c>
      <c r="T14" s="11">
        <v>900</v>
      </c>
      <c r="U14" s="11" t="s">
        <v>45</v>
      </c>
      <c r="V14" s="11" t="s">
        <v>84</v>
      </c>
      <c r="W14" s="11" t="s">
        <v>86</v>
      </c>
      <c r="X14" s="40" t="s">
        <v>60</v>
      </c>
      <c r="Y14" s="40" t="s">
        <v>87</v>
      </c>
      <c r="Z14" s="40" t="s">
        <v>2247</v>
      </c>
      <c r="AA14" s="40" t="s">
        <v>39</v>
      </c>
      <c r="AB14" s="12" t="s">
        <v>19</v>
      </c>
      <c r="AC14" s="11" t="s">
        <v>45</v>
      </c>
      <c r="AD14" s="11" t="s">
        <v>45</v>
      </c>
      <c r="AE14" s="11" t="s">
        <v>116</v>
      </c>
      <c r="AF14" s="11" t="s">
        <v>50</v>
      </c>
      <c r="AG14" s="13" t="s">
        <v>60</v>
      </c>
      <c r="AH14" s="13" t="s">
        <v>62</v>
      </c>
      <c r="AI14" s="13" t="s">
        <v>45</v>
      </c>
      <c r="AJ14" s="13" t="s">
        <v>45</v>
      </c>
      <c r="AK14" s="13" t="s">
        <v>45</v>
      </c>
      <c r="AL14" s="133" t="s">
        <v>2248</v>
      </c>
      <c r="AM14" s="134"/>
      <c r="AN14" s="134"/>
      <c r="AO14" s="134"/>
      <c r="AP14" s="135"/>
    </row>
    <row r="15" spans="1:44" s="10" customFormat="1" ht="15" customHeight="1" x14ac:dyDescent="0.4">
      <c r="A15" s="6">
        <v>13</v>
      </c>
      <c r="B15" s="6">
        <v>103</v>
      </c>
      <c r="C15" s="6" t="s">
        <v>80</v>
      </c>
      <c r="D15" s="18"/>
      <c r="E15" s="34" t="s">
        <v>18</v>
      </c>
      <c r="F15" s="6"/>
      <c r="G15" s="6"/>
      <c r="H15" s="6"/>
      <c r="I15" s="6"/>
      <c r="J15" s="6"/>
      <c r="K15" s="6"/>
      <c r="L15" s="6"/>
      <c r="M15" s="6"/>
      <c r="N15" s="6"/>
      <c r="O15" s="6"/>
      <c r="P15" s="6"/>
      <c r="Q15" s="6"/>
      <c r="R15" s="6"/>
      <c r="S15" s="6"/>
      <c r="T15" s="6"/>
      <c r="U15" s="6"/>
      <c r="V15" s="6"/>
      <c r="W15" s="6"/>
      <c r="X15" s="6"/>
      <c r="Y15" s="6"/>
      <c r="Z15" s="6"/>
      <c r="AA15" s="6"/>
      <c r="AB15" s="15"/>
      <c r="AC15" s="16"/>
      <c r="AD15" s="16"/>
      <c r="AE15" s="16"/>
      <c r="AF15" s="16"/>
      <c r="AG15" s="17"/>
      <c r="AH15" s="17"/>
      <c r="AI15" s="17"/>
      <c r="AJ15" s="17"/>
      <c r="AK15" s="17"/>
      <c r="AL15" s="106"/>
      <c r="AM15" s="107"/>
      <c r="AN15" s="107"/>
      <c r="AO15" s="107"/>
      <c r="AP15" s="108"/>
    </row>
    <row r="16" spans="1:44" s="14" customFormat="1" ht="38.25" customHeight="1" x14ac:dyDescent="0.4">
      <c r="A16" s="11">
        <v>13</v>
      </c>
      <c r="B16" s="11">
        <v>203</v>
      </c>
      <c r="C16" s="11" t="s">
        <v>80</v>
      </c>
      <c r="D16" s="13" t="s">
        <v>2588</v>
      </c>
      <c r="E16" s="33" t="s">
        <v>18</v>
      </c>
      <c r="F16" s="45" t="s">
        <v>2589</v>
      </c>
      <c r="G16" s="11" t="s">
        <v>43</v>
      </c>
      <c r="H16" s="11" t="s">
        <v>52</v>
      </c>
      <c r="I16" s="11" t="s">
        <v>84</v>
      </c>
      <c r="J16" s="11" t="s">
        <v>85</v>
      </c>
      <c r="K16" s="11" t="s">
        <v>60</v>
      </c>
      <c r="L16" s="11" t="s">
        <v>92</v>
      </c>
      <c r="M16" s="11" t="s">
        <v>45</v>
      </c>
      <c r="N16" s="11" t="s">
        <v>23</v>
      </c>
      <c r="O16" s="11" t="s">
        <v>45</v>
      </c>
      <c r="P16" s="11" t="s">
        <v>84</v>
      </c>
      <c r="Q16" s="11" t="s">
        <v>86</v>
      </c>
      <c r="R16" s="11">
        <v>750</v>
      </c>
      <c r="S16" s="40" t="s">
        <v>39</v>
      </c>
      <c r="T16" s="11">
        <v>900</v>
      </c>
      <c r="U16" s="11" t="s">
        <v>45</v>
      </c>
      <c r="V16" s="11" t="s">
        <v>84</v>
      </c>
      <c r="W16" s="11" t="s">
        <v>86</v>
      </c>
      <c r="X16" s="40" t="s">
        <v>60</v>
      </c>
      <c r="Y16" s="40" t="s">
        <v>87</v>
      </c>
      <c r="Z16" s="40" t="s">
        <v>2590</v>
      </c>
      <c r="AA16" s="40" t="s">
        <v>39</v>
      </c>
      <c r="AB16" s="12" t="s">
        <v>88</v>
      </c>
      <c r="AC16" s="11" t="s">
        <v>45</v>
      </c>
      <c r="AD16" s="11" t="s">
        <v>23</v>
      </c>
      <c r="AE16" s="11" t="s">
        <v>116</v>
      </c>
      <c r="AF16" s="11" t="s">
        <v>50</v>
      </c>
      <c r="AG16" s="13" t="s">
        <v>60</v>
      </c>
      <c r="AH16" s="13" t="s">
        <v>62</v>
      </c>
      <c r="AI16" s="13" t="s">
        <v>23</v>
      </c>
      <c r="AJ16" s="13" t="s">
        <v>45</v>
      </c>
      <c r="AK16" s="13" t="s">
        <v>45</v>
      </c>
      <c r="AL16" s="133" t="s">
        <v>2591</v>
      </c>
      <c r="AM16" s="134"/>
      <c r="AN16" s="134"/>
      <c r="AO16" s="134"/>
      <c r="AP16" s="135"/>
    </row>
    <row r="17" spans="1:42" s="10" customFormat="1" ht="15" customHeight="1" x14ac:dyDescent="0.4">
      <c r="A17" s="6">
        <v>13</v>
      </c>
      <c r="B17" s="6">
        <v>303</v>
      </c>
      <c r="C17" s="6" t="s">
        <v>80</v>
      </c>
      <c r="D17" s="18" t="s">
        <v>2633</v>
      </c>
      <c r="E17" s="34" t="s">
        <v>18</v>
      </c>
      <c r="F17" s="6" t="s">
        <v>2634</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84</v>
      </c>
      <c r="W17" s="6" t="s">
        <v>86</v>
      </c>
      <c r="X17" s="6" t="s">
        <v>60</v>
      </c>
      <c r="Y17" s="6" t="s">
        <v>87</v>
      </c>
      <c r="Z17" s="6" t="s">
        <v>2635</v>
      </c>
      <c r="AA17" s="6" t="s">
        <v>39</v>
      </c>
      <c r="AB17" s="15" t="s">
        <v>88</v>
      </c>
      <c r="AC17" s="16" t="s">
        <v>23</v>
      </c>
      <c r="AD17" s="16" t="s">
        <v>45</v>
      </c>
      <c r="AE17" s="16" t="s">
        <v>50</v>
      </c>
      <c r="AF17" s="16" t="s">
        <v>50</v>
      </c>
      <c r="AG17" s="17" t="s">
        <v>60</v>
      </c>
      <c r="AH17" s="17" t="s">
        <v>62</v>
      </c>
      <c r="AI17" s="17" t="s">
        <v>45</v>
      </c>
      <c r="AJ17" s="17" t="s">
        <v>23</v>
      </c>
      <c r="AK17" s="17" t="s">
        <v>45</v>
      </c>
      <c r="AL17" s="106" t="s">
        <v>2636</v>
      </c>
      <c r="AM17" s="107"/>
      <c r="AN17" s="107"/>
      <c r="AO17" s="107"/>
      <c r="AP17" s="108"/>
    </row>
    <row r="18" spans="1:42" s="14" customFormat="1" ht="39" customHeight="1" x14ac:dyDescent="0.4">
      <c r="A18" s="11">
        <v>13</v>
      </c>
      <c r="B18" s="11">
        <v>403</v>
      </c>
      <c r="C18" s="11" t="s">
        <v>80</v>
      </c>
      <c r="D18" s="13" t="s">
        <v>2592</v>
      </c>
      <c r="E18" s="33" t="s">
        <v>18</v>
      </c>
      <c r="F18" s="11" t="s">
        <v>2593</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87</v>
      </c>
      <c r="Z18" s="40" t="s">
        <v>2594</v>
      </c>
      <c r="AA18" s="40" t="s">
        <v>39</v>
      </c>
      <c r="AB18" s="12" t="s">
        <v>88</v>
      </c>
      <c r="AC18" s="11" t="s">
        <v>45</v>
      </c>
      <c r="AD18" s="11" t="s">
        <v>45</v>
      </c>
      <c r="AE18" s="11" t="s">
        <v>116</v>
      </c>
      <c r="AF18" s="11" t="s">
        <v>50</v>
      </c>
      <c r="AG18" s="13" t="s">
        <v>60</v>
      </c>
      <c r="AH18" s="13" t="s">
        <v>62</v>
      </c>
      <c r="AI18" s="13" t="s">
        <v>23</v>
      </c>
      <c r="AJ18" s="13" t="s">
        <v>23</v>
      </c>
      <c r="AK18" s="13" t="s">
        <v>45</v>
      </c>
      <c r="AL18" s="133" t="s">
        <v>2596</v>
      </c>
      <c r="AM18" s="134"/>
      <c r="AN18" s="134"/>
      <c r="AO18" s="134"/>
      <c r="AP18" s="135"/>
    </row>
    <row r="19" spans="1:42" s="10" customFormat="1" ht="38.25" customHeight="1" x14ac:dyDescent="0.4">
      <c r="A19" s="6">
        <v>13</v>
      </c>
      <c r="B19" s="6">
        <v>503</v>
      </c>
      <c r="C19" s="6" t="s">
        <v>80</v>
      </c>
      <c r="D19" s="18" t="s">
        <v>2573</v>
      </c>
      <c r="E19" s="34" t="s">
        <v>18</v>
      </c>
      <c r="F19" s="6" t="s">
        <v>2574</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2575</v>
      </c>
      <c r="AA19" s="6" t="s">
        <v>39</v>
      </c>
      <c r="AB19" s="15" t="s">
        <v>88</v>
      </c>
      <c r="AC19" s="16" t="s">
        <v>45</v>
      </c>
      <c r="AD19" s="16" t="s">
        <v>23</v>
      </c>
      <c r="AE19" s="16" t="s">
        <v>50</v>
      </c>
      <c r="AF19" s="16" t="s">
        <v>50</v>
      </c>
      <c r="AG19" s="17" t="s">
        <v>60</v>
      </c>
      <c r="AH19" s="17" t="s">
        <v>62</v>
      </c>
      <c r="AI19" s="17" t="s">
        <v>45</v>
      </c>
      <c r="AJ19" s="17" t="s">
        <v>23</v>
      </c>
      <c r="AK19" s="17" t="s">
        <v>45</v>
      </c>
      <c r="AL19" s="106" t="s">
        <v>2595</v>
      </c>
      <c r="AM19" s="107"/>
      <c r="AN19" s="107"/>
      <c r="AO19" s="107"/>
      <c r="AP19" s="108"/>
    </row>
    <row r="20" spans="1:42" s="14" customFormat="1" ht="44.25" customHeight="1" x14ac:dyDescent="0.4">
      <c r="A20" s="11">
        <v>13</v>
      </c>
      <c r="B20" s="11">
        <v>104</v>
      </c>
      <c r="C20" s="11" t="s">
        <v>80</v>
      </c>
      <c r="D20" s="13" t="s">
        <v>2576</v>
      </c>
      <c r="E20" s="33" t="s">
        <v>18</v>
      </c>
      <c r="F20" s="11" t="s">
        <v>2577</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531</v>
      </c>
      <c r="Z20" s="40"/>
      <c r="AA20" s="40" t="s">
        <v>65</v>
      </c>
      <c r="AB20" s="12" t="s">
        <v>88</v>
      </c>
      <c r="AC20" s="11" t="s">
        <v>45</v>
      </c>
      <c r="AD20" s="11" t="s">
        <v>45</v>
      </c>
      <c r="AE20" s="11" t="s">
        <v>46</v>
      </c>
      <c r="AF20" s="11" t="s">
        <v>46</v>
      </c>
      <c r="AG20" s="13" t="s">
        <v>60</v>
      </c>
      <c r="AH20" s="13" t="s">
        <v>62</v>
      </c>
      <c r="AI20" s="13" t="s">
        <v>45</v>
      </c>
      <c r="AJ20" s="13" t="s">
        <v>23</v>
      </c>
      <c r="AK20" s="13" t="s">
        <v>23</v>
      </c>
      <c r="AL20" s="133" t="s">
        <v>2582</v>
      </c>
      <c r="AM20" s="134"/>
      <c r="AN20" s="134"/>
      <c r="AO20" s="134"/>
      <c r="AP20" s="135"/>
    </row>
    <row r="21" spans="1:42" s="10" customFormat="1" ht="37.5" customHeight="1" x14ac:dyDescent="0.4">
      <c r="A21" s="6">
        <v>13</v>
      </c>
      <c r="B21" s="6">
        <v>204</v>
      </c>
      <c r="C21" s="6" t="s">
        <v>80</v>
      </c>
      <c r="D21" s="18" t="s">
        <v>2578</v>
      </c>
      <c r="E21" s="34" t="s">
        <v>18</v>
      </c>
      <c r="F21" s="46" t="s">
        <v>2579</v>
      </c>
      <c r="G21" s="6" t="s">
        <v>43</v>
      </c>
      <c r="H21" s="6" t="s">
        <v>52</v>
      </c>
      <c r="I21" s="6" t="s">
        <v>84</v>
      </c>
      <c r="J21" s="6" t="s">
        <v>85</v>
      </c>
      <c r="K21" s="6" t="s">
        <v>37</v>
      </c>
      <c r="L21" s="6" t="s">
        <v>92</v>
      </c>
      <c r="M21" s="6" t="s">
        <v>45</v>
      </c>
      <c r="N21" s="6" t="s">
        <v>45</v>
      </c>
      <c r="O21" s="6" t="s">
        <v>23</v>
      </c>
      <c r="P21" s="6" t="s">
        <v>84</v>
      </c>
      <c r="Q21" s="6" t="s">
        <v>86</v>
      </c>
      <c r="R21" s="6">
        <v>750</v>
      </c>
      <c r="S21" s="6" t="s">
        <v>39</v>
      </c>
      <c r="T21" s="6">
        <v>900</v>
      </c>
      <c r="U21" s="6" t="s">
        <v>45</v>
      </c>
      <c r="V21" s="6" t="s">
        <v>84</v>
      </c>
      <c r="W21" s="6" t="s">
        <v>86</v>
      </c>
      <c r="X21" s="6" t="s">
        <v>60</v>
      </c>
      <c r="Y21" s="6" t="s">
        <v>344</v>
      </c>
      <c r="Z21" s="46" t="s">
        <v>2580</v>
      </c>
      <c r="AA21" s="6" t="s">
        <v>39</v>
      </c>
      <c r="AB21" s="15" t="s">
        <v>88</v>
      </c>
      <c r="AC21" s="16" t="s">
        <v>23</v>
      </c>
      <c r="AD21" s="16" t="s">
        <v>23</v>
      </c>
      <c r="AE21" s="16" t="s">
        <v>50</v>
      </c>
      <c r="AF21" s="16" t="s">
        <v>50</v>
      </c>
      <c r="AG21" s="17" t="s">
        <v>60</v>
      </c>
      <c r="AH21" s="17" t="s">
        <v>62</v>
      </c>
      <c r="AI21" s="17" t="s">
        <v>45</v>
      </c>
      <c r="AJ21" s="17" t="s">
        <v>45</v>
      </c>
      <c r="AK21" s="17" t="s">
        <v>45</v>
      </c>
      <c r="AL21" s="106" t="s">
        <v>2581</v>
      </c>
      <c r="AM21" s="107"/>
      <c r="AN21" s="107"/>
      <c r="AO21" s="107"/>
      <c r="AP21" s="108"/>
    </row>
    <row r="22" spans="1:42" s="14" customFormat="1" ht="35.25" customHeight="1" x14ac:dyDescent="0.4">
      <c r="A22" s="11">
        <v>13</v>
      </c>
      <c r="B22" s="11">
        <v>304</v>
      </c>
      <c r="C22" s="11" t="s">
        <v>80</v>
      </c>
      <c r="D22" s="13" t="s">
        <v>2583</v>
      </c>
      <c r="E22" s="33" t="s">
        <v>18</v>
      </c>
      <c r="F22" s="45" t="s">
        <v>2584</v>
      </c>
      <c r="G22" s="11" t="s">
        <v>43</v>
      </c>
      <c r="H22" s="11" t="s">
        <v>52</v>
      </c>
      <c r="I22" s="11" t="s">
        <v>84</v>
      </c>
      <c r="J22" s="11" t="s">
        <v>85</v>
      </c>
      <c r="K22" s="11" t="s">
        <v>60</v>
      </c>
      <c r="L22" s="11" t="s">
        <v>92</v>
      </c>
      <c r="M22" s="11" t="s">
        <v>45</v>
      </c>
      <c r="N22" s="11" t="s">
        <v>45</v>
      </c>
      <c r="O22" s="11" t="s">
        <v>45</v>
      </c>
      <c r="P22" s="11" t="s">
        <v>84</v>
      </c>
      <c r="Q22" s="11" t="s">
        <v>86</v>
      </c>
      <c r="R22" s="11" t="s">
        <v>2585</v>
      </c>
      <c r="S22" s="40" t="s">
        <v>39</v>
      </c>
      <c r="T22" s="11">
        <v>900</v>
      </c>
      <c r="U22" s="11" t="s">
        <v>45</v>
      </c>
      <c r="V22" s="11" t="s">
        <v>84</v>
      </c>
      <c r="W22" s="11" t="s">
        <v>86</v>
      </c>
      <c r="X22" s="40" t="s">
        <v>60</v>
      </c>
      <c r="Y22" s="40" t="s">
        <v>87</v>
      </c>
      <c r="Z22" s="40" t="s">
        <v>2586</v>
      </c>
      <c r="AA22" s="40" t="s">
        <v>39</v>
      </c>
      <c r="AB22" s="12" t="s">
        <v>88</v>
      </c>
      <c r="AC22" s="11" t="s">
        <v>45</v>
      </c>
      <c r="AD22" s="11" t="s">
        <v>23</v>
      </c>
      <c r="AE22" s="11" t="s">
        <v>50</v>
      </c>
      <c r="AF22" s="11" t="s">
        <v>50</v>
      </c>
      <c r="AG22" s="13" t="s">
        <v>60</v>
      </c>
      <c r="AH22" s="13" t="s">
        <v>62</v>
      </c>
      <c r="AI22" s="13" t="s">
        <v>45</v>
      </c>
      <c r="AJ22" s="13" t="s">
        <v>45</v>
      </c>
      <c r="AK22" s="13" t="s">
        <v>45</v>
      </c>
      <c r="AL22" s="133" t="s">
        <v>2587</v>
      </c>
      <c r="AM22" s="134"/>
      <c r="AN22" s="134"/>
      <c r="AO22" s="134"/>
      <c r="AP22" s="135"/>
    </row>
    <row r="23" spans="1:42" s="10" customFormat="1" ht="33" customHeight="1" x14ac:dyDescent="0.4">
      <c r="A23" s="6">
        <v>13</v>
      </c>
      <c r="B23" s="6">
        <v>404</v>
      </c>
      <c r="C23" s="6" t="s">
        <v>80</v>
      </c>
      <c r="D23" s="18" t="s">
        <v>2648</v>
      </c>
      <c r="E23" s="34" t="s">
        <v>18</v>
      </c>
      <c r="F23" s="6" t="s">
        <v>2649</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2650</v>
      </c>
      <c r="Z23" s="6"/>
      <c r="AA23" s="6" t="s">
        <v>39</v>
      </c>
      <c r="AB23" s="15" t="s">
        <v>88</v>
      </c>
      <c r="AC23" s="16" t="s">
        <v>45</v>
      </c>
      <c r="AD23" s="16" t="s">
        <v>23</v>
      </c>
      <c r="AE23" s="16" t="s">
        <v>50</v>
      </c>
      <c r="AF23" s="16" t="s">
        <v>50</v>
      </c>
      <c r="AG23" s="17" t="s">
        <v>60</v>
      </c>
      <c r="AH23" s="17" t="s">
        <v>62</v>
      </c>
      <c r="AI23" s="17" t="s">
        <v>45</v>
      </c>
      <c r="AJ23" s="17" t="s">
        <v>45</v>
      </c>
      <c r="AK23" s="17" t="s">
        <v>23</v>
      </c>
      <c r="AL23" s="106" t="s">
        <v>2651</v>
      </c>
      <c r="AM23" s="107"/>
      <c r="AN23" s="107"/>
      <c r="AO23" s="107"/>
      <c r="AP23" s="108"/>
    </row>
    <row r="24" spans="1:42" s="14" customFormat="1" ht="15" customHeight="1" x14ac:dyDescent="0.4">
      <c r="A24" s="11">
        <v>13</v>
      </c>
      <c r="B24" s="11">
        <v>504</v>
      </c>
      <c r="C24" s="11" t="s">
        <v>80</v>
      </c>
      <c r="D24" s="13" t="s">
        <v>2718</v>
      </c>
      <c r="E24" s="33" t="s">
        <v>18</v>
      </c>
      <c r="F24" s="11" t="s">
        <v>2719</v>
      </c>
      <c r="G24" s="11" t="s">
        <v>43</v>
      </c>
      <c r="H24" s="11" t="s">
        <v>52</v>
      </c>
      <c r="I24" s="11" t="s">
        <v>84</v>
      </c>
      <c r="J24" s="11" t="s">
        <v>85</v>
      </c>
      <c r="K24" s="11" t="s">
        <v>60</v>
      </c>
      <c r="L24" s="11" t="s">
        <v>92</v>
      </c>
      <c r="M24" s="11" t="s">
        <v>45</v>
      </c>
      <c r="N24" s="11" t="s">
        <v>45</v>
      </c>
      <c r="O24" s="11" t="s">
        <v>23</v>
      </c>
      <c r="P24" s="11" t="s">
        <v>84</v>
      </c>
      <c r="Q24" s="11" t="s">
        <v>86</v>
      </c>
      <c r="R24" s="11" t="s">
        <v>2720</v>
      </c>
      <c r="S24" s="40" t="s">
        <v>39</v>
      </c>
      <c r="T24" s="11">
        <v>900</v>
      </c>
      <c r="U24" s="11" t="s">
        <v>45</v>
      </c>
      <c r="V24" s="11" t="s">
        <v>84</v>
      </c>
      <c r="W24" s="11" t="s">
        <v>86</v>
      </c>
      <c r="X24" s="40" t="s">
        <v>60</v>
      </c>
      <c r="Y24" s="40" t="s">
        <v>141</v>
      </c>
      <c r="Z24" s="40"/>
      <c r="AA24" s="40" t="s">
        <v>39</v>
      </c>
      <c r="AB24" s="12" t="s">
        <v>88</v>
      </c>
      <c r="AC24" s="11" t="s">
        <v>45</v>
      </c>
      <c r="AD24" s="11" t="s">
        <v>23</v>
      </c>
      <c r="AE24" s="11" t="s">
        <v>50</v>
      </c>
      <c r="AF24" s="11" t="s">
        <v>50</v>
      </c>
      <c r="AG24" s="13" t="s">
        <v>60</v>
      </c>
      <c r="AH24" s="13" t="s">
        <v>62</v>
      </c>
      <c r="AI24" s="13" t="s">
        <v>45</v>
      </c>
      <c r="AJ24" s="13" t="s">
        <v>45</v>
      </c>
      <c r="AK24" s="13" t="s">
        <v>45</v>
      </c>
      <c r="AL24" s="133" t="s">
        <v>2721</v>
      </c>
      <c r="AM24" s="134"/>
      <c r="AN24" s="134"/>
      <c r="AO24" s="134"/>
      <c r="AP24" s="135"/>
    </row>
    <row r="25" spans="1:42" s="10" customFormat="1" ht="32.25" customHeight="1" x14ac:dyDescent="0.4">
      <c r="A25" s="6">
        <v>13</v>
      </c>
      <c r="B25" s="6">
        <v>105</v>
      </c>
      <c r="C25" s="6" t="s">
        <v>80</v>
      </c>
      <c r="D25" s="18" t="s">
        <v>2624</v>
      </c>
      <c r="E25" s="34" t="s">
        <v>18</v>
      </c>
      <c r="F25" s="51" t="s">
        <v>2625</v>
      </c>
      <c r="G25" s="6" t="s">
        <v>43</v>
      </c>
      <c r="H25" s="6" t="s">
        <v>52</v>
      </c>
      <c r="I25" s="6" t="s">
        <v>84</v>
      </c>
      <c r="J25" s="6" t="s">
        <v>85</v>
      </c>
      <c r="K25" s="6" t="s">
        <v>60</v>
      </c>
      <c r="L25" s="6" t="s">
        <v>92</v>
      </c>
      <c r="M25" s="6" t="s">
        <v>45</v>
      </c>
      <c r="N25" s="6" t="s">
        <v>23</v>
      </c>
      <c r="O25" s="6" t="s">
        <v>23</v>
      </c>
      <c r="P25" s="6" t="s">
        <v>84</v>
      </c>
      <c r="Q25" s="6" t="s">
        <v>86</v>
      </c>
      <c r="R25" s="6">
        <v>750</v>
      </c>
      <c r="S25" s="6" t="s">
        <v>39</v>
      </c>
      <c r="T25" s="6">
        <v>740</v>
      </c>
      <c r="U25" s="6" t="s">
        <v>45</v>
      </c>
      <c r="V25" s="6" t="s">
        <v>84</v>
      </c>
      <c r="W25" s="6" t="s">
        <v>86</v>
      </c>
      <c r="X25" s="6" t="s">
        <v>60</v>
      </c>
      <c r="Y25" s="6" t="s">
        <v>87</v>
      </c>
      <c r="Z25" s="6" t="s">
        <v>2626</v>
      </c>
      <c r="AA25" s="6" t="s">
        <v>39</v>
      </c>
      <c r="AB25" s="15" t="s">
        <v>88</v>
      </c>
      <c r="AC25" s="16" t="s">
        <v>45</v>
      </c>
      <c r="AD25" s="16" t="s">
        <v>23</v>
      </c>
      <c r="AE25" s="16" t="s">
        <v>50</v>
      </c>
      <c r="AF25" s="16" t="s">
        <v>50</v>
      </c>
      <c r="AG25" s="17" t="s">
        <v>60</v>
      </c>
      <c r="AH25" s="17" t="s">
        <v>62</v>
      </c>
      <c r="AI25" s="17" t="s">
        <v>45</v>
      </c>
      <c r="AJ25" s="17" t="s">
        <v>45</v>
      </c>
      <c r="AK25" s="17" t="s">
        <v>45</v>
      </c>
      <c r="AL25" s="106" t="s">
        <v>2627</v>
      </c>
      <c r="AM25" s="107"/>
      <c r="AN25" s="107"/>
      <c r="AO25" s="107"/>
      <c r="AP25" s="108"/>
    </row>
    <row r="26" spans="1:42" s="14" customFormat="1" ht="36" customHeight="1" x14ac:dyDescent="0.4">
      <c r="A26" s="11">
        <v>13</v>
      </c>
      <c r="B26" s="11">
        <v>205</v>
      </c>
      <c r="C26" s="11" t="s">
        <v>80</v>
      </c>
      <c r="D26" s="13" t="s">
        <v>2657</v>
      </c>
      <c r="E26" s="33" t="s">
        <v>18</v>
      </c>
      <c r="F26" s="45" t="s">
        <v>2658</v>
      </c>
      <c r="G26" s="11" t="s">
        <v>43</v>
      </c>
      <c r="H26" s="11" t="s">
        <v>52</v>
      </c>
      <c r="I26" s="11" t="s">
        <v>84</v>
      </c>
      <c r="J26" s="11" t="s">
        <v>85</v>
      </c>
      <c r="K26" s="11" t="s">
        <v>19</v>
      </c>
      <c r="L26" s="11" t="s">
        <v>24</v>
      </c>
      <c r="M26" s="11" t="s">
        <v>45</v>
      </c>
      <c r="N26" s="11" t="s">
        <v>45</v>
      </c>
      <c r="O26" s="11" t="s">
        <v>23</v>
      </c>
      <c r="P26" s="11" t="s">
        <v>84</v>
      </c>
      <c r="Q26" s="11" t="s">
        <v>86</v>
      </c>
      <c r="R26" s="11">
        <v>750</v>
      </c>
      <c r="S26" s="40" t="s">
        <v>39</v>
      </c>
      <c r="T26" s="11">
        <v>900</v>
      </c>
      <c r="U26" s="11" t="s">
        <v>45</v>
      </c>
      <c r="V26" s="11" t="s">
        <v>84</v>
      </c>
      <c r="W26" s="11" t="s">
        <v>86</v>
      </c>
      <c r="X26" s="40" t="s">
        <v>60</v>
      </c>
      <c r="Y26" s="40" t="s">
        <v>87</v>
      </c>
      <c r="Z26" s="40" t="s">
        <v>2659</v>
      </c>
      <c r="AA26" s="40" t="s">
        <v>39</v>
      </c>
      <c r="AB26" s="12" t="s">
        <v>19</v>
      </c>
      <c r="AC26" s="11" t="s">
        <v>45</v>
      </c>
      <c r="AD26" s="11" t="s">
        <v>45</v>
      </c>
      <c r="AE26" s="11" t="s">
        <v>116</v>
      </c>
      <c r="AF26" s="11" t="s">
        <v>50</v>
      </c>
      <c r="AG26" s="13" t="s">
        <v>60</v>
      </c>
      <c r="AH26" s="13" t="s">
        <v>62</v>
      </c>
      <c r="AI26" s="13" t="s">
        <v>23</v>
      </c>
      <c r="AJ26" s="13" t="s">
        <v>23</v>
      </c>
      <c r="AK26" s="13" t="s">
        <v>23</v>
      </c>
      <c r="AL26" s="133" t="s">
        <v>2660</v>
      </c>
      <c r="AM26" s="134"/>
      <c r="AN26" s="134"/>
      <c r="AO26" s="134"/>
      <c r="AP26" s="135"/>
    </row>
    <row r="27" spans="1:42" s="10" customFormat="1" ht="41.25" customHeight="1" x14ac:dyDescent="0.4">
      <c r="A27" s="6">
        <v>13</v>
      </c>
      <c r="B27" s="6">
        <v>305</v>
      </c>
      <c r="C27" s="6" t="s">
        <v>80</v>
      </c>
      <c r="D27" s="18" t="s">
        <v>2561</v>
      </c>
      <c r="E27" s="34" t="s">
        <v>18</v>
      </c>
      <c r="F27" s="6" t="s">
        <v>2562</v>
      </c>
      <c r="G27" s="6" t="s">
        <v>43</v>
      </c>
      <c r="H27" s="6" t="s">
        <v>52</v>
      </c>
      <c r="I27" s="6" t="s">
        <v>84</v>
      </c>
      <c r="J27" s="6" t="s">
        <v>85</v>
      </c>
      <c r="K27" s="6" t="s">
        <v>60</v>
      </c>
      <c r="L27" s="6" t="s">
        <v>92</v>
      </c>
      <c r="M27" s="6" t="s">
        <v>45</v>
      </c>
      <c r="N27" s="6" t="s">
        <v>45</v>
      </c>
      <c r="O27" s="6" t="s">
        <v>23</v>
      </c>
      <c r="P27" s="6" t="s">
        <v>84</v>
      </c>
      <c r="Q27" s="6" t="s">
        <v>86</v>
      </c>
      <c r="R27" s="6">
        <v>750</v>
      </c>
      <c r="S27" s="6" t="s">
        <v>39</v>
      </c>
      <c r="T27" s="6">
        <v>900</v>
      </c>
      <c r="U27" s="6" t="s">
        <v>45</v>
      </c>
      <c r="V27" s="6" t="s">
        <v>84</v>
      </c>
      <c r="W27" s="6" t="s">
        <v>86</v>
      </c>
      <c r="X27" s="6" t="s">
        <v>60</v>
      </c>
      <c r="Y27" s="6" t="s">
        <v>87</v>
      </c>
      <c r="Z27" s="6" t="s">
        <v>2563</v>
      </c>
      <c r="AA27" s="6" t="s">
        <v>39</v>
      </c>
      <c r="AB27" s="15" t="s">
        <v>88</v>
      </c>
      <c r="AC27" s="16" t="s">
        <v>45</v>
      </c>
      <c r="AD27" s="16" t="s">
        <v>23</v>
      </c>
      <c r="AE27" s="16" t="s">
        <v>50</v>
      </c>
      <c r="AF27" s="16" t="s">
        <v>50</v>
      </c>
      <c r="AG27" s="17" t="s">
        <v>60</v>
      </c>
      <c r="AH27" s="17" t="s">
        <v>62</v>
      </c>
      <c r="AI27" s="17" t="s">
        <v>23</v>
      </c>
      <c r="AJ27" s="17" t="s">
        <v>23</v>
      </c>
      <c r="AK27" s="17" t="s">
        <v>23</v>
      </c>
      <c r="AL27" s="106" t="s">
        <v>2564</v>
      </c>
      <c r="AM27" s="107"/>
      <c r="AN27" s="107"/>
      <c r="AO27" s="107"/>
      <c r="AP27" s="108"/>
    </row>
    <row r="28" spans="1:42" s="14" customFormat="1" ht="40.5" customHeight="1" x14ac:dyDescent="0.4">
      <c r="A28" s="11">
        <v>13</v>
      </c>
      <c r="B28" s="11">
        <v>405</v>
      </c>
      <c r="C28" s="11" t="s">
        <v>80</v>
      </c>
      <c r="D28" s="13" t="s">
        <v>2609</v>
      </c>
      <c r="E28" s="33" t="s">
        <v>18</v>
      </c>
      <c r="F28" s="45" t="s">
        <v>2610</v>
      </c>
      <c r="G28" s="11" t="s">
        <v>43</v>
      </c>
      <c r="H28" s="11" t="s">
        <v>52</v>
      </c>
      <c r="I28" s="11" t="s">
        <v>84</v>
      </c>
      <c r="J28" s="11" t="s">
        <v>85</v>
      </c>
      <c r="K28" s="11" t="s">
        <v>60</v>
      </c>
      <c r="L28" s="11" t="s">
        <v>92</v>
      </c>
      <c r="M28" s="11" t="s">
        <v>45</v>
      </c>
      <c r="N28" s="11" t="s">
        <v>23</v>
      </c>
      <c r="O28" s="11" t="s">
        <v>23</v>
      </c>
      <c r="P28" s="11" t="s">
        <v>84</v>
      </c>
      <c r="Q28" s="11" t="s">
        <v>86</v>
      </c>
      <c r="R28" s="11">
        <v>750</v>
      </c>
      <c r="S28" s="40" t="s">
        <v>39</v>
      </c>
      <c r="T28" s="11">
        <v>900</v>
      </c>
      <c r="U28" s="11" t="s">
        <v>45</v>
      </c>
      <c r="V28" s="11" t="s">
        <v>84</v>
      </c>
      <c r="W28" s="11" t="s">
        <v>86</v>
      </c>
      <c r="X28" s="40" t="s">
        <v>60</v>
      </c>
      <c r="Y28" s="40" t="s">
        <v>87</v>
      </c>
      <c r="Z28" s="40" t="s">
        <v>2611</v>
      </c>
      <c r="AA28" s="40" t="s">
        <v>39</v>
      </c>
      <c r="AB28" s="12" t="s">
        <v>88</v>
      </c>
      <c r="AC28" s="11" t="s">
        <v>45</v>
      </c>
      <c r="AD28" s="11" t="s">
        <v>23</v>
      </c>
      <c r="AE28" s="11" t="s">
        <v>116</v>
      </c>
      <c r="AF28" s="11" t="s">
        <v>116</v>
      </c>
      <c r="AG28" s="13" t="s">
        <v>60</v>
      </c>
      <c r="AH28" s="13" t="s">
        <v>62</v>
      </c>
      <c r="AI28" s="13" t="s">
        <v>241</v>
      </c>
      <c r="AJ28" s="13" t="s">
        <v>45</v>
      </c>
      <c r="AK28" s="13" t="s">
        <v>45</v>
      </c>
      <c r="AL28" s="133" t="s">
        <v>2612</v>
      </c>
      <c r="AM28" s="134"/>
      <c r="AN28" s="134"/>
      <c r="AO28" s="134"/>
      <c r="AP28" s="135"/>
    </row>
    <row r="29" spans="1:42" s="10" customFormat="1" ht="39" customHeight="1" x14ac:dyDescent="0.4">
      <c r="A29" s="6">
        <v>13</v>
      </c>
      <c r="B29" s="6">
        <v>505</v>
      </c>
      <c r="C29" s="6" t="s">
        <v>80</v>
      </c>
      <c r="D29" s="18" t="s">
        <v>2527</v>
      </c>
      <c r="E29" s="34" t="s">
        <v>18</v>
      </c>
      <c r="F29" s="6" t="s">
        <v>2528</v>
      </c>
      <c r="G29" s="6" t="s">
        <v>43</v>
      </c>
      <c r="H29" s="6" t="s">
        <v>52</v>
      </c>
      <c r="I29" s="6" t="s">
        <v>84</v>
      </c>
      <c r="J29" s="6" t="s">
        <v>85</v>
      </c>
      <c r="K29" s="6" t="s">
        <v>60</v>
      </c>
      <c r="L29" s="6" t="s">
        <v>92</v>
      </c>
      <c r="M29" s="6" t="s">
        <v>45</v>
      </c>
      <c r="N29" s="6" t="s">
        <v>45</v>
      </c>
      <c r="O29" s="6" t="s">
        <v>23</v>
      </c>
      <c r="P29" s="6" t="s">
        <v>84</v>
      </c>
      <c r="Q29" s="6" t="s">
        <v>86</v>
      </c>
      <c r="R29" s="6">
        <v>750</v>
      </c>
      <c r="S29" s="6" t="s">
        <v>39</v>
      </c>
      <c r="T29" s="6">
        <v>900</v>
      </c>
      <c r="U29" s="6" t="s">
        <v>45</v>
      </c>
      <c r="V29" s="6" t="s">
        <v>84</v>
      </c>
      <c r="W29" s="6" t="s">
        <v>86</v>
      </c>
      <c r="X29" s="6" t="s">
        <v>60</v>
      </c>
      <c r="Y29" s="6" t="s">
        <v>87</v>
      </c>
      <c r="Z29" s="6" t="s">
        <v>2529</v>
      </c>
      <c r="AA29" s="6" t="s">
        <v>39</v>
      </c>
      <c r="AB29" s="15" t="s">
        <v>88</v>
      </c>
      <c r="AC29" s="16" t="s">
        <v>45</v>
      </c>
      <c r="AD29" s="16" t="s">
        <v>23</v>
      </c>
      <c r="AE29" s="16" t="s">
        <v>50</v>
      </c>
      <c r="AF29" s="16" t="s">
        <v>50</v>
      </c>
      <c r="AG29" s="17" t="s">
        <v>60</v>
      </c>
      <c r="AH29" s="17" t="s">
        <v>62</v>
      </c>
      <c r="AI29" s="17" t="s">
        <v>45</v>
      </c>
      <c r="AJ29" s="17" t="s">
        <v>45</v>
      </c>
      <c r="AK29" s="17" t="s">
        <v>45</v>
      </c>
      <c r="AL29" s="106" t="s">
        <v>2530</v>
      </c>
      <c r="AM29" s="107"/>
      <c r="AN29" s="107"/>
      <c r="AO29" s="107"/>
      <c r="AP29" s="108"/>
    </row>
    <row r="30" spans="1:42" s="14" customFormat="1" ht="62.25" customHeight="1" x14ac:dyDescent="0.4">
      <c r="A30" s="11">
        <v>13</v>
      </c>
      <c r="B30" s="11">
        <v>106</v>
      </c>
      <c r="C30" s="11" t="s">
        <v>80</v>
      </c>
      <c r="D30" s="13" t="s">
        <v>2617</v>
      </c>
      <c r="E30" s="33" t="s">
        <v>18</v>
      </c>
      <c r="F30" s="11" t="s">
        <v>2618</v>
      </c>
      <c r="G30" s="11" t="s">
        <v>43</v>
      </c>
      <c r="H30" s="11" t="s">
        <v>52</v>
      </c>
      <c r="I30" s="11" t="s">
        <v>84</v>
      </c>
      <c r="J30" s="11" t="s">
        <v>85</v>
      </c>
      <c r="K30" s="11" t="s">
        <v>361</v>
      </c>
      <c r="L30" s="11" t="s">
        <v>92</v>
      </c>
      <c r="M30" s="11" t="s">
        <v>45</v>
      </c>
      <c r="N30" s="11" t="s">
        <v>23</v>
      </c>
      <c r="O30" s="11" t="s">
        <v>23</v>
      </c>
      <c r="P30" s="11" t="s">
        <v>84</v>
      </c>
      <c r="Q30" s="11" t="s">
        <v>86</v>
      </c>
      <c r="R30" s="11">
        <v>750</v>
      </c>
      <c r="S30" s="40" t="s">
        <v>39</v>
      </c>
      <c r="T30" s="11">
        <v>900</v>
      </c>
      <c r="U30" s="11" t="s">
        <v>45</v>
      </c>
      <c r="V30" s="11" t="s">
        <v>84</v>
      </c>
      <c r="W30" s="11" t="s">
        <v>86</v>
      </c>
      <c r="X30" s="40" t="s">
        <v>60</v>
      </c>
      <c r="Y30" s="40" t="s">
        <v>141</v>
      </c>
      <c r="Z30" s="40"/>
      <c r="AA30" s="40" t="s">
        <v>39</v>
      </c>
      <c r="AB30" s="12" t="s">
        <v>88</v>
      </c>
      <c r="AC30" s="11" t="s">
        <v>45</v>
      </c>
      <c r="AD30" s="11" t="s">
        <v>23</v>
      </c>
      <c r="AE30" s="11" t="s">
        <v>116</v>
      </c>
      <c r="AF30" s="11" t="s">
        <v>116</v>
      </c>
      <c r="AG30" s="13" t="s">
        <v>60</v>
      </c>
      <c r="AH30" s="13" t="s">
        <v>62</v>
      </c>
      <c r="AI30" s="13" t="s">
        <v>45</v>
      </c>
      <c r="AJ30" s="13" t="s">
        <v>45</v>
      </c>
      <c r="AK30" s="13" t="s">
        <v>45</v>
      </c>
      <c r="AL30" s="133" t="s">
        <v>2619</v>
      </c>
      <c r="AM30" s="134"/>
      <c r="AN30" s="134"/>
      <c r="AO30" s="134"/>
      <c r="AP30" s="135"/>
    </row>
    <row r="31" spans="1:42" s="10" customFormat="1" ht="37.5" customHeight="1" x14ac:dyDescent="0.4">
      <c r="A31" s="6">
        <v>13</v>
      </c>
      <c r="B31" s="6">
        <v>206</v>
      </c>
      <c r="C31" s="6" t="s">
        <v>80</v>
      </c>
      <c r="D31" s="18" t="s">
        <v>2620</v>
      </c>
      <c r="E31" s="34" t="s">
        <v>18</v>
      </c>
      <c r="F31" s="6" t="s">
        <v>2621</v>
      </c>
      <c r="G31" s="6" t="s">
        <v>43</v>
      </c>
      <c r="H31" s="6" t="s">
        <v>52</v>
      </c>
      <c r="I31" s="6" t="s">
        <v>84</v>
      </c>
      <c r="J31" s="6" t="s">
        <v>85</v>
      </c>
      <c r="K31" s="6" t="s">
        <v>60</v>
      </c>
      <c r="L31" s="6" t="s">
        <v>92</v>
      </c>
      <c r="M31" s="6" t="s">
        <v>45</v>
      </c>
      <c r="N31" s="6" t="s">
        <v>45</v>
      </c>
      <c r="O31" s="6" t="s">
        <v>23</v>
      </c>
      <c r="P31" s="6" t="s">
        <v>84</v>
      </c>
      <c r="Q31" s="6" t="s">
        <v>86</v>
      </c>
      <c r="R31" s="6">
        <v>750</v>
      </c>
      <c r="S31" s="6" t="s">
        <v>39</v>
      </c>
      <c r="T31" s="6">
        <v>740</v>
      </c>
      <c r="U31" s="6" t="s">
        <v>45</v>
      </c>
      <c r="V31" s="6" t="s">
        <v>84</v>
      </c>
      <c r="W31" s="6" t="s">
        <v>86</v>
      </c>
      <c r="X31" s="6" t="s">
        <v>60</v>
      </c>
      <c r="Y31" s="6" t="s">
        <v>87</v>
      </c>
      <c r="Z31" s="6" t="s">
        <v>2622</v>
      </c>
      <c r="AA31" s="6" t="s">
        <v>39</v>
      </c>
      <c r="AB31" s="15" t="s">
        <v>88</v>
      </c>
      <c r="AC31" s="16" t="s">
        <v>45</v>
      </c>
      <c r="AD31" s="16" t="s">
        <v>23</v>
      </c>
      <c r="AE31" s="16" t="s">
        <v>878</v>
      </c>
      <c r="AF31" s="16" t="s">
        <v>878</v>
      </c>
      <c r="AG31" s="17" t="s">
        <v>60</v>
      </c>
      <c r="AH31" s="17" t="s">
        <v>62</v>
      </c>
      <c r="AI31" s="17" t="s">
        <v>45</v>
      </c>
      <c r="AJ31" s="17" t="s">
        <v>45</v>
      </c>
      <c r="AK31" s="17" t="s">
        <v>45</v>
      </c>
      <c r="AL31" s="106" t="s">
        <v>2623</v>
      </c>
      <c r="AM31" s="107"/>
      <c r="AN31" s="107"/>
      <c r="AO31" s="107"/>
      <c r="AP31" s="108"/>
    </row>
    <row r="32" spans="1:42" s="14" customFormat="1" ht="45.75" customHeight="1" x14ac:dyDescent="0.4">
      <c r="A32" s="11">
        <v>13</v>
      </c>
      <c r="B32" s="11">
        <v>306</v>
      </c>
      <c r="C32" s="11" t="s">
        <v>80</v>
      </c>
      <c r="D32" s="13" t="s">
        <v>2601</v>
      </c>
      <c r="E32" s="33" t="s">
        <v>18</v>
      </c>
      <c r="F32" s="11" t="s">
        <v>2602</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60</v>
      </c>
      <c r="Y32" s="40" t="s">
        <v>87</v>
      </c>
      <c r="Z32" s="40" t="s">
        <v>2603</v>
      </c>
      <c r="AA32" s="40" t="s">
        <v>39</v>
      </c>
      <c r="AB32" s="12" t="s">
        <v>19</v>
      </c>
      <c r="AC32" s="11" t="s">
        <v>45</v>
      </c>
      <c r="AD32" s="11" t="s">
        <v>45</v>
      </c>
      <c r="AE32" s="11" t="s">
        <v>116</v>
      </c>
      <c r="AF32" s="11" t="s">
        <v>50</v>
      </c>
      <c r="AG32" s="13" t="s">
        <v>60</v>
      </c>
      <c r="AH32" s="13" t="s">
        <v>62</v>
      </c>
      <c r="AI32" s="13" t="s">
        <v>45</v>
      </c>
      <c r="AJ32" s="13" t="s">
        <v>45</v>
      </c>
      <c r="AK32" s="13" t="s">
        <v>45</v>
      </c>
      <c r="AL32" s="133" t="s">
        <v>2604</v>
      </c>
      <c r="AM32" s="134"/>
      <c r="AN32" s="134"/>
      <c r="AO32" s="134"/>
      <c r="AP32" s="135"/>
    </row>
    <row r="33" spans="1:43" s="10" customFormat="1" ht="39.75" customHeight="1" x14ac:dyDescent="0.4">
      <c r="A33" s="6">
        <v>13</v>
      </c>
      <c r="B33" s="6">
        <v>406</v>
      </c>
      <c r="C33" s="6" t="s">
        <v>80</v>
      </c>
      <c r="D33" s="18" t="s">
        <v>2599</v>
      </c>
      <c r="E33" s="34" t="s">
        <v>18</v>
      </c>
      <c r="F33" s="6" t="s">
        <v>2600</v>
      </c>
      <c r="G33" s="6" t="s">
        <v>43</v>
      </c>
      <c r="H33" s="6" t="s">
        <v>52</v>
      </c>
      <c r="I33" s="6" t="s">
        <v>84</v>
      </c>
      <c r="J33" s="6" t="s">
        <v>85</v>
      </c>
      <c r="K33" s="6" t="s">
        <v>60</v>
      </c>
      <c r="L33" s="6" t="s">
        <v>92</v>
      </c>
      <c r="M33" s="6" t="s">
        <v>45</v>
      </c>
      <c r="N33" s="6" t="s">
        <v>45</v>
      </c>
      <c r="O33" s="6" t="s">
        <v>45</v>
      </c>
      <c r="P33" s="6" t="s">
        <v>84</v>
      </c>
      <c r="Q33" s="6" t="s">
        <v>86</v>
      </c>
      <c r="R33" s="6">
        <v>750</v>
      </c>
      <c r="S33" s="6" t="s">
        <v>39</v>
      </c>
      <c r="T33" s="6">
        <v>900</v>
      </c>
      <c r="U33" s="6" t="s">
        <v>45</v>
      </c>
      <c r="V33" s="6" t="s">
        <v>84</v>
      </c>
      <c r="W33" s="6" t="s">
        <v>86</v>
      </c>
      <c r="X33" s="6" t="s">
        <v>60</v>
      </c>
      <c r="Y33" s="6" t="s">
        <v>141</v>
      </c>
      <c r="Z33" s="6"/>
      <c r="AA33" s="6" t="s">
        <v>39</v>
      </c>
      <c r="AB33" s="15" t="s">
        <v>88</v>
      </c>
      <c r="AC33" s="16" t="s">
        <v>45</v>
      </c>
      <c r="AD33" s="16" t="s">
        <v>23</v>
      </c>
      <c r="AE33" s="16" t="s">
        <v>50</v>
      </c>
      <c r="AF33" s="16" t="s">
        <v>50</v>
      </c>
      <c r="AG33" s="17" t="s">
        <v>60</v>
      </c>
      <c r="AH33" s="17" t="s">
        <v>62</v>
      </c>
      <c r="AI33" s="17" t="s">
        <v>45</v>
      </c>
      <c r="AJ33" s="17" t="s">
        <v>45</v>
      </c>
      <c r="AK33" s="17" t="s">
        <v>45</v>
      </c>
      <c r="AL33" s="106" t="s">
        <v>2605</v>
      </c>
      <c r="AM33" s="107"/>
      <c r="AN33" s="107"/>
      <c r="AO33" s="107"/>
      <c r="AP33" s="108"/>
    </row>
    <row r="34" spans="1:43" s="14" customFormat="1" ht="34.5" customHeight="1" x14ac:dyDescent="0.4">
      <c r="A34" s="11">
        <v>13</v>
      </c>
      <c r="B34" s="11">
        <v>506</v>
      </c>
      <c r="C34" s="11" t="s">
        <v>80</v>
      </c>
      <c r="D34" s="13" t="s">
        <v>2606</v>
      </c>
      <c r="E34" s="33" t="s">
        <v>18</v>
      </c>
      <c r="F34" s="11" t="s">
        <v>2607</v>
      </c>
      <c r="G34" s="11" t="s">
        <v>43</v>
      </c>
      <c r="H34" s="11" t="s">
        <v>52</v>
      </c>
      <c r="I34" s="11" t="s">
        <v>84</v>
      </c>
      <c r="J34" s="11" t="s">
        <v>85</v>
      </c>
      <c r="K34" s="11" t="s">
        <v>60</v>
      </c>
      <c r="L34" s="11" t="s">
        <v>92</v>
      </c>
      <c r="M34" s="11" t="s">
        <v>45</v>
      </c>
      <c r="N34" s="11" t="s">
        <v>45</v>
      </c>
      <c r="O34" s="11" t="s">
        <v>45</v>
      </c>
      <c r="P34" s="11" t="s">
        <v>84</v>
      </c>
      <c r="Q34" s="11" t="s">
        <v>86</v>
      </c>
      <c r="R34" s="11">
        <v>750</v>
      </c>
      <c r="S34" s="40" t="s">
        <v>39</v>
      </c>
      <c r="T34" s="11">
        <v>900</v>
      </c>
      <c r="U34" s="11" t="s">
        <v>45</v>
      </c>
      <c r="V34" s="11" t="s">
        <v>84</v>
      </c>
      <c r="W34" s="11" t="s">
        <v>86</v>
      </c>
      <c r="X34" s="40" t="s">
        <v>19</v>
      </c>
      <c r="Y34" s="40"/>
      <c r="Z34" s="40"/>
      <c r="AA34" s="40" t="s">
        <v>65</v>
      </c>
      <c r="AB34" s="12" t="s">
        <v>19</v>
      </c>
      <c r="AC34" s="11" t="s">
        <v>45</v>
      </c>
      <c r="AD34" s="11" t="s">
        <v>45</v>
      </c>
      <c r="AE34" s="11" t="s">
        <v>116</v>
      </c>
      <c r="AF34" s="11" t="s">
        <v>50</v>
      </c>
      <c r="AG34" s="13" t="s">
        <v>60</v>
      </c>
      <c r="AH34" s="13" t="s">
        <v>62</v>
      </c>
      <c r="AI34" s="13" t="s">
        <v>241</v>
      </c>
      <c r="AJ34" s="13" t="s">
        <v>23</v>
      </c>
      <c r="AK34" s="13" t="s">
        <v>45</v>
      </c>
      <c r="AL34" s="133" t="s">
        <v>2608</v>
      </c>
      <c r="AM34" s="134"/>
      <c r="AN34" s="134"/>
      <c r="AO34" s="134"/>
      <c r="AP34" s="135"/>
    </row>
    <row r="35" spans="1:43" s="2" customFormat="1" ht="11.25" customHeight="1" x14ac:dyDescent="0.4">
      <c r="A35" s="118" t="s">
        <v>12</v>
      </c>
      <c r="B35" s="119"/>
      <c r="C35" s="119"/>
      <c r="D35" s="119"/>
      <c r="E35" s="120"/>
      <c r="F35" s="127">
        <f>COUNTA(D5:D34)</f>
        <v>29</v>
      </c>
      <c r="G35" s="20" t="str">
        <f>"所有→"&amp;COUNTIF(G5:G34,"所有")&amp;"戸"</f>
        <v>所有→27戸</v>
      </c>
      <c r="H35" s="20" t="str">
        <f>"未更新→"&amp;COUNTIF(H5:H34,"未更新")&amp;"戸"</f>
        <v>未更新→29戸</v>
      </c>
      <c r="I35" s="20" t="str">
        <f>"クロス→"&amp;COUNTIF(I5:I34,"クロス")&amp;"戸"</f>
        <v>クロス→29戸</v>
      </c>
      <c r="J35" s="20" t="str">
        <f>"ベニヤ→"&amp;COUNTIF(J5:J34,"ベニヤ")&amp;"戸"</f>
        <v>ベニヤ→29戸</v>
      </c>
      <c r="K35" s="20" t="str">
        <f>"既存→"&amp;COUNTIF(K5:K34,"既存")&amp;"戸"</f>
        <v>既存→4戸</v>
      </c>
      <c r="L35" s="20" t="str">
        <f>"普通便座→"&amp;COUNTIF(L5:L34,"普通便座")&amp;"戸"</f>
        <v>普通便座→4戸</v>
      </c>
      <c r="M35" s="20" t="str">
        <f>"有→"&amp;COUNTIF(M5:M34,"有")&amp;"戸"</f>
        <v>有→0戸</v>
      </c>
      <c r="N35" s="20" t="str">
        <f>"有→"&amp;COUNTIF(N5:N34,"有")&amp;"戸"</f>
        <v>有→6戸</v>
      </c>
      <c r="O35" s="20" t="str">
        <f>"有→"&amp;COUNTIF(O5:O34,"有")&amp;"戸"</f>
        <v>有→24戸</v>
      </c>
      <c r="P35" s="20" t="str">
        <f>"クロス→"&amp;COUNTIF(P5:P34,"クロス")&amp;"戸"</f>
        <v>クロス→29戸</v>
      </c>
      <c r="Q35" s="20" t="str">
        <f>"CF→"&amp;COUNTIF(Q5:Q34,"CF")&amp;"戸"</f>
        <v>CF→29戸</v>
      </c>
      <c r="R35" s="20" t="str">
        <f>"1000→"&amp;COUNTIF(R5:R34,"1000")&amp;"戸"</f>
        <v>1000→0戸</v>
      </c>
      <c r="S35" s="20" t="str">
        <f>"可→"&amp;COUNTIF(S5:S34,"可")&amp;"戸"</f>
        <v>可→29戸</v>
      </c>
      <c r="T35" s="20" t="str">
        <f>"900→"&amp;COUNTIF(T5:T34,"既存")&amp;"戸"</f>
        <v>900→0戸</v>
      </c>
      <c r="U35" s="20" t="str">
        <f>"有→"&amp;COUNTIF(U5:U34,"有")&amp;"戸"</f>
        <v>有→1戸</v>
      </c>
      <c r="V35" s="20" t="str">
        <f>"クロス→"&amp;COUNTIF(V5:V34,"クロス")&amp;"戸"</f>
        <v>クロス→29戸</v>
      </c>
      <c r="W35" s="20" t="str">
        <f>"CF→"&amp;COUNTIF(W5:W34,"CF")&amp;"戸"</f>
        <v>CF→29戸</v>
      </c>
      <c r="X35" s="20" t="str">
        <f>"既存→"&amp;COUNTIF(X5:X34,"既存")&amp;"戸"</f>
        <v>既存→5戸</v>
      </c>
      <c r="Y35" s="20" t="str">
        <f>"TOTO→"&amp;COUNTIF(Y5:Y34,"TOTO")&amp;"戸"</f>
        <v>TOTO→17戸</v>
      </c>
      <c r="Z35" s="130">
        <f>COUNTA(Z5:Z34)</f>
        <v>17</v>
      </c>
      <c r="AA35" s="20" t="str">
        <f>"可→"&amp;COUNTIF(AA5:AA34,"可")&amp;"戸"</f>
        <v>可→23戸</v>
      </c>
      <c r="AB35" s="20" t="str">
        <f>"既存→"&amp;COUNTIF(AB5:AB34,"既存")&amp;"戸"</f>
        <v>既存→9戸</v>
      </c>
      <c r="AC35" s="130">
        <f>COUNTIF(AC5:AC34,"有")</f>
        <v>2</v>
      </c>
      <c r="AD35" s="130">
        <f>COUNTIF(AD5:AD34,"有")</f>
        <v>16</v>
      </c>
      <c r="AE35" s="20" t="str">
        <f>"ポリ板→"&amp;COUNTIF(AE5:AE34,"ポリ板")&amp;"戸"</f>
        <v>ポリ板→14戸</v>
      </c>
      <c r="AF35" s="20" t="str">
        <f>"ポリ板→"&amp;COUNTIF(AF5:AF34,"ポリ板")&amp;"戸"</f>
        <v>ポリ板→24戸</v>
      </c>
      <c r="AG35" s="20" t="str">
        <f>"既存→"&amp;COUNTIF(AG5:AG34,"既存")&amp;"戸"</f>
        <v>既存→0戸</v>
      </c>
      <c r="AH35" s="20" t="str">
        <f>"洗面所→"&amp;COUNTIF(AH5:AH34,"洗面所")&amp;"戸"</f>
        <v>洗面所→29戸</v>
      </c>
      <c r="AI35" s="130">
        <f>COUNTIF(AI5:AI34,"有")</f>
        <v>6</v>
      </c>
      <c r="AJ35" s="130">
        <f>COUNTIF(AJ5:AJ34,"有")</f>
        <v>12</v>
      </c>
      <c r="AK35" s="130">
        <f>COUNTIF(AK5:AK34,"有")</f>
        <v>5</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賃貸→1戸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タンクレス→1戸</v>
      </c>
      <c r="L36" s="35" t="str">
        <f>"暖房便座→"&amp;COUNTIF(L5:L34,"暖房便座")&amp;"戸"</f>
        <v>暖房便座→0戸</v>
      </c>
      <c r="M36" s="35" t="str">
        <f>"無→"&amp;COUNTIF(M5:M34,"無")&amp;"戸"</f>
        <v>無→29戸</v>
      </c>
      <c r="N36" s="35" t="str">
        <f>"無→"&amp;COUNTIF(N5:N34,"無")&amp;"戸"</f>
        <v>無→23戸</v>
      </c>
      <c r="O36" s="35" t="str">
        <f>"無→"&amp;COUNTIF(O5:O34,"無")&amp;"戸"</f>
        <v>無→5戸</v>
      </c>
      <c r="P36" s="35" t="str">
        <f>"珪藻土→"&amp;COUNTIF(P5:P34,"珪藻土")&amp;"戸"</f>
        <v>珪藻土→0戸</v>
      </c>
      <c r="Q36" s="35" t="str">
        <f>"塩ビタイル→"&amp;COUNTIF(Q5:Q34,"塩ビタイル")&amp;"戸"</f>
        <v>塩ビタイル→0戸</v>
      </c>
      <c r="R36" s="35" t="str">
        <f>"900→"&amp;COUNTIF(R5:R34,"900")&amp;"戸"</f>
        <v>900→0戸</v>
      </c>
      <c r="S36" s="35" t="str">
        <f>"不可→"&amp;COUNTIF(S5:S34,"不可")&amp;"戸"</f>
        <v>不可→0戸</v>
      </c>
      <c r="T36" s="35" t="str">
        <f>"800→"&amp;COUNTIF(T5:T34,"800")&amp;"戸"</f>
        <v>800→1戸</v>
      </c>
      <c r="U36" s="35" t="str">
        <f>"無→"&amp;COUNTIF(U5:U34,"無")&amp;"戸"</f>
        <v>無→28戸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リフォーム済み→24戸</v>
      </c>
      <c r="Y36" s="35" t="str">
        <f>"LIXIL→"&amp;COUNTIF(Y5:Y34,"LIXIL")&amp;"戸"</f>
        <v>LIXIL→1戸</v>
      </c>
      <c r="Z36" s="131"/>
      <c r="AA36" s="35" t="str">
        <f>"不可→"&amp;COUNTIF(AA5:AA34,"不可")&amp;"戸"</f>
        <v>不可→6戸</v>
      </c>
      <c r="AB36" s="36" t="str">
        <f>"システム→"&amp;COUNTIF(AB5:AB34,"システム")&amp;"戸"</f>
        <v>システム→20戸</v>
      </c>
      <c r="AC36" s="131"/>
      <c r="AD36" s="131"/>
      <c r="AE36" s="35" t="str">
        <f>"SUS→"&amp;COUNTIF(AE5:AE34,"SUS")&amp;"戸"</f>
        <v>SUS→13戸</v>
      </c>
      <c r="AF36" s="35" t="str">
        <f>"SUS→"&amp;COUNTIF(AF5:AF34,"SUS")&amp;"戸"</f>
        <v>SUS→3戸</v>
      </c>
      <c r="AG36" s="35" t="str">
        <f>"リフォーム済み→"&amp;COUNTIF(AG5:AG34,"リフォーム済み")&amp;"戸"</f>
        <v>リフォーム済み→29戸</v>
      </c>
      <c r="AH36" s="35" t="str">
        <f>"ベランダ→"&amp;COUNTIF(AH5:AH34,"ベランダ")&amp;"戸"</f>
        <v>ベランダ→0戸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レストパル→0戸</v>
      </c>
      <c r="L37" s="35" t="str">
        <f>"WL→"&amp;COUNTIF(L5:L34,"WL")&amp;"戸"</f>
        <v>WL→25戸</v>
      </c>
      <c r="M37" s="23"/>
      <c r="N37" s="23"/>
      <c r="O37" s="23"/>
      <c r="P37" s="35" t="str">
        <f>"塗装→"&amp;COUNTIF(P5:P34,"塗装")&amp;"戸"</f>
        <v>塗装→0戸</v>
      </c>
      <c r="Q37" s="35" t="str">
        <f>"フローリング→"&amp;COUNTIF(Q5:Q34,"フローリング")&amp;"戸"</f>
        <v>フローリング→0戸</v>
      </c>
      <c r="R37" s="35" t="str">
        <f>"750→"&amp;COUNTIF(R5:R34,"750")&amp;"戸"</f>
        <v>750→27戸</v>
      </c>
      <c r="S37" s="35"/>
      <c r="T37" s="35" t="str">
        <f>"740→"&amp;COUNTIF(T5:T34,"740")&amp;"戸"</f>
        <v>740→2戸</v>
      </c>
      <c r="U37" s="22"/>
      <c r="V37" s="35" t="str">
        <f>"塗装→"&amp;COUNTIF(V5:V34,"塗装")&amp;"戸"</f>
        <v>塗装→0戸</v>
      </c>
      <c r="W37" s="35" t="str">
        <f>"フローリング→"&amp;COUNTIF(W5:W34,"フローリング")&amp;"戸"</f>
        <v>フローリング→0戸</v>
      </c>
      <c r="X37" s="35"/>
      <c r="Y37" s="35" t="str">
        <f>"Panasonic→"&amp;COUNTIF(Y5:Y34,"Panasonic")&amp;"戸"</f>
        <v>Panasonic→1戸</v>
      </c>
      <c r="Z37" s="131"/>
      <c r="AA37" s="35"/>
      <c r="AB37" s="35" t="str">
        <f>"その他→"&amp;COUNTIF(AB5:AB34,"その他")&amp;"戸"</f>
        <v>その他→0戸</v>
      </c>
      <c r="AC37" s="131"/>
      <c r="AD37" s="131"/>
      <c r="AE37" s="35" t="str">
        <f>"ホーロー→"&amp;COUNTIF(AE5:AE34,"ホーロー")&amp;"戸"</f>
        <v>ホーロー→1戸</v>
      </c>
      <c r="AF37" s="35" t="str">
        <f>"ホーロー→"&amp;COUNTIF(AF5:AF34,"ホーロー")&amp;"戸"</f>
        <v>ホーロー→1戸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空家→1戸</v>
      </c>
      <c r="H38" s="39"/>
      <c r="I38" s="28"/>
      <c r="J38" s="27"/>
      <c r="K38" s="35" t="str">
        <f>"一体型→"&amp;COUNTIF(K5:K34,"一体型")&amp;"戸"</f>
        <v>一体型→1戸</v>
      </c>
      <c r="L38" s="28"/>
      <c r="M38" s="28"/>
      <c r="N38" s="28"/>
      <c r="O38" s="28"/>
      <c r="P38" s="28"/>
      <c r="Q38" s="28"/>
      <c r="R38" s="35" t="str">
        <f>"740→"&amp;COUNTIF(R5:R34,"740")&amp;"戸"</f>
        <v>740→0戸</v>
      </c>
      <c r="S38" s="27"/>
      <c r="T38" s="35" t="str">
        <f>"640→"&amp;COUNTIF(T5:T34,"640")&amp;"戸"</f>
        <v>640→1戸</v>
      </c>
      <c r="U38" s="27"/>
      <c r="V38" s="27"/>
      <c r="W38" s="27"/>
      <c r="X38" s="27"/>
      <c r="Y38" s="27"/>
      <c r="Z38" s="132"/>
      <c r="AA38" s="27"/>
      <c r="AB38" s="28"/>
      <c r="AC38" s="132"/>
      <c r="AD38" s="132"/>
      <c r="AE38" s="35" t="str">
        <f>"その他→"&amp;COUNTIF(AE5:AE34,"その他")&amp;"戸"</f>
        <v>その他→1戸</v>
      </c>
      <c r="AF38" s="35" t="str">
        <f>"その他→"&amp;COUNTIF(AF5:AF34,"その他")&amp;"戸"</f>
        <v>その他→1戸</v>
      </c>
      <c r="AG38" s="39"/>
      <c r="AH38" s="39"/>
      <c r="AI38" s="132"/>
      <c r="AJ38" s="132"/>
      <c r="AK38" s="132"/>
      <c r="AL38" s="115"/>
      <c r="AM38" s="116"/>
      <c r="AN38" s="116"/>
      <c r="AO38" s="116"/>
      <c r="AP38" s="117"/>
      <c r="AQ38" s="44"/>
    </row>
    <row r="39" spans="1:43" s="2" customFormat="1" x14ac:dyDescent="0.4">
      <c r="A39" s="31"/>
      <c r="AG39" s="37"/>
      <c r="AH39" s="37"/>
      <c r="AO39" s="1"/>
    </row>
  </sheetData>
  <autoFilter ref="AI3:AK4" xr:uid="{08ED8DA5-3416-4157-AB19-08CDA4000D5A}"/>
  <mergeCells count="57">
    <mergeCell ref="AL20:AP20"/>
    <mergeCell ref="AL21:AP21"/>
    <mergeCell ref="A35:E38"/>
    <mergeCell ref="F35:F38"/>
    <mergeCell ref="AL28:AP28"/>
    <mergeCell ref="AL29:AP29"/>
    <mergeCell ref="AL30:AP30"/>
    <mergeCell ref="AL31:AP31"/>
    <mergeCell ref="AL32:AP32"/>
    <mergeCell ref="AL33:AP33"/>
    <mergeCell ref="AL22:AP22"/>
    <mergeCell ref="AL23:AP23"/>
    <mergeCell ref="AL24:AP24"/>
    <mergeCell ref="AL26:AP26"/>
    <mergeCell ref="AL27:AP27"/>
    <mergeCell ref="AL34:AP34"/>
    <mergeCell ref="AL18:AP18"/>
    <mergeCell ref="AL19:AP19"/>
    <mergeCell ref="AL11:AP11"/>
    <mergeCell ref="AL12:AP12"/>
    <mergeCell ref="AL13:AP13"/>
    <mergeCell ref="AL14:AP14"/>
    <mergeCell ref="AL15:AP15"/>
    <mergeCell ref="AL16:AP16"/>
    <mergeCell ref="AL17:AP17"/>
    <mergeCell ref="A1:AN2"/>
    <mergeCell ref="A3:A4"/>
    <mergeCell ref="B3:B4"/>
    <mergeCell ref="C3:C4"/>
    <mergeCell ref="D3:E4"/>
    <mergeCell ref="F3:F4"/>
    <mergeCell ref="G3:G4"/>
    <mergeCell ref="H3:H4"/>
    <mergeCell ref="I3:J3"/>
    <mergeCell ref="K3:Q3"/>
    <mergeCell ref="R3:W3"/>
    <mergeCell ref="AI3:AI4"/>
    <mergeCell ref="AL3:AP4"/>
    <mergeCell ref="X3:AA3"/>
    <mergeCell ref="AB3:AF3"/>
    <mergeCell ref="AG3:AH3"/>
    <mergeCell ref="AJ3:AJ4"/>
    <mergeCell ref="AK3:AK4"/>
    <mergeCell ref="AL8:AP8"/>
    <mergeCell ref="AL9:AP9"/>
    <mergeCell ref="AL10:AP10"/>
    <mergeCell ref="AL5:AP5"/>
    <mergeCell ref="AL6:AP6"/>
    <mergeCell ref="AL7:AP7"/>
    <mergeCell ref="AL25:AP25"/>
    <mergeCell ref="AL35:AP38"/>
    <mergeCell ref="Z35:Z38"/>
    <mergeCell ref="AC35:AC38"/>
    <mergeCell ref="AI35:AI38"/>
    <mergeCell ref="AJ35:AJ38"/>
    <mergeCell ref="AK35:AK38"/>
    <mergeCell ref="AD35:AD38"/>
  </mergeCells>
  <phoneticPr fontId="1"/>
  <dataValidations count="1">
    <dataValidation imeMode="off" allowBlank="1" showInputMessage="1" showErrorMessage="1" sqref="C1:C3 A39:C1048576 A1:A35 B1:B34 C5:C34 D10" xr:uid="{98B0AF40-60F1-4733-86B9-29DD45C99BA0}"/>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37" man="1"/>
  </colBreaks>
  <extLst>
    <ext xmlns:x14="http://schemas.microsoft.com/office/spreadsheetml/2009/9/main" uri="{CCE6A557-97BC-4b89-ADB6-D9C93CAAB3DF}">
      <x14:dataValidations xmlns:xm="http://schemas.microsoft.com/office/excel/2006/main" count="19">
        <x14:dataValidation type="list" allowBlank="1" showInputMessage="1" showErrorMessage="1" xr:uid="{D2673311-0C79-43B9-B79F-3D92969DE705}">
          <x14:formula1>
            <xm:f>Sheet1!$G$6:$G$7</xm:f>
          </x14:formula1>
          <xm:sqref>S5:S34 AA5:AA34</xm:sqref>
        </x14:dataValidation>
        <x14:dataValidation type="list" allowBlank="1" showInputMessage="1" showErrorMessage="1" xr:uid="{70C17445-7A71-4FC5-BF7D-6D507E748329}">
          <x14:formula1>
            <xm:f>Sheet1!$I$1:$I$2</xm:f>
          </x14:formula1>
          <xm:sqref>X5:X34</xm:sqref>
        </x14:dataValidation>
        <x14:dataValidation type="list" allowBlank="1" showInputMessage="1" showErrorMessage="1" xr:uid="{0F0083E6-5FDF-44BD-8E13-971B4F3712B1}">
          <x14:formula1>
            <xm:f>Sheet1!$G$17:$G$18</xm:f>
          </x14:formula1>
          <xm:sqref>AH5:AH34</xm:sqref>
        </x14:dataValidation>
        <x14:dataValidation type="list" allowBlank="1" showInputMessage="1" showErrorMessage="1" xr:uid="{FE5DCC51-E191-41F1-ACAC-4BB29D033235}">
          <x14:formula1>
            <xm:f>Sheet1!$E$17:$E$18</xm:f>
          </x14:formula1>
          <xm:sqref>AG5:AG34</xm:sqref>
        </x14:dataValidation>
        <x14:dataValidation type="list" allowBlank="1" showInputMessage="1" showErrorMessage="1" xr:uid="{0DB55BA4-44F0-4E88-8A8C-6C2B523164DD}">
          <x14:formula1>
            <xm:f>Sheet1!$G$1:$G$4</xm:f>
          </x14:formula1>
          <xm:sqref>AE5:AF34</xm:sqref>
        </x14:dataValidation>
        <x14:dataValidation type="list" allowBlank="1" showInputMessage="1" showErrorMessage="1" xr:uid="{1F22D76F-1EF5-48F1-85EC-B88DEDD79F9A}">
          <x14:formula1>
            <xm:f>Sheet1!$A$13:$A$15</xm:f>
          </x14:formula1>
          <xm:sqref>AB5:AB34</xm:sqref>
        </x14:dataValidation>
        <x14:dataValidation type="list" allowBlank="1" showInputMessage="1" showErrorMessage="1" xr:uid="{E10CB61E-40C3-4292-84DD-0A42482E58E2}">
          <x14:formula1>
            <xm:f>Sheet1!$C$17:$C$20</xm:f>
          </x14:formula1>
          <xm:sqref>T5:T34</xm:sqref>
        </x14:dataValidation>
        <x14:dataValidation type="list" allowBlank="1" showInputMessage="1" showErrorMessage="1" xr:uid="{ABF90D72-7356-4DB0-9B26-2E6ECBDE1983}">
          <x14:formula1>
            <xm:f>Sheet1!$A$17:$A$20</xm:f>
          </x14:formula1>
          <xm:sqref>R5:R21 R23 R25:R34</xm:sqref>
        </x14:dataValidation>
        <x14:dataValidation type="list" allowBlank="1" showInputMessage="1" showErrorMessage="1" xr:uid="{06A624A6-09B2-4025-A577-A90FC9E61396}">
          <x14:formula1>
            <xm:f>Sheet1!$C$6:$C$7</xm:f>
          </x14:formula1>
          <xm:sqref>U5:U34 AJ33:AK34 AC5:AD34 AJ14:AK18 AJ6:AK8 AJ11:AK12 M5:O34 AJ30:AK31 AJ20:AJ22 AK20:AK23 AJ25:AK27</xm:sqref>
        </x14:dataValidation>
        <x14:dataValidation type="list" allowBlank="1" showInputMessage="1" showErrorMessage="1" xr:uid="{CA430249-730E-4D4D-8B75-E7419B6CE3B3}">
          <x14:formula1>
            <xm:f>Sheet1!$E$9:$E$11</xm:f>
          </x14:formula1>
          <xm:sqref>L5:L34</xm:sqref>
        </x14:dataValidation>
        <x14:dataValidation type="list" allowBlank="1" showInputMessage="1" showErrorMessage="1" xr:uid="{442CB68A-FC8E-492C-A5D2-4EA96E033D52}">
          <x14:formula1>
            <xm:f>Sheet1!$G$9:$G$12</xm:f>
          </x14:formula1>
          <xm:sqref>K5:K20 K22:K34</xm:sqref>
        </x14:dataValidation>
        <x14:dataValidation type="list" allowBlank="1" showInputMessage="1" showErrorMessage="1" xr:uid="{80A30808-6E23-4799-8B45-32C11CFA434F}">
          <x14:formula1>
            <xm:f>Sheet1!$D$1:$D$3</xm:f>
          </x14:formula1>
          <xm:sqref>J5:J34</xm:sqref>
        </x14:dataValidation>
        <x14:dataValidation type="list" allowBlank="1" showInputMessage="1" showErrorMessage="1" xr:uid="{FC9CEC27-0255-4CB2-8949-243295616ADE}">
          <x14:formula1>
            <xm:f>Sheet1!$A$9:$A$11</xm:f>
          </x14:formula1>
          <xm:sqref>V5:V34 I5:I34 P5:P34</xm:sqref>
        </x14:dataValidation>
        <x14:dataValidation type="list" allowBlank="1" showInputMessage="1" showErrorMessage="1" xr:uid="{CDA86CCC-53C5-4D42-9D82-58C2F60872CE}">
          <x14:formula1>
            <xm:f>Sheet1!$A$6:$A$7</xm:f>
          </x14:formula1>
          <xm:sqref>H5:H34</xm:sqref>
        </x14:dataValidation>
        <x14:dataValidation type="list" allowBlank="1" showInputMessage="1" showErrorMessage="1" xr:uid="{E4A7C3CB-83F6-4FF0-8BE3-A302F71C7253}">
          <x14:formula1>
            <xm:f>Sheet1!$A$1:$A$4</xm:f>
          </x14:formula1>
          <xm:sqref>G5:G34</xm:sqref>
        </x14:dataValidation>
        <x14:dataValidation type="list" allowBlank="1" showInputMessage="1" showErrorMessage="1" xr:uid="{132B085F-B124-43BB-B417-CD692C652121}">
          <x14:formula1>
            <xm:f>Sheet1!$C$9:$C$11</xm:f>
          </x14:formula1>
          <xm:sqref>W5:W34 Q5:Q34</xm:sqref>
        </x14:dataValidation>
        <x14:dataValidation type="list" allowBlank="1" showInputMessage="1" showErrorMessage="1" xr:uid="{730FF9E2-02D7-4457-B823-26FC2A4059CE}">
          <x14:formula1>
            <xm:f>Sheet1!$C$6:$C$8</xm:f>
          </x14:formula1>
          <xm:sqref>AI5:AI34 AJ13:AK13 AJ5:AK5 AJ19:AK19 AJ9:AK10 AJ32:AK32 AJ28:AK29 AJ23:AJ24 AK24</xm:sqref>
        </x14:dataValidation>
        <x14:dataValidation type="list" allowBlank="1" showInputMessage="1" showErrorMessage="1" xr:uid="{9F463549-0753-46CB-B20E-870DDA34394A}">
          <x14:formula1>
            <xm:f>Sheet1!$I$9:$I$13</xm:f>
          </x14:formula1>
          <xm:sqref>Y5 Y7:Y22 Y24:Y34</xm:sqref>
        </x14:dataValidation>
        <x14:dataValidation type="list" allowBlank="1" showInputMessage="1" showErrorMessage="1" xr:uid="{3DB3AD5A-FD12-49E9-BBD6-1DD0D65D6A9A}">
          <x14:formula1>
            <xm:f>Sheet1!$G$9:$G$13</xm:f>
          </x14:formula1>
          <xm:sqref>K21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61863-1949-4644-B861-B7544206D53E}">
  <sheetPr codeName="Sheet14">
    <tabColor rgb="FF92D050"/>
  </sheetPr>
  <dimension ref="A1:AR39"/>
  <sheetViews>
    <sheetView view="pageBreakPreview" zoomScaleNormal="40" zoomScaleSheetLayoutView="70" workbookViewId="0">
      <pane xSplit="5" ySplit="4" topLeftCell="AI5" activePane="bottomRight" state="frozen"/>
      <selection activeCell="N11" sqref="N11"/>
      <selection pane="topRight" activeCell="N11" sqref="N11"/>
      <selection pane="bottomLeft" activeCell="N11" sqref="N11"/>
      <selection pane="bottomRight" activeCell="AI8" sqref="AI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51.75" customHeight="1" x14ac:dyDescent="0.4">
      <c r="A5" s="6">
        <v>14</v>
      </c>
      <c r="B5" s="6">
        <v>101</v>
      </c>
      <c r="C5" s="6" t="s">
        <v>79</v>
      </c>
      <c r="D5" s="18" t="s">
        <v>2463</v>
      </c>
      <c r="E5" s="32" t="s">
        <v>18</v>
      </c>
      <c r="F5" s="6" t="s">
        <v>2464</v>
      </c>
      <c r="G5" s="6" t="s">
        <v>43</v>
      </c>
      <c r="H5" s="6" t="s">
        <v>52</v>
      </c>
      <c r="I5" s="6" t="s">
        <v>84</v>
      </c>
      <c r="J5" s="6" t="s">
        <v>85</v>
      </c>
      <c r="K5" s="6" t="s">
        <v>60</v>
      </c>
      <c r="L5" s="6" t="s">
        <v>92</v>
      </c>
      <c r="M5" s="6" t="s">
        <v>45</v>
      </c>
      <c r="N5" s="6" t="s">
        <v>45</v>
      </c>
      <c r="O5" s="6" t="s">
        <v>23</v>
      </c>
      <c r="P5" s="6" t="s">
        <v>84</v>
      </c>
      <c r="Q5" s="6" t="s">
        <v>86</v>
      </c>
      <c r="R5" s="6">
        <v>740</v>
      </c>
      <c r="S5" s="16" t="s">
        <v>39</v>
      </c>
      <c r="T5" s="6">
        <v>900</v>
      </c>
      <c r="U5" s="6" t="s">
        <v>45</v>
      </c>
      <c r="V5" s="6" t="s">
        <v>84</v>
      </c>
      <c r="W5" s="6" t="s">
        <v>86</v>
      </c>
      <c r="X5" s="16" t="s">
        <v>60</v>
      </c>
      <c r="Y5" s="16" t="s">
        <v>87</v>
      </c>
      <c r="Z5" s="16" t="s">
        <v>2465</v>
      </c>
      <c r="AA5" s="16" t="s">
        <v>39</v>
      </c>
      <c r="AB5" s="7" t="s">
        <v>19</v>
      </c>
      <c r="AC5" s="8" t="s">
        <v>45</v>
      </c>
      <c r="AD5" s="8" t="s">
        <v>45</v>
      </c>
      <c r="AE5" s="8" t="s">
        <v>50</v>
      </c>
      <c r="AF5" s="8" t="s">
        <v>50</v>
      </c>
      <c r="AG5" s="17" t="s">
        <v>60</v>
      </c>
      <c r="AH5" s="17" t="s">
        <v>62</v>
      </c>
      <c r="AI5" s="17" t="s">
        <v>45</v>
      </c>
      <c r="AJ5" s="17" t="s">
        <v>45</v>
      </c>
      <c r="AK5" s="9" t="s">
        <v>23</v>
      </c>
      <c r="AL5" s="140" t="s">
        <v>2466</v>
      </c>
      <c r="AM5" s="141"/>
      <c r="AN5" s="141"/>
      <c r="AO5" s="141"/>
      <c r="AP5" s="142"/>
    </row>
    <row r="6" spans="1:44" s="14" customFormat="1" ht="39" customHeight="1" x14ac:dyDescent="0.4">
      <c r="A6" s="11">
        <v>14</v>
      </c>
      <c r="B6" s="11">
        <v>201</v>
      </c>
      <c r="C6" s="11" t="s">
        <v>79</v>
      </c>
      <c r="D6" s="13" t="s">
        <v>2441</v>
      </c>
      <c r="E6" s="33" t="s">
        <v>18</v>
      </c>
      <c r="F6" s="45" t="s">
        <v>2442</v>
      </c>
      <c r="G6" s="11" t="s">
        <v>43</v>
      </c>
      <c r="H6" s="11" t="s">
        <v>52</v>
      </c>
      <c r="I6" s="11" t="s">
        <v>84</v>
      </c>
      <c r="J6" s="11" t="s">
        <v>85</v>
      </c>
      <c r="K6" s="11" t="s">
        <v>60</v>
      </c>
      <c r="L6" s="11" t="s">
        <v>92</v>
      </c>
      <c r="M6" s="11" t="s">
        <v>45</v>
      </c>
      <c r="N6" s="11" t="s">
        <v>45</v>
      </c>
      <c r="O6" s="11" t="s">
        <v>45</v>
      </c>
      <c r="P6" s="11" t="s">
        <v>84</v>
      </c>
      <c r="Q6" s="11" t="s">
        <v>86</v>
      </c>
      <c r="R6" s="11">
        <v>750</v>
      </c>
      <c r="S6" s="40" t="s">
        <v>39</v>
      </c>
      <c r="T6" s="11">
        <v>640</v>
      </c>
      <c r="U6" s="11" t="s">
        <v>45</v>
      </c>
      <c r="V6" s="11" t="s">
        <v>84</v>
      </c>
      <c r="W6" s="11" t="s">
        <v>86</v>
      </c>
      <c r="X6" s="40" t="s">
        <v>60</v>
      </c>
      <c r="Y6" s="40" t="s">
        <v>87</v>
      </c>
      <c r="Z6" s="40" t="s">
        <v>2443</v>
      </c>
      <c r="AA6" s="40" t="s">
        <v>39</v>
      </c>
      <c r="AB6" s="12" t="s">
        <v>19</v>
      </c>
      <c r="AC6" s="11" t="s">
        <v>45</v>
      </c>
      <c r="AD6" s="11" t="s">
        <v>45</v>
      </c>
      <c r="AE6" s="11" t="s">
        <v>50</v>
      </c>
      <c r="AF6" s="11" t="s">
        <v>50</v>
      </c>
      <c r="AG6" s="13" t="s">
        <v>60</v>
      </c>
      <c r="AH6" s="13" t="s">
        <v>62</v>
      </c>
      <c r="AI6" s="13" t="s">
        <v>45</v>
      </c>
      <c r="AJ6" s="13" t="s">
        <v>45</v>
      </c>
      <c r="AK6" s="13" t="s">
        <v>23</v>
      </c>
      <c r="AL6" s="133" t="s">
        <v>2444</v>
      </c>
      <c r="AM6" s="134"/>
      <c r="AN6" s="134"/>
      <c r="AO6" s="134"/>
      <c r="AP6" s="135"/>
    </row>
    <row r="7" spans="1:44" s="10" customFormat="1" ht="42" customHeight="1" x14ac:dyDescent="0.4">
      <c r="A7" s="6">
        <v>14</v>
      </c>
      <c r="B7" s="6">
        <v>301</v>
      </c>
      <c r="C7" s="6" t="s">
        <v>79</v>
      </c>
      <c r="D7" s="18" t="s">
        <v>2445</v>
      </c>
      <c r="E7" s="34" t="s">
        <v>18</v>
      </c>
      <c r="F7" s="6" t="s">
        <v>2446</v>
      </c>
      <c r="G7" s="6" t="s">
        <v>43</v>
      </c>
      <c r="H7" s="6" t="s">
        <v>52</v>
      </c>
      <c r="I7" s="6" t="s">
        <v>84</v>
      </c>
      <c r="J7" s="48"/>
      <c r="K7" s="6" t="s">
        <v>60</v>
      </c>
      <c r="L7" s="6" t="s">
        <v>92</v>
      </c>
      <c r="M7" s="6" t="s">
        <v>45</v>
      </c>
      <c r="N7" s="6" t="s">
        <v>45</v>
      </c>
      <c r="O7" s="6" t="s">
        <v>23</v>
      </c>
      <c r="P7" s="6" t="s">
        <v>84</v>
      </c>
      <c r="Q7" s="6" t="s">
        <v>86</v>
      </c>
      <c r="R7" s="6">
        <v>1000</v>
      </c>
      <c r="S7" s="6" t="s">
        <v>39</v>
      </c>
      <c r="T7" s="6" t="s">
        <v>2447</v>
      </c>
      <c r="U7" s="6" t="s">
        <v>45</v>
      </c>
      <c r="V7" s="6" t="s">
        <v>84</v>
      </c>
      <c r="W7" s="6" t="s">
        <v>86</v>
      </c>
      <c r="X7" s="6" t="s">
        <v>60</v>
      </c>
      <c r="Y7" s="6" t="s">
        <v>2448</v>
      </c>
      <c r="Z7" s="6" t="s">
        <v>2449</v>
      </c>
      <c r="AA7" s="6" t="s">
        <v>39</v>
      </c>
      <c r="AB7" s="15" t="s">
        <v>88</v>
      </c>
      <c r="AC7" s="16" t="s">
        <v>45</v>
      </c>
      <c r="AD7" s="16" t="s">
        <v>23</v>
      </c>
      <c r="AE7" s="16" t="s">
        <v>50</v>
      </c>
      <c r="AF7" s="16" t="s">
        <v>50</v>
      </c>
      <c r="AG7" s="17" t="s">
        <v>60</v>
      </c>
      <c r="AH7" s="17" t="s">
        <v>62</v>
      </c>
      <c r="AI7" s="17" t="s">
        <v>45</v>
      </c>
      <c r="AJ7" s="17" t="s">
        <v>45</v>
      </c>
      <c r="AK7" s="17" t="s">
        <v>23</v>
      </c>
      <c r="AL7" s="106" t="s">
        <v>2450</v>
      </c>
      <c r="AM7" s="107"/>
      <c r="AN7" s="107"/>
      <c r="AO7" s="107"/>
      <c r="AP7" s="108"/>
    </row>
    <row r="8" spans="1:44" s="14" customFormat="1" ht="43.5" customHeight="1" x14ac:dyDescent="0.4">
      <c r="A8" s="11">
        <v>14</v>
      </c>
      <c r="B8" s="11">
        <v>401</v>
      </c>
      <c r="C8" s="11" t="s">
        <v>79</v>
      </c>
      <c r="D8" s="13" t="s">
        <v>2438</v>
      </c>
      <c r="E8" s="33" t="s">
        <v>18</v>
      </c>
      <c r="F8" s="45" t="s">
        <v>2439</v>
      </c>
      <c r="G8" s="11" t="s">
        <v>43</v>
      </c>
      <c r="H8" s="11" t="s">
        <v>52</v>
      </c>
      <c r="I8" s="11" t="s">
        <v>84</v>
      </c>
      <c r="J8" s="11" t="s">
        <v>85</v>
      </c>
      <c r="K8" s="11" t="s">
        <v>19</v>
      </c>
      <c r="L8" s="11" t="s">
        <v>24</v>
      </c>
      <c r="M8" s="11" t="s">
        <v>45</v>
      </c>
      <c r="N8" s="11" t="s">
        <v>45</v>
      </c>
      <c r="O8" s="11" t="s">
        <v>23</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116</v>
      </c>
      <c r="AF8" s="11" t="s">
        <v>50</v>
      </c>
      <c r="AG8" s="13" t="s">
        <v>19</v>
      </c>
      <c r="AH8" s="13" t="s">
        <v>62</v>
      </c>
      <c r="AI8" s="13" t="s">
        <v>45</v>
      </c>
      <c r="AJ8" s="13" t="s">
        <v>45</v>
      </c>
      <c r="AK8" s="13" t="s">
        <v>45</v>
      </c>
      <c r="AL8" s="133" t="s">
        <v>2440</v>
      </c>
      <c r="AM8" s="134"/>
      <c r="AN8" s="134"/>
      <c r="AO8" s="134"/>
      <c r="AP8" s="135"/>
    </row>
    <row r="9" spans="1:44" s="10" customFormat="1" ht="15" customHeight="1" x14ac:dyDescent="0.4">
      <c r="A9" s="6">
        <v>14</v>
      </c>
      <c r="B9" s="6">
        <v>501</v>
      </c>
      <c r="C9" s="6" t="s">
        <v>79</v>
      </c>
      <c r="D9" s="18" t="s">
        <v>2431</v>
      </c>
      <c r="E9" s="34" t="s">
        <v>18</v>
      </c>
      <c r="F9" s="6" t="s">
        <v>2432</v>
      </c>
      <c r="G9" s="6" t="s">
        <v>43</v>
      </c>
      <c r="H9" s="6" t="s">
        <v>52</v>
      </c>
      <c r="I9" s="6" t="s">
        <v>84</v>
      </c>
      <c r="J9" s="6" t="s">
        <v>85</v>
      </c>
      <c r="K9" s="6" t="s">
        <v>19</v>
      </c>
      <c r="L9" s="6" t="s">
        <v>24</v>
      </c>
      <c r="M9" s="6" t="s">
        <v>45</v>
      </c>
      <c r="N9" s="6" t="s">
        <v>45</v>
      </c>
      <c r="O9" s="6" t="s">
        <v>23</v>
      </c>
      <c r="P9" s="6" t="s">
        <v>84</v>
      </c>
      <c r="Q9" s="6" t="s">
        <v>86</v>
      </c>
      <c r="R9" s="6">
        <v>750</v>
      </c>
      <c r="S9" s="6" t="s">
        <v>39</v>
      </c>
      <c r="T9" s="6">
        <v>900</v>
      </c>
      <c r="U9" s="6" t="s">
        <v>45</v>
      </c>
      <c r="V9" s="6" t="s">
        <v>84</v>
      </c>
      <c r="W9" s="6" t="s">
        <v>86</v>
      </c>
      <c r="X9" s="6" t="s">
        <v>19</v>
      </c>
      <c r="Y9" s="6"/>
      <c r="Z9" s="6"/>
      <c r="AA9" s="6" t="s">
        <v>65</v>
      </c>
      <c r="AB9" s="15" t="s">
        <v>19</v>
      </c>
      <c r="AC9" s="16" t="s">
        <v>45</v>
      </c>
      <c r="AD9" s="16" t="s">
        <v>45</v>
      </c>
      <c r="AE9" s="16" t="s">
        <v>116</v>
      </c>
      <c r="AF9" s="16" t="s">
        <v>50</v>
      </c>
      <c r="AG9" s="17" t="s">
        <v>60</v>
      </c>
      <c r="AH9" s="17" t="s">
        <v>62</v>
      </c>
      <c r="AI9" s="17" t="s">
        <v>45</v>
      </c>
      <c r="AJ9" s="17" t="s">
        <v>45</v>
      </c>
      <c r="AK9" s="17" t="s">
        <v>45</v>
      </c>
      <c r="AL9" s="78" t="s">
        <v>2433</v>
      </c>
      <c r="AM9" s="79"/>
      <c r="AN9" s="79"/>
      <c r="AO9" s="79"/>
      <c r="AP9" s="80"/>
    </row>
    <row r="10" spans="1:44" s="14" customFormat="1" ht="45.75" customHeight="1" x14ac:dyDescent="0.4">
      <c r="A10" s="11">
        <v>14</v>
      </c>
      <c r="B10" s="11">
        <v>102</v>
      </c>
      <c r="C10" s="11" t="s">
        <v>79</v>
      </c>
      <c r="D10" s="13" t="s">
        <v>2467</v>
      </c>
      <c r="E10" s="33" t="s">
        <v>18</v>
      </c>
      <c r="F10" s="45" t="s">
        <v>2468</v>
      </c>
      <c r="G10" s="11" t="s">
        <v>43</v>
      </c>
      <c r="H10" s="11" t="s">
        <v>52</v>
      </c>
      <c r="I10" s="11" t="s">
        <v>84</v>
      </c>
      <c r="J10" s="11" t="s">
        <v>85</v>
      </c>
      <c r="K10" s="11" t="s">
        <v>60</v>
      </c>
      <c r="L10" s="11" t="s">
        <v>92</v>
      </c>
      <c r="M10" s="11" t="s">
        <v>45</v>
      </c>
      <c r="N10" s="11" t="s">
        <v>23</v>
      </c>
      <c r="O10" s="11" t="s">
        <v>45</v>
      </c>
      <c r="P10" s="11" t="s">
        <v>84</v>
      </c>
      <c r="Q10" s="11" t="s">
        <v>86</v>
      </c>
      <c r="R10" s="11">
        <v>750</v>
      </c>
      <c r="S10" s="40" t="s">
        <v>39</v>
      </c>
      <c r="T10" s="11">
        <v>900</v>
      </c>
      <c r="U10" s="11" t="s">
        <v>45</v>
      </c>
      <c r="V10" s="11" t="s">
        <v>84</v>
      </c>
      <c r="W10" s="11" t="s">
        <v>86</v>
      </c>
      <c r="X10" s="40" t="s">
        <v>60</v>
      </c>
      <c r="Y10" s="40" t="s">
        <v>87</v>
      </c>
      <c r="Z10" s="40" t="s">
        <v>2469</v>
      </c>
      <c r="AA10" s="40" t="s">
        <v>39</v>
      </c>
      <c r="AB10" s="12" t="s">
        <v>88</v>
      </c>
      <c r="AC10" s="11" t="s">
        <v>45</v>
      </c>
      <c r="AD10" s="11" t="s">
        <v>23</v>
      </c>
      <c r="AE10" s="11" t="s">
        <v>116</v>
      </c>
      <c r="AF10" s="11" t="s">
        <v>116</v>
      </c>
      <c r="AG10" s="13" t="s">
        <v>60</v>
      </c>
      <c r="AH10" s="13" t="s">
        <v>62</v>
      </c>
      <c r="AI10" s="13" t="s">
        <v>23</v>
      </c>
      <c r="AJ10" s="13" t="s">
        <v>45</v>
      </c>
      <c r="AK10" s="13" t="s">
        <v>23</v>
      </c>
      <c r="AL10" s="133" t="s">
        <v>2470</v>
      </c>
      <c r="AM10" s="134"/>
      <c r="AN10" s="134"/>
      <c r="AO10" s="134"/>
      <c r="AP10" s="135"/>
    </row>
    <row r="11" spans="1:44" s="10" customFormat="1" ht="40.5" customHeight="1" x14ac:dyDescent="0.4">
      <c r="A11" s="6">
        <v>14</v>
      </c>
      <c r="B11" s="6">
        <v>202</v>
      </c>
      <c r="C11" s="6" t="s">
        <v>79</v>
      </c>
      <c r="D11" s="18" t="s">
        <v>2434</v>
      </c>
      <c r="E11" s="34" t="s">
        <v>18</v>
      </c>
      <c r="F11" s="6" t="s">
        <v>2435</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87</v>
      </c>
      <c r="Z11" s="6" t="s">
        <v>2436</v>
      </c>
      <c r="AA11" s="6" t="s">
        <v>39</v>
      </c>
      <c r="AB11" s="15" t="s">
        <v>19</v>
      </c>
      <c r="AC11" s="16" t="s">
        <v>45</v>
      </c>
      <c r="AD11" s="16" t="s">
        <v>45</v>
      </c>
      <c r="AE11" s="16" t="s">
        <v>116</v>
      </c>
      <c r="AF11" s="16" t="s">
        <v>50</v>
      </c>
      <c r="AG11" s="17" t="s">
        <v>60</v>
      </c>
      <c r="AH11" s="17" t="s">
        <v>62</v>
      </c>
      <c r="AI11" s="17" t="s">
        <v>45</v>
      </c>
      <c r="AJ11" s="17" t="s">
        <v>23</v>
      </c>
      <c r="AK11" s="17" t="s">
        <v>45</v>
      </c>
      <c r="AL11" s="106" t="s">
        <v>2437</v>
      </c>
      <c r="AM11" s="107"/>
      <c r="AN11" s="107"/>
      <c r="AO11" s="107"/>
      <c r="AP11" s="108"/>
    </row>
    <row r="12" spans="1:44" s="14" customFormat="1" ht="30" customHeight="1" x14ac:dyDescent="0.4">
      <c r="A12" s="11">
        <v>14</v>
      </c>
      <c r="B12" s="11">
        <v>302</v>
      </c>
      <c r="C12" s="11" t="s">
        <v>79</v>
      </c>
      <c r="D12" s="13" t="s">
        <v>2673</v>
      </c>
      <c r="E12" s="33" t="s">
        <v>18</v>
      </c>
      <c r="F12" s="11" t="s">
        <v>2674</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800</v>
      </c>
      <c r="U12" s="11" t="s">
        <v>45</v>
      </c>
      <c r="V12" s="11" t="s">
        <v>84</v>
      </c>
      <c r="W12" s="11" t="s">
        <v>86</v>
      </c>
      <c r="X12" s="40" t="s">
        <v>60</v>
      </c>
      <c r="Y12" s="40" t="s">
        <v>87</v>
      </c>
      <c r="Z12" s="40" t="s">
        <v>2675</v>
      </c>
      <c r="AA12" s="40" t="s">
        <v>39</v>
      </c>
      <c r="AB12" s="12" t="s">
        <v>88</v>
      </c>
      <c r="AC12" s="11" t="s">
        <v>45</v>
      </c>
      <c r="AD12" s="11" t="s">
        <v>23</v>
      </c>
      <c r="AE12" s="11" t="s">
        <v>50</v>
      </c>
      <c r="AF12" s="11" t="s">
        <v>50</v>
      </c>
      <c r="AG12" s="13" t="s">
        <v>60</v>
      </c>
      <c r="AH12" s="13" t="s">
        <v>62</v>
      </c>
      <c r="AI12" s="13" t="s">
        <v>45</v>
      </c>
      <c r="AJ12" s="13" t="s">
        <v>45</v>
      </c>
      <c r="AK12" s="13" t="s">
        <v>45</v>
      </c>
      <c r="AL12" s="133" t="s">
        <v>2677</v>
      </c>
      <c r="AM12" s="134"/>
      <c r="AN12" s="134"/>
      <c r="AO12" s="134"/>
      <c r="AP12" s="135"/>
    </row>
    <row r="13" spans="1:44" s="10" customFormat="1" ht="41.25" customHeight="1" x14ac:dyDescent="0.4">
      <c r="A13" s="6">
        <v>14</v>
      </c>
      <c r="B13" s="6">
        <v>402</v>
      </c>
      <c r="C13" s="6" t="s">
        <v>79</v>
      </c>
      <c r="D13" s="18" t="s">
        <v>2637</v>
      </c>
      <c r="E13" s="34" t="s">
        <v>18</v>
      </c>
      <c r="F13" s="6" t="s">
        <v>2638</v>
      </c>
      <c r="G13" s="6" t="s">
        <v>43</v>
      </c>
      <c r="H13" s="6" t="s">
        <v>52</v>
      </c>
      <c r="I13" s="6" t="s">
        <v>84</v>
      </c>
      <c r="J13" s="6" t="s">
        <v>85</v>
      </c>
      <c r="K13" s="6" t="s">
        <v>60</v>
      </c>
      <c r="L13" s="6" t="s">
        <v>92</v>
      </c>
      <c r="M13" s="6" t="s">
        <v>45</v>
      </c>
      <c r="N13" s="6" t="s">
        <v>45</v>
      </c>
      <c r="O13" s="6" t="s">
        <v>23</v>
      </c>
      <c r="P13" s="6" t="s">
        <v>84</v>
      </c>
      <c r="Q13" s="6" t="s">
        <v>86</v>
      </c>
      <c r="R13" s="6">
        <v>750</v>
      </c>
      <c r="S13" s="6" t="s">
        <v>39</v>
      </c>
      <c r="T13" s="6">
        <v>900</v>
      </c>
      <c r="U13" s="6" t="s">
        <v>45</v>
      </c>
      <c r="V13" s="6" t="s">
        <v>84</v>
      </c>
      <c r="W13" s="6" t="s">
        <v>86</v>
      </c>
      <c r="X13" s="6" t="s">
        <v>60</v>
      </c>
      <c r="Y13" s="6" t="s">
        <v>87</v>
      </c>
      <c r="Z13" s="6" t="s">
        <v>2639</v>
      </c>
      <c r="AA13" s="6" t="s">
        <v>39</v>
      </c>
      <c r="AB13" s="15" t="s">
        <v>88</v>
      </c>
      <c r="AC13" s="16" t="s">
        <v>45</v>
      </c>
      <c r="AD13" s="16" t="s">
        <v>45</v>
      </c>
      <c r="AE13" s="16" t="s">
        <v>50</v>
      </c>
      <c r="AF13" s="16" t="s">
        <v>50</v>
      </c>
      <c r="AG13" s="17" t="s">
        <v>60</v>
      </c>
      <c r="AH13" s="17" t="s">
        <v>62</v>
      </c>
      <c r="AI13" s="17" t="s">
        <v>23</v>
      </c>
      <c r="AJ13" s="17" t="s">
        <v>45</v>
      </c>
      <c r="AK13" s="17" t="s">
        <v>45</v>
      </c>
      <c r="AL13" s="106" t="s">
        <v>2640</v>
      </c>
      <c r="AM13" s="107"/>
      <c r="AN13" s="107"/>
      <c r="AO13" s="107"/>
      <c r="AP13" s="108"/>
    </row>
    <row r="14" spans="1:44" s="14" customFormat="1" ht="45" customHeight="1" x14ac:dyDescent="0.4">
      <c r="A14" s="11">
        <v>14</v>
      </c>
      <c r="B14" s="11">
        <v>502</v>
      </c>
      <c r="C14" s="11" t="s">
        <v>79</v>
      </c>
      <c r="D14" s="13" t="s">
        <v>2459</v>
      </c>
      <c r="E14" s="33" t="s">
        <v>18</v>
      </c>
      <c r="F14" s="11" t="s">
        <v>2460</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640</v>
      </c>
      <c r="U14" s="11" t="s">
        <v>45</v>
      </c>
      <c r="V14" s="11" t="s">
        <v>84</v>
      </c>
      <c r="W14" s="11" t="s">
        <v>86</v>
      </c>
      <c r="X14" s="40" t="s">
        <v>60</v>
      </c>
      <c r="Y14" s="40" t="s">
        <v>344</v>
      </c>
      <c r="Z14" s="53" t="s">
        <v>2461</v>
      </c>
      <c r="AA14" s="40" t="s">
        <v>39</v>
      </c>
      <c r="AB14" s="12" t="s">
        <v>88</v>
      </c>
      <c r="AC14" s="11" t="s">
        <v>45</v>
      </c>
      <c r="AD14" s="11" t="s">
        <v>23</v>
      </c>
      <c r="AE14" s="11" t="s">
        <v>50</v>
      </c>
      <c r="AF14" s="11" t="s">
        <v>50</v>
      </c>
      <c r="AG14" s="13" t="s">
        <v>60</v>
      </c>
      <c r="AH14" s="13" t="s">
        <v>96</v>
      </c>
      <c r="AI14" s="13" t="s">
        <v>45</v>
      </c>
      <c r="AJ14" s="13" t="s">
        <v>45</v>
      </c>
      <c r="AK14" s="13" t="s">
        <v>23</v>
      </c>
      <c r="AL14" s="133" t="s">
        <v>2462</v>
      </c>
      <c r="AM14" s="134"/>
      <c r="AN14" s="134"/>
      <c r="AO14" s="134"/>
      <c r="AP14" s="135"/>
    </row>
    <row r="15" spans="1:44" s="10" customFormat="1" ht="15" customHeight="1" x14ac:dyDescent="0.4">
      <c r="A15" s="6">
        <v>14</v>
      </c>
      <c r="B15" s="6">
        <v>103</v>
      </c>
      <c r="C15" s="6" t="s">
        <v>79</v>
      </c>
      <c r="D15" s="18"/>
      <c r="E15" s="34" t="s">
        <v>18</v>
      </c>
      <c r="F15" s="6"/>
      <c r="G15" s="6"/>
      <c r="H15" s="6"/>
      <c r="I15" s="6"/>
      <c r="J15" s="6"/>
      <c r="K15" s="6"/>
      <c r="L15" s="6"/>
      <c r="M15" s="6"/>
      <c r="N15" s="6"/>
      <c r="O15" s="6"/>
      <c r="P15" s="6"/>
      <c r="Q15" s="6"/>
      <c r="R15" s="6"/>
      <c r="S15" s="6"/>
      <c r="T15" s="6"/>
      <c r="U15" s="6"/>
      <c r="V15" s="6"/>
      <c r="W15" s="6"/>
      <c r="X15" s="6"/>
      <c r="Y15" s="6"/>
      <c r="Z15" s="6"/>
      <c r="AA15" s="6"/>
      <c r="AB15" s="15"/>
      <c r="AC15" s="16"/>
      <c r="AD15" s="16"/>
      <c r="AE15" s="16"/>
      <c r="AF15" s="16"/>
      <c r="AG15" s="17"/>
      <c r="AH15" s="17"/>
      <c r="AI15" s="17"/>
      <c r="AJ15" s="17"/>
      <c r="AK15" s="17"/>
      <c r="AL15" s="106"/>
      <c r="AM15" s="107"/>
      <c r="AN15" s="107"/>
      <c r="AO15" s="107"/>
      <c r="AP15" s="108"/>
    </row>
    <row r="16" spans="1:44" s="14" customFormat="1" ht="15" customHeight="1" x14ac:dyDescent="0.4">
      <c r="A16" s="11">
        <v>14</v>
      </c>
      <c r="B16" s="11">
        <v>203</v>
      </c>
      <c r="C16" s="11" t="s">
        <v>79</v>
      </c>
      <c r="D16" s="13" t="s">
        <v>2493</v>
      </c>
      <c r="E16" s="33" t="s">
        <v>18</v>
      </c>
      <c r="F16" s="11" t="s">
        <v>2494</v>
      </c>
      <c r="G16" s="11" t="s">
        <v>43</v>
      </c>
      <c r="H16" s="11" t="s">
        <v>52</v>
      </c>
      <c r="I16" s="11" t="s">
        <v>84</v>
      </c>
      <c r="J16" s="11" t="s">
        <v>85</v>
      </c>
      <c r="K16" s="11" t="s">
        <v>489</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2495</v>
      </c>
      <c r="AA16" s="40" t="s">
        <v>39</v>
      </c>
      <c r="AB16" s="12" t="s">
        <v>88</v>
      </c>
      <c r="AC16" s="11" t="s">
        <v>23</v>
      </c>
      <c r="AD16" s="11" t="s">
        <v>23</v>
      </c>
      <c r="AE16" s="11" t="s">
        <v>50</v>
      </c>
      <c r="AF16" s="11" t="s">
        <v>50</v>
      </c>
      <c r="AG16" s="13" t="s">
        <v>60</v>
      </c>
      <c r="AH16" s="13" t="s">
        <v>62</v>
      </c>
      <c r="AI16" s="13" t="s">
        <v>45</v>
      </c>
      <c r="AJ16" s="13" t="s">
        <v>45</v>
      </c>
      <c r="AK16" s="13" t="s">
        <v>45</v>
      </c>
      <c r="AL16" s="133" t="s">
        <v>2496</v>
      </c>
      <c r="AM16" s="134"/>
      <c r="AN16" s="134"/>
      <c r="AO16" s="134"/>
      <c r="AP16" s="135"/>
    </row>
    <row r="17" spans="1:42" s="10" customFormat="1" ht="32.25" customHeight="1" x14ac:dyDescent="0.4">
      <c r="A17" s="6">
        <v>14</v>
      </c>
      <c r="B17" s="6">
        <v>303</v>
      </c>
      <c r="C17" s="6" t="s">
        <v>79</v>
      </c>
      <c r="D17" s="18" t="s">
        <v>2497</v>
      </c>
      <c r="E17" s="34" t="s">
        <v>18</v>
      </c>
      <c r="F17" s="46" t="s">
        <v>2498</v>
      </c>
      <c r="G17" s="6" t="s">
        <v>43</v>
      </c>
      <c r="H17" s="6" t="s">
        <v>52</v>
      </c>
      <c r="I17" s="6" t="s">
        <v>84</v>
      </c>
      <c r="J17" s="6" t="s">
        <v>85</v>
      </c>
      <c r="K17" s="6" t="s">
        <v>60</v>
      </c>
      <c r="L17" s="6" t="s">
        <v>92</v>
      </c>
      <c r="M17" s="6" t="s">
        <v>45</v>
      </c>
      <c r="N17" s="6" t="s">
        <v>45</v>
      </c>
      <c r="O17" s="6" t="s">
        <v>45</v>
      </c>
      <c r="P17" s="6" t="s">
        <v>84</v>
      </c>
      <c r="Q17" s="6" t="s">
        <v>86</v>
      </c>
      <c r="R17" s="6">
        <v>750</v>
      </c>
      <c r="S17" s="6" t="s">
        <v>39</v>
      </c>
      <c r="T17" s="6">
        <v>640</v>
      </c>
      <c r="U17" s="6" t="s">
        <v>45</v>
      </c>
      <c r="V17" s="6" t="s">
        <v>84</v>
      </c>
      <c r="W17" s="6" t="s">
        <v>86</v>
      </c>
      <c r="X17" s="6" t="s">
        <v>60</v>
      </c>
      <c r="Y17" s="6" t="s">
        <v>531</v>
      </c>
      <c r="Z17" s="6"/>
      <c r="AA17" s="6" t="s">
        <v>39</v>
      </c>
      <c r="AB17" s="15" t="s">
        <v>88</v>
      </c>
      <c r="AC17" s="16" t="s">
        <v>45</v>
      </c>
      <c r="AD17" s="16" t="s">
        <v>23</v>
      </c>
      <c r="AE17" s="16" t="s">
        <v>50</v>
      </c>
      <c r="AF17" s="16" t="s">
        <v>50</v>
      </c>
      <c r="AG17" s="17" t="s">
        <v>60</v>
      </c>
      <c r="AH17" s="17" t="s">
        <v>62</v>
      </c>
      <c r="AI17" s="17" t="s">
        <v>45</v>
      </c>
      <c r="AJ17" s="17" t="s">
        <v>23</v>
      </c>
      <c r="AK17" s="17" t="s">
        <v>45</v>
      </c>
      <c r="AL17" s="106" t="s">
        <v>2499</v>
      </c>
      <c r="AM17" s="107"/>
      <c r="AN17" s="107"/>
      <c r="AO17" s="107"/>
      <c r="AP17" s="108"/>
    </row>
    <row r="18" spans="1:42" s="14" customFormat="1" ht="15" customHeight="1" x14ac:dyDescent="0.4">
      <c r="A18" s="11">
        <v>14</v>
      </c>
      <c r="B18" s="11">
        <v>403</v>
      </c>
      <c r="C18" s="11" t="s">
        <v>79</v>
      </c>
      <c r="D18" s="13" t="s">
        <v>2641</v>
      </c>
      <c r="E18" s="33" t="s">
        <v>18</v>
      </c>
      <c r="F18" s="11" t="s">
        <v>2642</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640</v>
      </c>
      <c r="U18" s="11" t="s">
        <v>45</v>
      </c>
      <c r="V18" s="11" t="s">
        <v>84</v>
      </c>
      <c r="W18" s="11" t="s">
        <v>86</v>
      </c>
      <c r="X18" s="40" t="s">
        <v>60</v>
      </c>
      <c r="Y18" s="40" t="s">
        <v>87</v>
      </c>
      <c r="Z18" s="40" t="s">
        <v>2643</v>
      </c>
      <c r="AA18" s="40" t="s">
        <v>39</v>
      </c>
      <c r="AB18" s="12" t="s">
        <v>19</v>
      </c>
      <c r="AC18" s="11" t="s">
        <v>45</v>
      </c>
      <c r="AD18" s="11" t="s">
        <v>45</v>
      </c>
      <c r="AE18" s="11" t="s">
        <v>116</v>
      </c>
      <c r="AF18" s="11" t="s">
        <v>50</v>
      </c>
      <c r="AG18" s="13" t="s">
        <v>60</v>
      </c>
      <c r="AH18" s="13" t="s">
        <v>62</v>
      </c>
      <c r="AI18" s="13" t="s">
        <v>45</v>
      </c>
      <c r="AJ18" s="13" t="s">
        <v>23</v>
      </c>
      <c r="AK18" s="13" t="s">
        <v>45</v>
      </c>
      <c r="AL18" s="133" t="s">
        <v>2644</v>
      </c>
      <c r="AM18" s="134"/>
      <c r="AN18" s="134"/>
      <c r="AO18" s="134"/>
      <c r="AP18" s="135"/>
    </row>
    <row r="19" spans="1:42" s="10" customFormat="1" ht="43.5" customHeight="1" x14ac:dyDescent="0.4">
      <c r="A19" s="6">
        <v>14</v>
      </c>
      <c r="B19" s="6">
        <v>503</v>
      </c>
      <c r="C19" s="6" t="s">
        <v>79</v>
      </c>
      <c r="D19" s="18" t="s">
        <v>2220</v>
      </c>
      <c r="E19" s="34" t="s">
        <v>18</v>
      </c>
      <c r="F19" s="6" t="s">
        <v>2221</v>
      </c>
      <c r="G19" s="6" t="s">
        <v>43</v>
      </c>
      <c r="H19" s="6" t="s">
        <v>52</v>
      </c>
      <c r="I19" s="6" t="s">
        <v>84</v>
      </c>
      <c r="J19" s="6" t="s">
        <v>85</v>
      </c>
      <c r="K19" s="6" t="s">
        <v>60</v>
      </c>
      <c r="L19" s="6" t="s">
        <v>92</v>
      </c>
      <c r="M19" s="6" t="s">
        <v>45</v>
      </c>
      <c r="N19" s="6" t="s">
        <v>45</v>
      </c>
      <c r="O19" s="6" t="s">
        <v>23</v>
      </c>
      <c r="P19" s="6" t="s">
        <v>84</v>
      </c>
      <c r="Q19" s="6" t="s">
        <v>86</v>
      </c>
      <c r="R19" s="6" t="s">
        <v>2222</v>
      </c>
      <c r="S19" s="6" t="s">
        <v>39</v>
      </c>
      <c r="T19" s="6">
        <v>900</v>
      </c>
      <c r="U19" s="6" t="s">
        <v>45</v>
      </c>
      <c r="V19" s="6" t="s">
        <v>84</v>
      </c>
      <c r="W19" s="6" t="s">
        <v>86</v>
      </c>
      <c r="X19" s="6" t="s">
        <v>60</v>
      </c>
      <c r="Y19" s="6" t="s">
        <v>87</v>
      </c>
      <c r="Z19" s="6" t="s">
        <v>2223</v>
      </c>
      <c r="AA19" s="6" t="s">
        <v>39</v>
      </c>
      <c r="AB19" s="15" t="s">
        <v>19</v>
      </c>
      <c r="AC19" s="16" t="s">
        <v>45</v>
      </c>
      <c r="AD19" s="16" t="s">
        <v>45</v>
      </c>
      <c r="AE19" s="16" t="s">
        <v>50</v>
      </c>
      <c r="AF19" s="16" t="s">
        <v>50</v>
      </c>
      <c r="AG19" s="17" t="s">
        <v>60</v>
      </c>
      <c r="AH19" s="17" t="s">
        <v>62</v>
      </c>
      <c r="AI19" s="17" t="s">
        <v>45</v>
      </c>
      <c r="AJ19" s="17" t="s">
        <v>23</v>
      </c>
      <c r="AK19" s="17" t="s">
        <v>23</v>
      </c>
      <c r="AL19" s="106" t="s">
        <v>2224</v>
      </c>
      <c r="AM19" s="107"/>
      <c r="AN19" s="107"/>
      <c r="AO19" s="107"/>
      <c r="AP19" s="108"/>
    </row>
    <row r="20" spans="1:42" s="14" customFormat="1" ht="57" customHeight="1" x14ac:dyDescent="0.4">
      <c r="A20" s="11">
        <v>14</v>
      </c>
      <c r="B20" s="11">
        <v>104</v>
      </c>
      <c r="C20" s="11" t="s">
        <v>79</v>
      </c>
      <c r="D20" s="13" t="s">
        <v>2490</v>
      </c>
      <c r="E20" s="33" t="s">
        <v>18</v>
      </c>
      <c r="F20" s="11" t="s">
        <v>2491</v>
      </c>
      <c r="G20" s="11" t="s">
        <v>43</v>
      </c>
      <c r="H20" s="11" t="s">
        <v>52</v>
      </c>
      <c r="I20" s="11" t="s">
        <v>84</v>
      </c>
      <c r="J20" s="11" t="s">
        <v>85</v>
      </c>
      <c r="K20" s="11" t="s">
        <v>60</v>
      </c>
      <c r="L20" s="11" t="s">
        <v>92</v>
      </c>
      <c r="M20" s="11" t="s">
        <v>45</v>
      </c>
      <c r="N20" s="11" t="s">
        <v>45</v>
      </c>
      <c r="O20" s="11" t="s">
        <v>45</v>
      </c>
      <c r="P20" s="11" t="s">
        <v>84</v>
      </c>
      <c r="Q20" s="11" t="s">
        <v>86</v>
      </c>
      <c r="R20" s="11">
        <v>750</v>
      </c>
      <c r="S20" s="40" t="s">
        <v>39</v>
      </c>
      <c r="T20" s="11">
        <v>900</v>
      </c>
      <c r="U20" s="11" t="s">
        <v>45</v>
      </c>
      <c r="V20" s="11" t="s">
        <v>84</v>
      </c>
      <c r="W20" s="11" t="s">
        <v>86</v>
      </c>
      <c r="X20" s="40" t="s">
        <v>60</v>
      </c>
      <c r="Y20" s="40" t="s">
        <v>87</v>
      </c>
      <c r="Z20" s="40" t="s">
        <v>2492</v>
      </c>
      <c r="AA20" s="40" t="s">
        <v>39</v>
      </c>
      <c r="AB20" s="12" t="s">
        <v>88</v>
      </c>
      <c r="AC20" s="11" t="s">
        <v>45</v>
      </c>
      <c r="AD20" s="11" t="s">
        <v>23</v>
      </c>
      <c r="AE20" s="11" t="s">
        <v>50</v>
      </c>
      <c r="AF20" s="11" t="s">
        <v>50</v>
      </c>
      <c r="AG20" s="13" t="s">
        <v>60</v>
      </c>
      <c r="AH20" s="13" t="s">
        <v>62</v>
      </c>
      <c r="AI20" s="13" t="s">
        <v>45</v>
      </c>
      <c r="AJ20" s="13" t="s">
        <v>45</v>
      </c>
      <c r="AK20" s="13" t="s">
        <v>45</v>
      </c>
      <c r="AL20" s="133" t="s">
        <v>2749</v>
      </c>
      <c r="AM20" s="134"/>
      <c r="AN20" s="134"/>
      <c r="AO20" s="134"/>
      <c r="AP20" s="135"/>
    </row>
    <row r="21" spans="1:42" s="10" customFormat="1" ht="39.75" customHeight="1" x14ac:dyDescent="0.4">
      <c r="A21" s="6">
        <v>14</v>
      </c>
      <c r="B21" s="6">
        <v>204</v>
      </c>
      <c r="C21" s="6" t="s">
        <v>79</v>
      </c>
      <c r="D21" s="18" t="s">
        <v>2500</v>
      </c>
      <c r="E21" s="34" t="s">
        <v>18</v>
      </c>
      <c r="F21" s="6" t="s">
        <v>2501</v>
      </c>
      <c r="G21" s="6" t="s">
        <v>43</v>
      </c>
      <c r="H21" s="6" t="s">
        <v>52</v>
      </c>
      <c r="I21" s="6" t="s">
        <v>84</v>
      </c>
      <c r="J21" s="6" t="s">
        <v>85</v>
      </c>
      <c r="K21" s="6" t="s">
        <v>60</v>
      </c>
      <c r="L21" s="6" t="s">
        <v>92</v>
      </c>
      <c r="M21" s="6" t="s">
        <v>45</v>
      </c>
      <c r="N21" s="6" t="s">
        <v>45</v>
      </c>
      <c r="O21" s="6" t="s">
        <v>45</v>
      </c>
      <c r="P21" s="6" t="s">
        <v>84</v>
      </c>
      <c r="Q21" s="6" t="s">
        <v>86</v>
      </c>
      <c r="R21" s="6">
        <v>740</v>
      </c>
      <c r="S21" s="6" t="s">
        <v>39</v>
      </c>
      <c r="T21" s="6">
        <v>900</v>
      </c>
      <c r="U21" s="6" t="s">
        <v>23</v>
      </c>
      <c r="V21" s="6" t="s">
        <v>84</v>
      </c>
      <c r="W21" s="6" t="s">
        <v>86</v>
      </c>
      <c r="X21" s="6" t="s">
        <v>60</v>
      </c>
      <c r="Y21" s="6" t="s">
        <v>87</v>
      </c>
      <c r="Z21" s="6" t="s">
        <v>2502</v>
      </c>
      <c r="AA21" s="6" t="s">
        <v>39</v>
      </c>
      <c r="AB21" s="15" t="s">
        <v>19</v>
      </c>
      <c r="AC21" s="16" t="s">
        <v>45</v>
      </c>
      <c r="AD21" s="16" t="s">
        <v>45</v>
      </c>
      <c r="AE21" s="16" t="s">
        <v>50</v>
      </c>
      <c r="AF21" s="16" t="s">
        <v>50</v>
      </c>
      <c r="AG21" s="17" t="s">
        <v>60</v>
      </c>
      <c r="AH21" s="17" t="s">
        <v>62</v>
      </c>
      <c r="AI21" s="17" t="s">
        <v>23</v>
      </c>
      <c r="AJ21" s="17" t="s">
        <v>45</v>
      </c>
      <c r="AK21" s="17" t="s">
        <v>23</v>
      </c>
      <c r="AL21" s="106" t="s">
        <v>2503</v>
      </c>
      <c r="AM21" s="107"/>
      <c r="AN21" s="107"/>
      <c r="AO21" s="107"/>
      <c r="AP21" s="108"/>
    </row>
    <row r="22" spans="1:42" s="14" customFormat="1" ht="53.25" customHeight="1" x14ac:dyDescent="0.4">
      <c r="A22" s="11">
        <v>14</v>
      </c>
      <c r="B22" s="11">
        <v>304</v>
      </c>
      <c r="C22" s="11" t="s">
        <v>79</v>
      </c>
      <c r="D22" s="13" t="s">
        <v>2479</v>
      </c>
      <c r="E22" s="33" t="s">
        <v>18</v>
      </c>
      <c r="F22" s="11" t="s">
        <v>2480</v>
      </c>
      <c r="G22" s="11" t="s">
        <v>43</v>
      </c>
      <c r="H22" s="11" t="s">
        <v>52</v>
      </c>
      <c r="I22" s="11" t="s">
        <v>84</v>
      </c>
      <c r="J22" s="11" t="s">
        <v>85</v>
      </c>
      <c r="K22" s="11" t="s">
        <v>361</v>
      </c>
      <c r="L22" s="11" t="s">
        <v>92</v>
      </c>
      <c r="M22" s="11" t="s">
        <v>45</v>
      </c>
      <c r="N22" s="11" t="s">
        <v>45</v>
      </c>
      <c r="O22" s="11" t="s">
        <v>45</v>
      </c>
      <c r="P22" s="11" t="s">
        <v>84</v>
      </c>
      <c r="Q22" s="11" t="s">
        <v>86</v>
      </c>
      <c r="R22" s="11">
        <v>740</v>
      </c>
      <c r="S22" s="40" t="s">
        <v>39</v>
      </c>
      <c r="T22" s="11">
        <v>900</v>
      </c>
      <c r="U22" s="11" t="s">
        <v>45</v>
      </c>
      <c r="V22" s="11" t="s">
        <v>84</v>
      </c>
      <c r="W22" s="11" t="s">
        <v>86</v>
      </c>
      <c r="X22" s="40" t="s">
        <v>60</v>
      </c>
      <c r="Y22" s="40" t="s">
        <v>87</v>
      </c>
      <c r="Z22" s="40" t="s">
        <v>2481</v>
      </c>
      <c r="AA22" s="40" t="s">
        <v>39</v>
      </c>
      <c r="AB22" s="12" t="s">
        <v>19</v>
      </c>
      <c r="AC22" s="11" t="s">
        <v>45</v>
      </c>
      <c r="AD22" s="11" t="s">
        <v>45</v>
      </c>
      <c r="AE22" s="11" t="s">
        <v>50</v>
      </c>
      <c r="AF22" s="11" t="s">
        <v>50</v>
      </c>
      <c r="AG22" s="13" t="s">
        <v>60</v>
      </c>
      <c r="AH22" s="13" t="s">
        <v>62</v>
      </c>
      <c r="AI22" s="13" t="s">
        <v>45</v>
      </c>
      <c r="AJ22" s="13" t="s">
        <v>23</v>
      </c>
      <c r="AK22" s="13" t="s">
        <v>23</v>
      </c>
      <c r="AL22" s="133" t="s">
        <v>2482</v>
      </c>
      <c r="AM22" s="134"/>
      <c r="AN22" s="134"/>
      <c r="AO22" s="134"/>
      <c r="AP22" s="135"/>
    </row>
    <row r="23" spans="1:42" s="10" customFormat="1" ht="15" customHeight="1" x14ac:dyDescent="0.4">
      <c r="A23" s="6">
        <v>14</v>
      </c>
      <c r="B23" s="6">
        <v>404</v>
      </c>
      <c r="C23" s="6" t="s">
        <v>79</v>
      </c>
      <c r="D23" s="18" t="s">
        <v>2504</v>
      </c>
      <c r="E23" s="34" t="s">
        <v>18</v>
      </c>
      <c r="F23" s="6" t="s">
        <v>2505</v>
      </c>
      <c r="G23" s="6" t="s">
        <v>43</v>
      </c>
      <c r="H23" s="6" t="s">
        <v>52</v>
      </c>
      <c r="I23" s="6" t="s">
        <v>84</v>
      </c>
      <c r="J23" s="6" t="s">
        <v>85</v>
      </c>
      <c r="K23" s="6" t="s">
        <v>60</v>
      </c>
      <c r="L23" s="6" t="s">
        <v>92</v>
      </c>
      <c r="M23" s="6" t="s">
        <v>45</v>
      </c>
      <c r="N23" s="6" t="s">
        <v>45</v>
      </c>
      <c r="O23" s="6" t="s">
        <v>23</v>
      </c>
      <c r="P23" s="6" t="s">
        <v>84</v>
      </c>
      <c r="Q23" s="6" t="s">
        <v>86</v>
      </c>
      <c r="R23" s="6">
        <v>900</v>
      </c>
      <c r="S23" s="6" t="s">
        <v>39</v>
      </c>
      <c r="T23" s="6">
        <v>900</v>
      </c>
      <c r="U23" s="6" t="s">
        <v>45</v>
      </c>
      <c r="V23" s="6" t="s">
        <v>84</v>
      </c>
      <c r="W23" s="6" t="s">
        <v>86</v>
      </c>
      <c r="X23" s="6" t="s">
        <v>60</v>
      </c>
      <c r="Y23" s="6" t="s">
        <v>141</v>
      </c>
      <c r="Z23" s="6"/>
      <c r="AA23" s="6" t="s">
        <v>39</v>
      </c>
      <c r="AB23" s="15" t="s">
        <v>88</v>
      </c>
      <c r="AC23" s="16" t="s">
        <v>23</v>
      </c>
      <c r="AD23" s="16" t="s">
        <v>23</v>
      </c>
      <c r="AE23" s="16" t="s">
        <v>50</v>
      </c>
      <c r="AF23" s="16" t="s">
        <v>50</v>
      </c>
      <c r="AG23" s="17" t="s">
        <v>60</v>
      </c>
      <c r="AH23" s="17" t="s">
        <v>62</v>
      </c>
      <c r="AI23" s="17" t="s">
        <v>45</v>
      </c>
      <c r="AJ23" s="17" t="s">
        <v>45</v>
      </c>
      <c r="AK23" s="17" t="s">
        <v>45</v>
      </c>
      <c r="AL23" s="106" t="s">
        <v>2506</v>
      </c>
      <c r="AM23" s="107"/>
      <c r="AN23" s="107"/>
      <c r="AO23" s="107"/>
      <c r="AP23" s="108"/>
    </row>
    <row r="24" spans="1:42" s="14" customFormat="1" ht="15" customHeight="1" x14ac:dyDescent="0.4">
      <c r="A24" s="11">
        <v>14</v>
      </c>
      <c r="B24" s="11">
        <v>504</v>
      </c>
      <c r="C24" s="11" t="s">
        <v>79</v>
      </c>
      <c r="D24" s="13" t="s">
        <v>2475</v>
      </c>
      <c r="E24" s="33" t="s">
        <v>18</v>
      </c>
      <c r="F24" s="11" t="s">
        <v>2476</v>
      </c>
      <c r="G24" s="11" t="s">
        <v>43</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60</v>
      </c>
      <c r="Y24" s="40" t="s">
        <v>87</v>
      </c>
      <c r="Z24" s="40" t="s">
        <v>2477</v>
      </c>
      <c r="AA24" s="40" t="s">
        <v>39</v>
      </c>
      <c r="AB24" s="12" t="s">
        <v>88</v>
      </c>
      <c r="AC24" s="11" t="s">
        <v>45</v>
      </c>
      <c r="AD24" s="11" t="s">
        <v>45</v>
      </c>
      <c r="AE24" s="11" t="s">
        <v>50</v>
      </c>
      <c r="AF24" s="11" t="s">
        <v>50</v>
      </c>
      <c r="AG24" s="13" t="s">
        <v>60</v>
      </c>
      <c r="AH24" s="13" t="s">
        <v>62</v>
      </c>
      <c r="AI24" s="13" t="s">
        <v>45</v>
      </c>
      <c r="AJ24" s="13" t="s">
        <v>45</v>
      </c>
      <c r="AK24" s="13" t="s">
        <v>45</v>
      </c>
      <c r="AL24" s="94" t="s">
        <v>2478</v>
      </c>
      <c r="AM24" s="95"/>
      <c r="AN24" s="95"/>
      <c r="AO24" s="95"/>
      <c r="AP24" s="96"/>
    </row>
    <row r="25" spans="1:42" s="10" customFormat="1" ht="39" customHeight="1" x14ac:dyDescent="0.4">
      <c r="A25" s="6">
        <v>14</v>
      </c>
      <c r="B25" s="6">
        <v>105</v>
      </c>
      <c r="C25" s="6" t="s">
        <v>79</v>
      </c>
      <c r="D25" s="18" t="s">
        <v>2645</v>
      </c>
      <c r="E25" s="34" t="s">
        <v>18</v>
      </c>
      <c r="F25" s="18" t="s">
        <v>2646</v>
      </c>
      <c r="G25" s="6" t="s">
        <v>38</v>
      </c>
      <c r="H25" s="6" t="s">
        <v>52</v>
      </c>
      <c r="I25" s="6" t="s">
        <v>84</v>
      </c>
      <c r="J25" s="6" t="s">
        <v>85</v>
      </c>
      <c r="K25" s="6" t="s">
        <v>60</v>
      </c>
      <c r="L25" s="6" t="s">
        <v>92</v>
      </c>
      <c r="M25" s="6" t="s">
        <v>45</v>
      </c>
      <c r="N25" s="6" t="s">
        <v>23</v>
      </c>
      <c r="O25" s="6" t="s">
        <v>23</v>
      </c>
      <c r="P25" s="6" t="s">
        <v>84</v>
      </c>
      <c r="Q25" s="6" t="s">
        <v>86</v>
      </c>
      <c r="R25" s="6">
        <v>750</v>
      </c>
      <c r="S25" s="6" t="s">
        <v>39</v>
      </c>
      <c r="T25" s="6">
        <v>900</v>
      </c>
      <c r="U25" s="6" t="s">
        <v>45</v>
      </c>
      <c r="V25" s="6" t="s">
        <v>84</v>
      </c>
      <c r="W25" s="6" t="s">
        <v>86</v>
      </c>
      <c r="X25" s="6" t="s">
        <v>60</v>
      </c>
      <c r="Y25" s="6" t="s">
        <v>87</v>
      </c>
      <c r="Z25" s="6" t="s">
        <v>2647</v>
      </c>
      <c r="AA25" s="6" t="s">
        <v>39</v>
      </c>
      <c r="AB25" s="15" t="s">
        <v>19</v>
      </c>
      <c r="AC25" s="16" t="s">
        <v>23</v>
      </c>
      <c r="AD25" s="16" t="s">
        <v>45</v>
      </c>
      <c r="AE25" s="16" t="s">
        <v>50</v>
      </c>
      <c r="AF25" s="16" t="s">
        <v>50</v>
      </c>
      <c r="AG25" s="17" t="s">
        <v>60</v>
      </c>
      <c r="AH25" s="17" t="s">
        <v>62</v>
      </c>
      <c r="AI25" s="17" t="s">
        <v>45</v>
      </c>
      <c r="AJ25" s="17" t="s">
        <v>23</v>
      </c>
      <c r="AK25" s="17" t="s">
        <v>45</v>
      </c>
      <c r="AL25" s="106" t="s">
        <v>2652</v>
      </c>
      <c r="AM25" s="107"/>
      <c r="AN25" s="107"/>
      <c r="AO25" s="107"/>
      <c r="AP25" s="108"/>
    </row>
    <row r="26" spans="1:42" s="14" customFormat="1" ht="53.25" customHeight="1" x14ac:dyDescent="0.4">
      <c r="A26" s="11">
        <v>14</v>
      </c>
      <c r="B26" s="11">
        <v>205</v>
      </c>
      <c r="C26" s="11" t="s">
        <v>79</v>
      </c>
      <c r="D26" s="13" t="s">
        <v>2523</v>
      </c>
      <c r="E26" s="33" t="s">
        <v>18</v>
      </c>
      <c r="F26" s="11" t="s">
        <v>2524</v>
      </c>
      <c r="G26" s="11" t="s">
        <v>43</v>
      </c>
      <c r="H26" s="11" t="s">
        <v>52</v>
      </c>
      <c r="I26" s="11" t="s">
        <v>44</v>
      </c>
      <c r="J26" s="11" t="s">
        <v>85</v>
      </c>
      <c r="K26" s="11" t="s">
        <v>60</v>
      </c>
      <c r="L26" s="11" t="s">
        <v>92</v>
      </c>
      <c r="M26" s="11" t="s">
        <v>45</v>
      </c>
      <c r="N26" s="11" t="s">
        <v>45</v>
      </c>
      <c r="O26" s="11" t="s">
        <v>23</v>
      </c>
      <c r="P26" s="11" t="s">
        <v>84</v>
      </c>
      <c r="Q26" s="11" t="s">
        <v>86</v>
      </c>
      <c r="R26" s="11">
        <v>740</v>
      </c>
      <c r="S26" s="40" t="s">
        <v>39</v>
      </c>
      <c r="T26" s="11">
        <v>900</v>
      </c>
      <c r="U26" s="11" t="s">
        <v>45</v>
      </c>
      <c r="V26" s="11" t="s">
        <v>84</v>
      </c>
      <c r="W26" s="11" t="s">
        <v>86</v>
      </c>
      <c r="X26" s="40" t="s">
        <v>60</v>
      </c>
      <c r="Y26" s="40" t="s">
        <v>87</v>
      </c>
      <c r="Z26" s="40" t="s">
        <v>2525</v>
      </c>
      <c r="AA26" s="40" t="s">
        <v>39</v>
      </c>
      <c r="AB26" s="12" t="s">
        <v>19</v>
      </c>
      <c r="AC26" s="11" t="s">
        <v>45</v>
      </c>
      <c r="AD26" s="11" t="s">
        <v>45</v>
      </c>
      <c r="AE26" s="11" t="s">
        <v>116</v>
      </c>
      <c r="AF26" s="11" t="s">
        <v>50</v>
      </c>
      <c r="AG26" s="13" t="s">
        <v>60</v>
      </c>
      <c r="AH26" s="13" t="s">
        <v>62</v>
      </c>
      <c r="AI26" s="13" t="s">
        <v>23</v>
      </c>
      <c r="AJ26" s="13" t="s">
        <v>23</v>
      </c>
      <c r="AK26" s="13" t="s">
        <v>45</v>
      </c>
      <c r="AL26" s="133" t="s">
        <v>2526</v>
      </c>
      <c r="AM26" s="134"/>
      <c r="AN26" s="134"/>
      <c r="AO26" s="134"/>
      <c r="AP26" s="135"/>
    </row>
    <row r="27" spans="1:42" s="10" customFormat="1" ht="15" customHeight="1" x14ac:dyDescent="0.4">
      <c r="A27" s="6">
        <v>14</v>
      </c>
      <c r="B27" s="6">
        <v>305</v>
      </c>
      <c r="C27" s="6" t="s">
        <v>79</v>
      </c>
      <c r="D27" s="18" t="s">
        <v>2486</v>
      </c>
      <c r="E27" s="34" t="s">
        <v>18</v>
      </c>
      <c r="F27" s="6" t="s">
        <v>2487</v>
      </c>
      <c r="G27" s="6" t="s">
        <v>43</v>
      </c>
      <c r="H27" s="6" t="s">
        <v>52</v>
      </c>
      <c r="I27" s="6" t="s">
        <v>84</v>
      </c>
      <c r="J27" s="6" t="s">
        <v>85</v>
      </c>
      <c r="K27" s="6" t="s">
        <v>60</v>
      </c>
      <c r="L27" s="6" t="s">
        <v>92</v>
      </c>
      <c r="M27" s="6" t="s">
        <v>45</v>
      </c>
      <c r="N27" s="6" t="s">
        <v>45</v>
      </c>
      <c r="O27" s="6" t="s">
        <v>45</v>
      </c>
      <c r="P27" s="6" t="s">
        <v>84</v>
      </c>
      <c r="Q27" s="6" t="s">
        <v>86</v>
      </c>
      <c r="R27" s="6">
        <v>600</v>
      </c>
      <c r="S27" s="6" t="s">
        <v>39</v>
      </c>
      <c r="T27" s="48"/>
      <c r="U27" s="6" t="s">
        <v>45</v>
      </c>
      <c r="V27" s="6" t="s">
        <v>84</v>
      </c>
      <c r="W27" s="6" t="s">
        <v>86</v>
      </c>
      <c r="X27" s="6" t="s">
        <v>60</v>
      </c>
      <c r="Y27" s="6" t="s">
        <v>87</v>
      </c>
      <c r="Z27" s="6" t="s">
        <v>2488</v>
      </c>
      <c r="AA27" s="6" t="s">
        <v>39</v>
      </c>
      <c r="AB27" s="15" t="s">
        <v>19</v>
      </c>
      <c r="AC27" s="16" t="s">
        <v>45</v>
      </c>
      <c r="AD27" s="16" t="s">
        <v>45</v>
      </c>
      <c r="AE27" s="16" t="s">
        <v>50</v>
      </c>
      <c r="AF27" s="16" t="s">
        <v>50</v>
      </c>
      <c r="AG27" s="17" t="s">
        <v>60</v>
      </c>
      <c r="AH27" s="17" t="s">
        <v>62</v>
      </c>
      <c r="AI27" s="17" t="s">
        <v>45</v>
      </c>
      <c r="AJ27" s="17" t="s">
        <v>45</v>
      </c>
      <c r="AK27" s="17" t="s">
        <v>45</v>
      </c>
      <c r="AL27" s="78" t="s">
        <v>2489</v>
      </c>
      <c r="AM27" s="79"/>
      <c r="AN27" s="79"/>
      <c r="AO27" s="79"/>
      <c r="AP27" s="80"/>
    </row>
    <row r="28" spans="1:42" s="14" customFormat="1" ht="15" customHeight="1" x14ac:dyDescent="0.4">
      <c r="A28" s="11">
        <v>14</v>
      </c>
      <c r="B28" s="11">
        <v>405</v>
      </c>
      <c r="C28" s="11" t="s">
        <v>79</v>
      </c>
      <c r="D28" s="13" t="s">
        <v>2565</v>
      </c>
      <c r="E28" s="33" t="s">
        <v>18</v>
      </c>
      <c r="F28" s="11" t="s">
        <v>2566</v>
      </c>
      <c r="G28" s="11" t="s">
        <v>43</v>
      </c>
      <c r="H28" s="11" t="s">
        <v>52</v>
      </c>
      <c r="I28" s="11" t="s">
        <v>44</v>
      </c>
      <c r="J28" s="11" t="s">
        <v>85</v>
      </c>
      <c r="K28" s="11" t="s">
        <v>60</v>
      </c>
      <c r="L28" s="11" t="s">
        <v>92</v>
      </c>
      <c r="M28" s="11" t="s">
        <v>45</v>
      </c>
      <c r="N28" s="11" t="s">
        <v>45</v>
      </c>
      <c r="O28" s="11" t="s">
        <v>45</v>
      </c>
      <c r="P28" s="11" t="s">
        <v>84</v>
      </c>
      <c r="Q28" s="11" t="s">
        <v>86</v>
      </c>
      <c r="R28" s="11">
        <v>740</v>
      </c>
      <c r="S28" s="40" t="s">
        <v>39</v>
      </c>
      <c r="T28" s="11">
        <v>900</v>
      </c>
      <c r="U28" s="11" t="s">
        <v>45</v>
      </c>
      <c r="V28" s="11" t="s">
        <v>84</v>
      </c>
      <c r="W28" s="11" t="s">
        <v>86</v>
      </c>
      <c r="X28" s="40" t="s">
        <v>60</v>
      </c>
      <c r="Y28" s="40" t="s">
        <v>87</v>
      </c>
      <c r="Z28" s="40" t="s">
        <v>2567</v>
      </c>
      <c r="AA28" s="40" t="s">
        <v>39</v>
      </c>
      <c r="AB28" s="12" t="s">
        <v>88</v>
      </c>
      <c r="AC28" s="11" t="s">
        <v>45</v>
      </c>
      <c r="AD28" s="11" t="s">
        <v>23</v>
      </c>
      <c r="AE28" s="11" t="s">
        <v>116</v>
      </c>
      <c r="AF28" s="11" t="s">
        <v>116</v>
      </c>
      <c r="AG28" s="13" t="s">
        <v>60</v>
      </c>
      <c r="AH28" s="13" t="s">
        <v>62</v>
      </c>
      <c r="AI28" s="13" t="s">
        <v>23</v>
      </c>
      <c r="AJ28" s="13" t="s">
        <v>45</v>
      </c>
      <c r="AK28" s="13" t="s">
        <v>45</v>
      </c>
      <c r="AL28" s="133" t="s">
        <v>2568</v>
      </c>
      <c r="AM28" s="134"/>
      <c r="AN28" s="134"/>
      <c r="AO28" s="134"/>
      <c r="AP28" s="135"/>
    </row>
    <row r="29" spans="1:42" s="10" customFormat="1" ht="40.5" customHeight="1" x14ac:dyDescent="0.4">
      <c r="A29" s="6">
        <v>14</v>
      </c>
      <c r="B29" s="6">
        <v>505</v>
      </c>
      <c r="C29" s="6" t="s">
        <v>79</v>
      </c>
      <c r="D29" s="18" t="s">
        <v>2688</v>
      </c>
      <c r="E29" s="34" t="s">
        <v>18</v>
      </c>
      <c r="F29" s="6" t="s">
        <v>2689</v>
      </c>
      <c r="G29" s="6" t="s">
        <v>43</v>
      </c>
      <c r="H29" s="6" t="s">
        <v>52</v>
      </c>
      <c r="I29" s="6" t="s">
        <v>84</v>
      </c>
      <c r="J29" s="6" t="s">
        <v>85</v>
      </c>
      <c r="K29" s="6" t="s">
        <v>60</v>
      </c>
      <c r="L29" s="6" t="s">
        <v>92</v>
      </c>
      <c r="M29" s="6" t="s">
        <v>45</v>
      </c>
      <c r="N29" s="6" t="s">
        <v>45</v>
      </c>
      <c r="O29" s="6" t="s">
        <v>45</v>
      </c>
      <c r="P29" s="6" t="s">
        <v>84</v>
      </c>
      <c r="Q29" s="6" t="s">
        <v>86</v>
      </c>
      <c r="R29" s="6">
        <v>750</v>
      </c>
      <c r="S29" s="6" t="s">
        <v>39</v>
      </c>
      <c r="T29" s="6">
        <v>900</v>
      </c>
      <c r="U29" s="6" t="s">
        <v>45</v>
      </c>
      <c r="V29" s="6" t="s">
        <v>84</v>
      </c>
      <c r="W29" s="6" t="s">
        <v>86</v>
      </c>
      <c r="X29" s="6" t="s">
        <v>60</v>
      </c>
      <c r="Y29" s="6" t="s">
        <v>87</v>
      </c>
      <c r="Z29" s="6" t="s">
        <v>2690</v>
      </c>
      <c r="AA29" s="6" t="s">
        <v>39</v>
      </c>
      <c r="AB29" s="15" t="s">
        <v>88</v>
      </c>
      <c r="AC29" s="16" t="s">
        <v>45</v>
      </c>
      <c r="AD29" s="16" t="s">
        <v>45</v>
      </c>
      <c r="AE29" s="16" t="s">
        <v>50</v>
      </c>
      <c r="AF29" s="16" t="s">
        <v>50</v>
      </c>
      <c r="AG29" s="17" t="s">
        <v>60</v>
      </c>
      <c r="AH29" s="17" t="s">
        <v>62</v>
      </c>
      <c r="AI29" s="17" t="s">
        <v>45</v>
      </c>
      <c r="AJ29" s="17" t="s">
        <v>23</v>
      </c>
      <c r="AK29" s="17" t="s">
        <v>45</v>
      </c>
      <c r="AL29" s="106" t="s">
        <v>2691</v>
      </c>
      <c r="AM29" s="107"/>
      <c r="AN29" s="107"/>
      <c r="AO29" s="107"/>
      <c r="AP29" s="108"/>
    </row>
    <row r="30" spans="1:42" s="14" customFormat="1" ht="38.25" customHeight="1" x14ac:dyDescent="0.4">
      <c r="A30" s="11">
        <v>14</v>
      </c>
      <c r="B30" s="11">
        <v>106</v>
      </c>
      <c r="C30" s="11" t="s">
        <v>79</v>
      </c>
      <c r="D30" s="13" t="s">
        <v>2519</v>
      </c>
      <c r="E30" s="33" t="s">
        <v>18</v>
      </c>
      <c r="F30" s="45" t="s">
        <v>2520</v>
      </c>
      <c r="G30" s="11" t="s">
        <v>43</v>
      </c>
      <c r="H30" s="11" t="s">
        <v>52</v>
      </c>
      <c r="I30" s="11" t="s">
        <v>44</v>
      </c>
      <c r="J30" s="11" t="s">
        <v>85</v>
      </c>
      <c r="K30" s="11" t="s">
        <v>60</v>
      </c>
      <c r="L30" s="11" t="s">
        <v>92</v>
      </c>
      <c r="M30" s="11" t="s">
        <v>45</v>
      </c>
      <c r="N30" s="11" t="s">
        <v>45</v>
      </c>
      <c r="O30" s="11" t="s">
        <v>23</v>
      </c>
      <c r="P30" s="11" t="s">
        <v>84</v>
      </c>
      <c r="Q30" s="11" t="s">
        <v>86</v>
      </c>
      <c r="R30" s="11">
        <v>750</v>
      </c>
      <c r="S30" s="40" t="s">
        <v>39</v>
      </c>
      <c r="T30" s="11">
        <v>640</v>
      </c>
      <c r="U30" s="11" t="s">
        <v>45</v>
      </c>
      <c r="V30" s="11" t="s">
        <v>84</v>
      </c>
      <c r="W30" s="11" t="s">
        <v>86</v>
      </c>
      <c r="X30" s="40" t="s">
        <v>60</v>
      </c>
      <c r="Y30" s="40" t="s">
        <v>87</v>
      </c>
      <c r="Z30" s="40" t="s">
        <v>2521</v>
      </c>
      <c r="AA30" s="40" t="s">
        <v>39</v>
      </c>
      <c r="AB30" s="12" t="s">
        <v>88</v>
      </c>
      <c r="AC30" s="11" t="s">
        <v>45</v>
      </c>
      <c r="AD30" s="11" t="s">
        <v>23</v>
      </c>
      <c r="AE30" s="11" t="s">
        <v>116</v>
      </c>
      <c r="AF30" s="11" t="s">
        <v>116</v>
      </c>
      <c r="AG30" s="13" t="s">
        <v>60</v>
      </c>
      <c r="AH30" s="13" t="s">
        <v>62</v>
      </c>
      <c r="AI30" s="13" t="s">
        <v>45</v>
      </c>
      <c r="AJ30" s="13" t="s">
        <v>45</v>
      </c>
      <c r="AK30" s="13" t="s">
        <v>45</v>
      </c>
      <c r="AL30" s="133" t="s">
        <v>2522</v>
      </c>
      <c r="AM30" s="134"/>
      <c r="AN30" s="134"/>
      <c r="AO30" s="134"/>
      <c r="AP30" s="135"/>
    </row>
    <row r="31" spans="1:42" s="10" customFormat="1" ht="49.5" customHeight="1" x14ac:dyDescent="0.4">
      <c r="A31" s="6">
        <v>14</v>
      </c>
      <c r="B31" s="6">
        <v>206</v>
      </c>
      <c r="C31" s="6" t="s">
        <v>79</v>
      </c>
      <c r="D31" s="18" t="s">
        <v>2540</v>
      </c>
      <c r="E31" s="34" t="s">
        <v>18</v>
      </c>
      <c r="F31" s="6" t="s">
        <v>2541</v>
      </c>
      <c r="G31" s="6" t="s">
        <v>43</v>
      </c>
      <c r="H31" s="6" t="s">
        <v>52</v>
      </c>
      <c r="I31" s="6" t="s">
        <v>84</v>
      </c>
      <c r="J31" s="6" t="s">
        <v>85</v>
      </c>
      <c r="K31" s="6" t="s">
        <v>60</v>
      </c>
      <c r="L31" s="6" t="s">
        <v>92</v>
      </c>
      <c r="M31" s="6" t="s">
        <v>45</v>
      </c>
      <c r="N31" s="6" t="s">
        <v>45</v>
      </c>
      <c r="O31" s="6" t="s">
        <v>23</v>
      </c>
      <c r="P31" s="6" t="s">
        <v>84</v>
      </c>
      <c r="Q31" s="6" t="s">
        <v>86</v>
      </c>
      <c r="R31" s="6">
        <v>750</v>
      </c>
      <c r="S31" s="6" t="s">
        <v>39</v>
      </c>
      <c r="T31" s="6">
        <v>640</v>
      </c>
      <c r="U31" s="6" t="s">
        <v>45</v>
      </c>
      <c r="V31" s="6" t="s">
        <v>84</v>
      </c>
      <c r="W31" s="6" t="s">
        <v>86</v>
      </c>
      <c r="X31" s="6" t="s">
        <v>60</v>
      </c>
      <c r="Y31" s="6" t="s">
        <v>141</v>
      </c>
      <c r="Z31" s="6"/>
      <c r="AA31" s="6" t="s">
        <v>39</v>
      </c>
      <c r="AB31" s="15" t="s">
        <v>19</v>
      </c>
      <c r="AC31" s="16" t="s">
        <v>45</v>
      </c>
      <c r="AD31" s="16" t="s">
        <v>45</v>
      </c>
      <c r="AE31" s="16" t="s">
        <v>50</v>
      </c>
      <c r="AF31" s="16" t="s">
        <v>50</v>
      </c>
      <c r="AG31" s="17" t="s">
        <v>60</v>
      </c>
      <c r="AH31" s="17" t="s">
        <v>62</v>
      </c>
      <c r="AI31" s="17" t="s">
        <v>45</v>
      </c>
      <c r="AJ31" s="17" t="s">
        <v>45</v>
      </c>
      <c r="AK31" s="17" t="s">
        <v>23</v>
      </c>
      <c r="AL31" s="106" t="s">
        <v>2542</v>
      </c>
      <c r="AM31" s="107"/>
      <c r="AN31" s="107"/>
      <c r="AO31" s="107"/>
      <c r="AP31" s="108"/>
    </row>
    <row r="32" spans="1:42" s="14" customFormat="1" ht="35.25" customHeight="1" x14ac:dyDescent="0.4">
      <c r="A32" s="11">
        <v>14</v>
      </c>
      <c r="B32" s="11">
        <v>306</v>
      </c>
      <c r="C32" s="11" t="s">
        <v>79</v>
      </c>
      <c r="D32" s="13" t="s">
        <v>2513</v>
      </c>
      <c r="E32" s="33" t="s">
        <v>18</v>
      </c>
      <c r="F32" s="11" t="s">
        <v>2514</v>
      </c>
      <c r="G32" s="11" t="s">
        <v>43</v>
      </c>
      <c r="H32" s="11" t="s">
        <v>52</v>
      </c>
      <c r="I32" s="11" t="s">
        <v>84</v>
      </c>
      <c r="J32" s="11" t="s">
        <v>46</v>
      </c>
      <c r="K32" s="11" t="s">
        <v>60</v>
      </c>
      <c r="L32" s="11" t="s">
        <v>92</v>
      </c>
      <c r="M32" s="11" t="s">
        <v>45</v>
      </c>
      <c r="N32" s="11" t="s">
        <v>45</v>
      </c>
      <c r="O32" s="11" t="s">
        <v>23</v>
      </c>
      <c r="P32" s="11" t="s">
        <v>84</v>
      </c>
      <c r="Q32" s="11" t="s">
        <v>86</v>
      </c>
      <c r="R32" s="11">
        <v>740</v>
      </c>
      <c r="S32" s="40" t="s">
        <v>2515</v>
      </c>
      <c r="T32" s="11">
        <v>800</v>
      </c>
      <c r="U32" s="11" t="s">
        <v>2516</v>
      </c>
      <c r="V32" s="11" t="s">
        <v>84</v>
      </c>
      <c r="W32" s="11" t="s">
        <v>86</v>
      </c>
      <c r="X32" s="40" t="s">
        <v>60</v>
      </c>
      <c r="Y32" s="40" t="s">
        <v>344</v>
      </c>
      <c r="Z32" s="53" t="s">
        <v>2517</v>
      </c>
      <c r="AA32" s="40" t="s">
        <v>39</v>
      </c>
      <c r="AB32" s="12" t="s">
        <v>88</v>
      </c>
      <c r="AC32" s="11" t="s">
        <v>45</v>
      </c>
      <c r="AD32" s="11" t="s">
        <v>23</v>
      </c>
      <c r="AE32" s="11" t="s">
        <v>50</v>
      </c>
      <c r="AF32" s="11" t="s">
        <v>50</v>
      </c>
      <c r="AG32" s="13" t="s">
        <v>60</v>
      </c>
      <c r="AH32" s="13" t="s">
        <v>62</v>
      </c>
      <c r="AI32" s="13" t="s">
        <v>45</v>
      </c>
      <c r="AJ32" s="13" t="s">
        <v>45</v>
      </c>
      <c r="AK32" s="13" t="s">
        <v>45</v>
      </c>
      <c r="AL32" s="133" t="s">
        <v>2518</v>
      </c>
      <c r="AM32" s="134"/>
      <c r="AN32" s="134"/>
      <c r="AO32" s="134"/>
      <c r="AP32" s="135"/>
    </row>
    <row r="33" spans="1:43" s="10" customFormat="1" ht="41.25" customHeight="1" x14ac:dyDescent="0.4">
      <c r="A33" s="6">
        <v>14</v>
      </c>
      <c r="B33" s="6">
        <v>406</v>
      </c>
      <c r="C33" s="6" t="s">
        <v>79</v>
      </c>
      <c r="D33" s="66" t="s">
        <v>2507</v>
      </c>
      <c r="E33" s="67" t="s">
        <v>18</v>
      </c>
      <c r="F33" s="68" t="s">
        <v>2508</v>
      </c>
      <c r="G33" s="68" t="s">
        <v>43</v>
      </c>
      <c r="H33" s="68" t="s">
        <v>52</v>
      </c>
      <c r="I33" s="68" t="s">
        <v>84</v>
      </c>
      <c r="J33" s="68" t="s">
        <v>85</v>
      </c>
      <c r="K33" s="68" t="s">
        <v>19</v>
      </c>
      <c r="L33" s="68" t="s">
        <v>24</v>
      </c>
      <c r="M33" s="68" t="s">
        <v>45</v>
      </c>
      <c r="N33" s="68" t="s">
        <v>45</v>
      </c>
      <c r="O33" s="68" t="s">
        <v>45</v>
      </c>
      <c r="P33" s="68" t="s">
        <v>84</v>
      </c>
      <c r="Q33" s="68" t="s">
        <v>86</v>
      </c>
      <c r="R33" s="68">
        <v>750</v>
      </c>
      <c r="S33" s="69" t="s">
        <v>39</v>
      </c>
      <c r="T33" s="68">
        <v>900</v>
      </c>
      <c r="U33" s="68" t="s">
        <v>2509</v>
      </c>
      <c r="V33" s="68" t="s">
        <v>2510</v>
      </c>
      <c r="W33" s="68" t="s">
        <v>2511</v>
      </c>
      <c r="X33" s="69" t="s">
        <v>19</v>
      </c>
      <c r="Y33" s="69"/>
      <c r="Z33" s="69"/>
      <c r="AA33" s="69" t="s">
        <v>65</v>
      </c>
      <c r="AB33" s="70" t="s">
        <v>19</v>
      </c>
      <c r="AC33" s="68" t="s">
        <v>45</v>
      </c>
      <c r="AD33" s="68" t="s">
        <v>23</v>
      </c>
      <c r="AE33" s="68" t="s">
        <v>50</v>
      </c>
      <c r="AF33" s="68" t="s">
        <v>50</v>
      </c>
      <c r="AG33" s="66" t="s">
        <v>60</v>
      </c>
      <c r="AH33" s="66" t="s">
        <v>62</v>
      </c>
      <c r="AI33" s="66" t="s">
        <v>45</v>
      </c>
      <c r="AJ33" s="66" t="s">
        <v>23</v>
      </c>
      <c r="AK33" s="66" t="s">
        <v>23</v>
      </c>
      <c r="AL33" s="143" t="s">
        <v>2512</v>
      </c>
      <c r="AM33" s="144"/>
      <c r="AN33" s="144"/>
      <c r="AO33" s="144"/>
      <c r="AP33" s="145"/>
    </row>
    <row r="34" spans="1:43" s="14" customFormat="1" ht="37.5" customHeight="1" x14ac:dyDescent="0.4">
      <c r="A34" s="11">
        <v>14</v>
      </c>
      <c r="B34" s="11">
        <v>506</v>
      </c>
      <c r="C34" s="11" t="s">
        <v>79</v>
      </c>
      <c r="D34" s="13" t="s">
        <v>2534</v>
      </c>
      <c r="E34" s="33" t="s">
        <v>2535</v>
      </c>
      <c r="F34" s="11" t="s">
        <v>2536</v>
      </c>
      <c r="G34" s="11" t="s">
        <v>43</v>
      </c>
      <c r="H34" s="11" t="s">
        <v>52</v>
      </c>
      <c r="I34" s="11" t="s">
        <v>2537</v>
      </c>
      <c r="J34" s="11" t="s">
        <v>85</v>
      </c>
      <c r="K34" s="11" t="s">
        <v>60</v>
      </c>
      <c r="L34" s="11" t="s">
        <v>92</v>
      </c>
      <c r="M34" s="11" t="s">
        <v>45</v>
      </c>
      <c r="N34" s="11" t="s">
        <v>45</v>
      </c>
      <c r="O34" s="11" t="s">
        <v>23</v>
      </c>
      <c r="P34" s="11" t="s">
        <v>84</v>
      </c>
      <c r="Q34" s="11" t="s">
        <v>86</v>
      </c>
      <c r="R34" s="11">
        <v>750</v>
      </c>
      <c r="S34" s="40" t="s">
        <v>39</v>
      </c>
      <c r="T34" s="11">
        <v>900</v>
      </c>
      <c r="U34" s="11" t="s">
        <v>45</v>
      </c>
      <c r="V34" s="11" t="s">
        <v>84</v>
      </c>
      <c r="W34" s="11" t="s">
        <v>86</v>
      </c>
      <c r="X34" s="40" t="s">
        <v>60</v>
      </c>
      <c r="Y34" s="40" t="s">
        <v>87</v>
      </c>
      <c r="Z34" s="40" t="s">
        <v>2538</v>
      </c>
      <c r="AA34" s="40" t="s">
        <v>39</v>
      </c>
      <c r="AB34" s="12" t="s">
        <v>19</v>
      </c>
      <c r="AC34" s="11" t="s">
        <v>45</v>
      </c>
      <c r="AD34" s="11" t="s">
        <v>23</v>
      </c>
      <c r="AE34" s="11" t="s">
        <v>50</v>
      </c>
      <c r="AF34" s="11" t="s">
        <v>50</v>
      </c>
      <c r="AG34" s="13" t="s">
        <v>19</v>
      </c>
      <c r="AH34" s="13" t="s">
        <v>62</v>
      </c>
      <c r="AI34" s="13" t="s">
        <v>45</v>
      </c>
      <c r="AJ34" s="13" t="s">
        <v>23</v>
      </c>
      <c r="AK34" s="13" t="s">
        <v>23</v>
      </c>
      <c r="AL34" s="133" t="s">
        <v>2539</v>
      </c>
      <c r="AM34" s="134"/>
      <c r="AN34" s="134"/>
      <c r="AO34" s="134"/>
      <c r="AP34" s="135"/>
    </row>
    <row r="35" spans="1:43" s="2" customFormat="1" ht="11.25" customHeight="1" x14ac:dyDescent="0.4">
      <c r="A35" s="118" t="s">
        <v>12</v>
      </c>
      <c r="B35" s="119"/>
      <c r="C35" s="119"/>
      <c r="D35" s="119"/>
      <c r="E35" s="120"/>
      <c r="F35" s="127">
        <f>COUNTA(D5:D34)</f>
        <v>29</v>
      </c>
      <c r="G35" s="20" t="str">
        <f>"所有→"&amp;COUNTIF(G5:G34,"所有")&amp;"戸"</f>
        <v>所有→28戸</v>
      </c>
      <c r="H35" s="20" t="str">
        <f>"未更新→"&amp;COUNTIF(H5:H34,"未更新")&amp;"戸"</f>
        <v>未更新→29戸</v>
      </c>
      <c r="I35" s="20" t="str">
        <f>"クロス→"&amp;COUNTIF(I5:I34,"クロス")&amp;"戸"</f>
        <v>クロス→25戸</v>
      </c>
      <c r="J35" s="20" t="str">
        <f>"ベニヤ→"&amp;COUNTIF(J5:J34,"ベニヤ")&amp;"戸"</f>
        <v>ベニヤ→27戸</v>
      </c>
      <c r="K35" s="20" t="str">
        <f>"既存→"&amp;COUNTIF(K5:K34,"既存")&amp;"戸"</f>
        <v>既存→3戸</v>
      </c>
      <c r="L35" s="20" t="str">
        <f>"普通便座→"&amp;COUNTIF(L5:L34,"普通便座")&amp;"戸"</f>
        <v>普通便座→3戸</v>
      </c>
      <c r="M35" s="20" t="str">
        <f>"有→"&amp;COUNTIF(M5:M34,"有")&amp;"戸"</f>
        <v>有→0戸</v>
      </c>
      <c r="N35" s="20" t="str">
        <f>"有→"&amp;COUNTIF(N5:N34,"有")&amp;"戸"</f>
        <v>有→2戸</v>
      </c>
      <c r="O35" s="20" t="str">
        <f>"有→"&amp;COUNTIF(O5:O34,"有")&amp;"戸"</f>
        <v>有→19戸</v>
      </c>
      <c r="P35" s="20" t="str">
        <f>"クロス→"&amp;COUNTIF(P5:P34,"クロス")&amp;"戸"</f>
        <v>クロス→29戸</v>
      </c>
      <c r="Q35" s="20" t="str">
        <f>"CF→"&amp;COUNTIF(Q5:Q34,"CF")&amp;"戸"</f>
        <v>CF→29戸</v>
      </c>
      <c r="R35" s="20" t="str">
        <f>"1000→"&amp;COUNTIF(R5:R34,"1000")&amp;"戸"</f>
        <v>1000→1戸</v>
      </c>
      <c r="S35" s="20" t="str">
        <f>"可→"&amp;COUNTIF(S5:S34,"可")&amp;"戸"</f>
        <v>可→29戸</v>
      </c>
      <c r="T35" s="20" t="str">
        <f>"900→"&amp;COUNTIF(T5:T34,"900")&amp;"戸"</f>
        <v>900→19戸</v>
      </c>
      <c r="U35" s="20" t="str">
        <f>"有→"&amp;COUNTIF(U5:U34,"有")&amp;"戸"</f>
        <v>有→1戸</v>
      </c>
      <c r="V35" s="20" t="str">
        <f>"クロス→"&amp;COUNTIF(V5:V34,"クロス")&amp;"戸"</f>
        <v>クロス→29戸</v>
      </c>
      <c r="W35" s="20" t="str">
        <f>"CF→"&amp;COUNTIF(W5:W34,"CF")&amp;"戸"</f>
        <v>CF→29戸</v>
      </c>
      <c r="X35" s="20" t="str">
        <f>"既存→"&amp;COUNTIF(X5:X34,"既存")&amp;"戸"</f>
        <v>既存→3戸</v>
      </c>
      <c r="Y35" s="20" t="str">
        <f>"TOTO→"&amp;COUNTIF(Y5:Y34,"TOTO")&amp;"戸"</f>
        <v>TOTO→20戸</v>
      </c>
      <c r="Z35" s="130">
        <f>COUNTA(Z5:Z34)</f>
        <v>23</v>
      </c>
      <c r="AA35" s="20" t="str">
        <f>"可→"&amp;COUNTIF(AA5:AA34,"可")&amp;"戸"</f>
        <v>可→26戸</v>
      </c>
      <c r="AB35" s="20" t="str">
        <f>"既存→"&amp;COUNTIF(AB5:AB34,"既存")&amp;"戸"</f>
        <v>既存→15戸</v>
      </c>
      <c r="AC35" s="130">
        <f>COUNTIF(AC5:AC34,"有")</f>
        <v>3</v>
      </c>
      <c r="AD35" s="130">
        <f>COUNTIF(AD5:AD34,"有")</f>
        <v>13</v>
      </c>
      <c r="AE35" s="20" t="str">
        <f>"ポリ板→"&amp;COUNTIF(AE5:AE34,"ポリ板")&amp;"戸"</f>
        <v>ポリ板→21戸</v>
      </c>
      <c r="AF35" s="20" t="str">
        <f>"ポリ板→"&amp;COUNTIF(AF5:AF34,"ポリ板")&amp;"戸"</f>
        <v>ポリ板→26戸</v>
      </c>
      <c r="AG35" s="20" t="str">
        <f>"既存→"&amp;COUNTIF(AG5:AG34,"既存")&amp;"戸"</f>
        <v>既存→2戸</v>
      </c>
      <c r="AH35" s="20" t="str">
        <f>"洗面所→"&amp;COUNTIF(AH5:AH34,"洗面所")&amp;"戸"</f>
        <v>洗面所→28戸</v>
      </c>
      <c r="AI35" s="130">
        <f>COUNTIF(AI5:AI34,"有")</f>
        <v>5</v>
      </c>
      <c r="AJ35" s="130">
        <f>COUNTIF(AJ5:AJ34,"有")</f>
        <v>10</v>
      </c>
      <c r="AK35" s="130">
        <f>COUNTIF(AK5:AK34,"有")</f>
        <v>11</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賃貸→0戸</v>
      </c>
      <c r="H36" s="35" t="str">
        <f>"更新済み→"&amp;COUNTIF(H5:H34,"更新済み")&amp;"戸"</f>
        <v>更新済み→0戸</v>
      </c>
      <c r="I36" s="35" t="str">
        <f>"珪藻土→"&amp;COUNTIF(I5:I34,"珪藻土")&amp;"戸"</f>
        <v>珪藻土→3戸</v>
      </c>
      <c r="J36" s="35" t="str">
        <f>"クロス→"&amp;COUNTIF(J5:J34,"クロス")&amp;"戸"</f>
        <v>クロス→0戸</v>
      </c>
      <c r="K36" s="35" t="str">
        <f>"タンクレス→"&amp;COUNTIF(K5:K34,"タンクレス")&amp;"戸"</f>
        <v>タンクレス→1戸</v>
      </c>
      <c r="L36" s="35" t="str">
        <f>"暖房便座→"&amp;COUNTIF(L5:L34,"暖房便座")&amp;"戸"</f>
        <v>暖房便座→0戸</v>
      </c>
      <c r="M36" s="35" t="str">
        <f>"無→"&amp;COUNTIF(M5:M34,"無")&amp;"戸"</f>
        <v>無→29戸</v>
      </c>
      <c r="N36" s="35" t="str">
        <f>"無→"&amp;COUNTIF(N5:N34,"無")&amp;"戸"</f>
        <v>無→27戸</v>
      </c>
      <c r="O36" s="35" t="str">
        <f>"無→"&amp;COUNTIF(O5:O34,"無")&amp;"戸"</f>
        <v>無→10戸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800→2戸</v>
      </c>
      <c r="U36" s="35" t="str">
        <f>"無→"&amp;COUNTIF(U5:U34,"無")&amp;"戸"</f>
        <v>無→28戸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リフォーム済み→26戸</v>
      </c>
      <c r="Y36" s="35" t="str">
        <f>"LIXIL→"&amp;COUNTIF(Y5:Y34,"LIXIL")&amp;"戸"</f>
        <v>LIXIL→2戸</v>
      </c>
      <c r="Z36" s="131"/>
      <c r="AA36" s="35" t="str">
        <f>"不可→"&amp;COUNTIF(AA5:AA34,"不可")&amp;"戸"</f>
        <v>不可→3戸</v>
      </c>
      <c r="AB36" s="36" t="str">
        <f>"システム→"&amp;COUNTIF(AB5:AB34,"システム")&amp;"戸"</f>
        <v>システム→14戸</v>
      </c>
      <c r="AC36" s="131"/>
      <c r="AD36" s="131"/>
      <c r="AE36" s="35" t="str">
        <f>"SUS→"&amp;COUNTIF(AE5:AE34,"SUS")&amp;"戸"</f>
        <v>SUS→8戸</v>
      </c>
      <c r="AF36" s="35" t="str">
        <f>"SUS→"&amp;COUNTIF(AF5:AF34,"SUS")&amp;"戸"</f>
        <v>SUS→3戸</v>
      </c>
      <c r="AG36" s="35" t="str">
        <f>"リフォーム済み→"&amp;COUNTIF(AG5:AG34,"リフォーム済み")&amp;"戸"</f>
        <v>リフォーム済み→27戸</v>
      </c>
      <c r="AH36" s="35" t="str">
        <f>"ベランダ→"&amp;COUNTIF(AH5:AH34,"ベランダ")&amp;"戸"</f>
        <v>ベランダ→1戸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外部居住→1戸</v>
      </c>
      <c r="H37" s="35"/>
      <c r="I37" s="35" t="str">
        <f>"塗装→"&amp;COUNTIF(I5:I34,"塗装")&amp;"戸"</f>
        <v>塗装→0戸</v>
      </c>
      <c r="J37" s="35" t="str">
        <f>"その他→"&amp;COUNTIF(J5:J34,"その他")&amp;"戸"</f>
        <v>その他→1戸</v>
      </c>
      <c r="K37" s="35" t="str">
        <f>"レストパル→"&amp;COUNTIF(K5:K34,"レストパル")&amp;"戸"</f>
        <v>レストパル→1戸</v>
      </c>
      <c r="L37" s="35" t="str">
        <f>"WL→"&amp;COUNTIF(L5:L34,"WL")&amp;"戸"</f>
        <v>WL→26戸</v>
      </c>
      <c r="M37" s="23"/>
      <c r="N37" s="23"/>
      <c r="O37" s="23"/>
      <c r="P37" s="35" t="str">
        <f>"塗装→"&amp;COUNTIF(P5:P34,"塗装")&amp;"戸"</f>
        <v>塗装→0戸</v>
      </c>
      <c r="Q37" s="35" t="str">
        <f>"フローリング→"&amp;COUNTIF(Q5:Q34,"フローリング")&amp;"戸"</f>
        <v>フローリング→0戸</v>
      </c>
      <c r="R37" s="35" t="str">
        <f>"750→"&amp;COUNTIF(R5:R34,"750")&amp;"戸"</f>
        <v>750→19戸</v>
      </c>
      <c r="S37" s="35"/>
      <c r="T37" s="35" t="str">
        <f>"740→"&amp;COUNTIF(T5:T34,"740")&amp;"戸"</f>
        <v>740→0戸</v>
      </c>
      <c r="U37" s="22"/>
      <c r="V37" s="35" t="str">
        <f>"塗装→"&amp;COUNTIF(V5:V34,"塗装")&amp;"戸"</f>
        <v>塗装→0戸</v>
      </c>
      <c r="W37" s="35" t="str">
        <f>"フローリング→"&amp;COUNTIF(W5:W34,"フローリング")&amp;"戸"</f>
        <v>フローリング→0戸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空家→0戸</v>
      </c>
      <c r="H38" s="39"/>
      <c r="I38" s="28"/>
      <c r="J38" s="27"/>
      <c r="K38" s="35" t="str">
        <f>"一体型→"&amp;COUNTIF(K5:K34,"一体型")&amp;"戸"</f>
        <v>一体型→0戸</v>
      </c>
      <c r="L38" s="28"/>
      <c r="M38" s="28"/>
      <c r="N38" s="28"/>
      <c r="O38" s="28"/>
      <c r="P38" s="28"/>
      <c r="Q38" s="28"/>
      <c r="R38" s="35" t="str">
        <f>"740→"&amp;COUNTIF(R5:R34,"740")&amp;"戸"</f>
        <v>740→6戸</v>
      </c>
      <c r="S38" s="27"/>
      <c r="T38" s="35" t="str">
        <f>"640→"&amp;COUNTIF(T5:T34,"640")&amp;"戸"</f>
        <v>640→6戸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4"/>
    </row>
    <row r="39" spans="1:43" s="2" customFormat="1" x14ac:dyDescent="0.4">
      <c r="A39" s="31"/>
      <c r="AG39" s="37"/>
      <c r="AH39" s="37"/>
      <c r="AO39" s="1"/>
    </row>
  </sheetData>
  <autoFilter ref="AI3:AK4" xr:uid="{CDA61863-1949-4644-B861-B7544206D53E}"/>
  <mergeCells count="57">
    <mergeCell ref="AL20:AP20"/>
    <mergeCell ref="AL21:AP21"/>
    <mergeCell ref="A35:E38"/>
    <mergeCell ref="F35:F38"/>
    <mergeCell ref="AL28:AP28"/>
    <mergeCell ref="AL29:AP29"/>
    <mergeCell ref="AL30:AP30"/>
    <mergeCell ref="AL31:AP31"/>
    <mergeCell ref="AL32:AP32"/>
    <mergeCell ref="AL33:AP33"/>
    <mergeCell ref="AL22:AP22"/>
    <mergeCell ref="AL23:AP23"/>
    <mergeCell ref="AL24:AP24"/>
    <mergeCell ref="AL26:AP26"/>
    <mergeCell ref="AL27:AP27"/>
    <mergeCell ref="AL34:AP34"/>
    <mergeCell ref="AL18:AP18"/>
    <mergeCell ref="AL19:AP19"/>
    <mergeCell ref="AL11:AP11"/>
    <mergeCell ref="AL12:AP12"/>
    <mergeCell ref="AL13:AP13"/>
    <mergeCell ref="AL14:AP14"/>
    <mergeCell ref="AL15:AP15"/>
    <mergeCell ref="AL16:AP16"/>
    <mergeCell ref="AL17:AP17"/>
    <mergeCell ref="A1:AN2"/>
    <mergeCell ref="A3:A4"/>
    <mergeCell ref="B3:B4"/>
    <mergeCell ref="C3:C4"/>
    <mergeCell ref="D3:E4"/>
    <mergeCell ref="F3:F4"/>
    <mergeCell ref="G3:G4"/>
    <mergeCell ref="H3:H4"/>
    <mergeCell ref="I3:J3"/>
    <mergeCell ref="K3:Q3"/>
    <mergeCell ref="R3:W3"/>
    <mergeCell ref="AI3:AI4"/>
    <mergeCell ref="AL3:AP4"/>
    <mergeCell ref="X3:AA3"/>
    <mergeCell ref="AB3:AF3"/>
    <mergeCell ref="AG3:AH3"/>
    <mergeCell ref="AJ3:AJ4"/>
    <mergeCell ref="AK3:AK4"/>
    <mergeCell ref="AL8:AP8"/>
    <mergeCell ref="AL9:AP9"/>
    <mergeCell ref="AL10:AP10"/>
    <mergeCell ref="AL5:AP5"/>
    <mergeCell ref="AL6:AP6"/>
    <mergeCell ref="AL7:AP7"/>
    <mergeCell ref="AL25:AP25"/>
    <mergeCell ref="AL35:AP38"/>
    <mergeCell ref="Z35:Z38"/>
    <mergeCell ref="AC35:AC38"/>
    <mergeCell ref="AI35:AI38"/>
    <mergeCell ref="AJ35:AJ38"/>
    <mergeCell ref="AK35:AK38"/>
    <mergeCell ref="AD35:AD38"/>
  </mergeCells>
  <phoneticPr fontId="1"/>
  <dataValidations count="1">
    <dataValidation imeMode="off" allowBlank="1" showInputMessage="1" showErrorMessage="1" sqref="C1:C3 A39:C1048576 A1:A35 B1:B34 C5:C34" xr:uid="{C87F303B-2492-4E11-8F8A-BA93339BE291}"/>
  </dataValidations>
  <printOptions horizontalCentered="1" verticalCentered="1"/>
  <pageMargins left="0.11811023622047245" right="0.11811023622047245" top="0.55118110236220474" bottom="0.19685039370078741" header="0.31496062992125984" footer="0.31496062992125984"/>
  <pageSetup paperSize="8" scale="44" orientation="landscape" r:id="rId1"/>
  <colBreaks count="1" manualBreakCount="1">
    <brk id="42" max="3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939C5B7A-0A15-4374-81EC-2E271BD42CA0}">
          <x14:formula1>
            <xm:f>Sheet1!$C$9:$C$11</xm:f>
          </x14:formula1>
          <xm:sqref>W5:W34 Q5:Q34</xm:sqref>
        </x14:dataValidation>
        <x14:dataValidation type="list" allowBlank="1" showInputMessage="1" showErrorMessage="1" xr:uid="{5339CBCD-DF2F-48A2-94FF-E674F75D8094}">
          <x14:formula1>
            <xm:f>Sheet1!$A$1:$A$4</xm:f>
          </x14:formula1>
          <xm:sqref>G5:G34</xm:sqref>
        </x14:dataValidation>
        <x14:dataValidation type="list" allowBlank="1" showInputMessage="1" showErrorMessage="1" xr:uid="{469CDDDD-F74E-4906-B84D-BEF97BD44396}">
          <x14:formula1>
            <xm:f>Sheet1!$A$6:$A$7</xm:f>
          </x14:formula1>
          <xm:sqref>H5:H34</xm:sqref>
        </x14:dataValidation>
        <x14:dataValidation type="list" allowBlank="1" showInputMessage="1" showErrorMessage="1" xr:uid="{E3C7905D-C3AD-462D-97E7-2869A2C35EDC}">
          <x14:formula1>
            <xm:f>Sheet1!$A$9:$A$11</xm:f>
          </x14:formula1>
          <xm:sqref>V5:V34 P5:P34 I5:I33</xm:sqref>
        </x14:dataValidation>
        <x14:dataValidation type="list" allowBlank="1" showInputMessage="1" showErrorMessage="1" xr:uid="{7B546655-D7F6-4800-B04D-61847234EE4E}">
          <x14:formula1>
            <xm:f>Sheet1!$D$1:$D$3</xm:f>
          </x14:formula1>
          <xm:sqref>J5:J34</xm:sqref>
        </x14:dataValidation>
        <x14:dataValidation type="list" allowBlank="1" showInputMessage="1" showErrorMessage="1" xr:uid="{351955A7-DE87-41D9-9ACC-F741026476BF}">
          <x14:formula1>
            <xm:f>Sheet1!$G$9:$G$12</xm:f>
          </x14:formula1>
          <xm:sqref>K5:K34</xm:sqref>
        </x14:dataValidation>
        <x14:dataValidation type="list" allowBlank="1" showInputMessage="1" showErrorMessage="1" xr:uid="{425185E0-5580-4EC1-82FE-66D0CBA4C6AC}">
          <x14:formula1>
            <xm:f>Sheet1!$E$9:$E$11</xm:f>
          </x14:formula1>
          <xm:sqref>L5:L34</xm:sqref>
        </x14:dataValidation>
        <x14:dataValidation type="list" allowBlank="1" showInputMessage="1" showErrorMessage="1" xr:uid="{DF4BB90E-E1CA-45B1-82ED-97A1CDC850C0}">
          <x14:formula1>
            <xm:f>Sheet1!$C$6:$C$7</xm:f>
          </x14:formula1>
          <xm:sqref>AJ5:AK7 AJ10:AK10 AJ21:AK22 AJ17:AK19 AK25:AK26 AJ12:AK15 U5:U34 AC5:AD34 M5:O34 AJ33:AK34 AJ29:AJ30 AK29:AK31</xm:sqref>
        </x14:dataValidation>
        <x14:dataValidation type="list" allowBlank="1" showInputMessage="1" showErrorMessage="1" xr:uid="{56605FA7-31FB-4998-B221-2689A4603DB6}">
          <x14:formula1>
            <xm:f>Sheet1!$A$17:$A$20</xm:f>
          </x14:formula1>
          <xm:sqref>R6:R18 R20 R33:R34 R23:R25 R27:R31</xm:sqref>
        </x14:dataValidation>
        <x14:dataValidation type="list" allowBlank="1" showInputMessage="1" showErrorMessage="1" xr:uid="{05DF7F14-0E6E-40B7-AD57-FCDB0F84039B}">
          <x14:formula1>
            <xm:f>Sheet1!$C$17:$C$20</xm:f>
          </x14:formula1>
          <xm:sqref>T5:T6 T8:T34</xm:sqref>
        </x14:dataValidation>
        <x14:dataValidation type="list" allowBlank="1" showInputMessage="1" showErrorMessage="1" xr:uid="{4AC28FCE-D42A-4121-816E-329E4108A002}">
          <x14:formula1>
            <xm:f>Sheet1!$A$13:$A$15</xm:f>
          </x14:formula1>
          <xm:sqref>AB5:AB34</xm:sqref>
        </x14:dataValidation>
        <x14:dataValidation type="list" allowBlank="1" showInputMessage="1" showErrorMessage="1" xr:uid="{2944130E-9573-4ED4-91AC-76E3C9F47F51}">
          <x14:formula1>
            <xm:f>Sheet1!$G$1:$G$4</xm:f>
          </x14:formula1>
          <xm:sqref>AE5:AF34</xm:sqref>
        </x14:dataValidation>
        <x14:dataValidation type="list" allowBlank="1" showInputMessage="1" showErrorMessage="1" xr:uid="{4D72249B-C373-42A1-B1DB-97A3F76FF94D}">
          <x14:formula1>
            <xm:f>Sheet1!$E$17:$E$18</xm:f>
          </x14:formula1>
          <xm:sqref>AG5:AG34</xm:sqref>
        </x14:dataValidation>
        <x14:dataValidation type="list" allowBlank="1" showInputMessage="1" showErrorMessage="1" xr:uid="{FE88246E-F3FB-4B5B-9405-6FE06E747A5F}">
          <x14:formula1>
            <xm:f>Sheet1!$G$17:$G$18</xm:f>
          </x14:formula1>
          <xm:sqref>AH5:AH34</xm:sqref>
        </x14:dataValidation>
        <x14:dataValidation type="list" allowBlank="1" showInputMessage="1" showErrorMessage="1" xr:uid="{5A2E5DFC-E9ED-4612-98ED-29BF22784B72}">
          <x14:formula1>
            <xm:f>Sheet1!$I$1:$I$2</xm:f>
          </x14:formula1>
          <xm:sqref>X5:X34</xm:sqref>
        </x14:dataValidation>
        <x14:dataValidation type="list" allowBlank="1" showInputMessage="1" showErrorMessage="1" xr:uid="{2E3613E5-7749-4C32-A544-6C3BC076A5F7}">
          <x14:formula1>
            <xm:f>Sheet1!$G$6:$G$7</xm:f>
          </x14:formula1>
          <xm:sqref>AA5:AA34 S5:S34</xm:sqref>
        </x14:dataValidation>
        <x14:dataValidation type="list" allowBlank="1" showInputMessage="1" showErrorMessage="1" xr:uid="{AC0B5267-1154-43D5-89CD-FB9CE90E4BFE}">
          <x14:formula1>
            <xm:f>Sheet1!$C$6:$C$8</xm:f>
          </x14:formula1>
          <xm:sqref>AJ16:AK16 AJ11:AK11 AJ8:AK9 AJ23:AK24 AJ20:AK20 AI5:AI34 AJ32:AK32 AJ25:AJ26 AJ31 AJ27:AK28</xm:sqref>
        </x14:dataValidation>
        <x14:dataValidation type="list" allowBlank="1" showInputMessage="1" showErrorMessage="1" xr:uid="{1FBB5D5F-9F70-429D-9B8E-7169B3127FEC}">
          <x14:formula1>
            <xm:f>Sheet1!$I$9:$I$13</xm:f>
          </x14:formula1>
          <xm:sqref>Y5:Y6 Y8:Y34</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22244-F563-4CF8-81D5-57D2758638F2}">
  <sheetPr codeName="Sheet15">
    <tabColor rgb="FF92D050"/>
  </sheetPr>
  <dimension ref="A1:AR29"/>
  <sheetViews>
    <sheetView view="pageBreakPreview" zoomScaleNormal="40" zoomScaleSheetLayoutView="70" workbookViewId="0">
      <pane xSplit="5" ySplit="4" topLeftCell="F20" activePane="bottomRight" state="frozen"/>
      <selection activeCell="N11" sqref="N11"/>
      <selection pane="topRight" activeCell="N11" sqref="N11"/>
      <selection pane="bottomLeft" activeCell="N11" sqref="N11"/>
      <selection pane="bottomRight" activeCell="D32" sqref="D32"/>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48.75" customHeight="1" x14ac:dyDescent="0.4">
      <c r="A5" s="6">
        <v>15</v>
      </c>
      <c r="B5" s="6">
        <v>101</v>
      </c>
      <c r="C5" s="6" t="s">
        <v>79</v>
      </c>
      <c r="D5" s="18" t="s">
        <v>2378</v>
      </c>
      <c r="E5" s="32" t="s">
        <v>18</v>
      </c>
      <c r="F5" s="6" t="s">
        <v>2379</v>
      </c>
      <c r="G5" s="6" t="s">
        <v>43</v>
      </c>
      <c r="H5" s="6" t="s">
        <v>52</v>
      </c>
      <c r="I5" s="6" t="s">
        <v>84</v>
      </c>
      <c r="J5" s="6" t="s">
        <v>85</v>
      </c>
      <c r="K5" s="6" t="s">
        <v>60</v>
      </c>
      <c r="L5" s="6" t="s">
        <v>92</v>
      </c>
      <c r="M5" s="6" t="s">
        <v>45</v>
      </c>
      <c r="N5" s="6" t="s">
        <v>45</v>
      </c>
      <c r="O5" s="6" t="s">
        <v>23</v>
      </c>
      <c r="P5" s="6" t="s">
        <v>84</v>
      </c>
      <c r="Q5" s="6" t="s">
        <v>86</v>
      </c>
      <c r="R5" s="6">
        <v>740</v>
      </c>
      <c r="S5" s="16" t="s">
        <v>39</v>
      </c>
      <c r="T5" s="6">
        <v>900</v>
      </c>
      <c r="U5" s="6" t="s">
        <v>45</v>
      </c>
      <c r="V5" s="6" t="s">
        <v>84</v>
      </c>
      <c r="W5" s="6" t="s">
        <v>86</v>
      </c>
      <c r="X5" s="16" t="s">
        <v>60</v>
      </c>
      <c r="Y5" s="16" t="s">
        <v>87</v>
      </c>
      <c r="Z5" s="16" t="s">
        <v>2380</v>
      </c>
      <c r="AA5" s="16" t="s">
        <v>39</v>
      </c>
      <c r="AB5" s="7" t="s">
        <v>88</v>
      </c>
      <c r="AC5" s="8" t="s">
        <v>23</v>
      </c>
      <c r="AD5" s="8" t="s">
        <v>23</v>
      </c>
      <c r="AE5" s="8" t="s">
        <v>50</v>
      </c>
      <c r="AF5" s="8" t="s">
        <v>50</v>
      </c>
      <c r="AG5" s="17" t="s">
        <v>60</v>
      </c>
      <c r="AH5" s="17" t="s">
        <v>62</v>
      </c>
      <c r="AI5" s="17" t="s">
        <v>45</v>
      </c>
      <c r="AJ5" s="17" t="s">
        <v>45</v>
      </c>
      <c r="AK5" s="9" t="s">
        <v>45</v>
      </c>
      <c r="AL5" s="140" t="s">
        <v>2381</v>
      </c>
      <c r="AM5" s="141"/>
      <c r="AN5" s="141"/>
      <c r="AO5" s="141"/>
      <c r="AP5" s="142"/>
    </row>
    <row r="6" spans="1:44" s="14" customFormat="1" ht="58.5" customHeight="1" x14ac:dyDescent="0.4">
      <c r="A6" s="11">
        <v>15</v>
      </c>
      <c r="B6" s="11">
        <v>201</v>
      </c>
      <c r="C6" s="11" t="s">
        <v>79</v>
      </c>
      <c r="D6" s="13" t="s">
        <v>2382</v>
      </c>
      <c r="E6" s="33" t="s">
        <v>18</v>
      </c>
      <c r="F6" s="11" t="s">
        <v>2383</v>
      </c>
      <c r="G6" s="11" t="s">
        <v>43</v>
      </c>
      <c r="H6" s="11" t="s">
        <v>52</v>
      </c>
      <c r="I6" s="11" t="s">
        <v>84</v>
      </c>
      <c r="J6" s="11" t="s">
        <v>85</v>
      </c>
      <c r="K6" s="11" t="s">
        <v>60</v>
      </c>
      <c r="L6" s="11" t="s">
        <v>92</v>
      </c>
      <c r="M6" s="11" t="s">
        <v>45</v>
      </c>
      <c r="N6" s="11" t="s">
        <v>45</v>
      </c>
      <c r="O6" s="11" t="s">
        <v>23</v>
      </c>
      <c r="P6" s="11" t="s">
        <v>2384</v>
      </c>
      <c r="Q6" s="11" t="s">
        <v>86</v>
      </c>
      <c r="R6" s="11">
        <v>740</v>
      </c>
      <c r="S6" s="40" t="s">
        <v>39</v>
      </c>
      <c r="T6" s="11">
        <v>900</v>
      </c>
      <c r="U6" s="11" t="s">
        <v>45</v>
      </c>
      <c r="V6" s="11" t="s">
        <v>2384</v>
      </c>
      <c r="W6" s="11" t="s">
        <v>86</v>
      </c>
      <c r="X6" s="40" t="s">
        <v>60</v>
      </c>
      <c r="Y6" s="40" t="s">
        <v>87</v>
      </c>
      <c r="Z6" s="40" t="s">
        <v>2385</v>
      </c>
      <c r="AA6" s="40" t="s">
        <v>39</v>
      </c>
      <c r="AB6" s="12" t="s">
        <v>88</v>
      </c>
      <c r="AC6" s="11" t="s">
        <v>45</v>
      </c>
      <c r="AD6" s="11" t="s">
        <v>45</v>
      </c>
      <c r="AE6" s="11" t="s">
        <v>50</v>
      </c>
      <c r="AF6" s="11" t="s">
        <v>50</v>
      </c>
      <c r="AG6" s="13" t="s">
        <v>60</v>
      </c>
      <c r="AH6" s="13" t="s">
        <v>62</v>
      </c>
      <c r="AI6" s="13" t="s">
        <v>45</v>
      </c>
      <c r="AJ6" s="13" t="s">
        <v>45</v>
      </c>
      <c r="AK6" s="13" t="s">
        <v>45</v>
      </c>
      <c r="AL6" s="133" t="s">
        <v>2386</v>
      </c>
      <c r="AM6" s="134"/>
      <c r="AN6" s="134"/>
      <c r="AO6" s="134"/>
      <c r="AP6" s="135"/>
    </row>
    <row r="7" spans="1:44" s="10" customFormat="1" ht="39.75" customHeight="1" x14ac:dyDescent="0.4">
      <c r="A7" s="6">
        <v>15</v>
      </c>
      <c r="B7" s="6">
        <v>301</v>
      </c>
      <c r="C7" s="6" t="s">
        <v>79</v>
      </c>
      <c r="D7" s="18" t="s">
        <v>2387</v>
      </c>
      <c r="E7" s="34" t="s">
        <v>18</v>
      </c>
      <c r="F7" s="46" t="s">
        <v>2388</v>
      </c>
      <c r="G7" s="6" t="s">
        <v>43</v>
      </c>
      <c r="H7" s="6" t="s">
        <v>52</v>
      </c>
      <c r="I7" s="6" t="s">
        <v>84</v>
      </c>
      <c r="J7" s="6" t="s">
        <v>85</v>
      </c>
      <c r="K7" s="6" t="s">
        <v>60</v>
      </c>
      <c r="L7" s="6" t="s">
        <v>92</v>
      </c>
      <c r="M7" s="6" t="s">
        <v>45</v>
      </c>
      <c r="N7" s="6" t="s">
        <v>45</v>
      </c>
      <c r="O7" s="6" t="s">
        <v>23</v>
      </c>
      <c r="P7" s="6" t="s">
        <v>84</v>
      </c>
      <c r="Q7" s="6" t="s">
        <v>86</v>
      </c>
      <c r="R7" s="6">
        <v>740</v>
      </c>
      <c r="S7" s="6" t="s">
        <v>39</v>
      </c>
      <c r="T7" s="6">
        <v>900</v>
      </c>
      <c r="U7" s="6" t="s">
        <v>45</v>
      </c>
      <c r="V7" s="6" t="s">
        <v>84</v>
      </c>
      <c r="W7" s="6" t="s">
        <v>86</v>
      </c>
      <c r="X7" s="6" t="s">
        <v>60</v>
      </c>
      <c r="Y7" s="6" t="s">
        <v>87</v>
      </c>
      <c r="Z7" s="6" t="s">
        <v>2389</v>
      </c>
      <c r="AA7" s="6" t="s">
        <v>39</v>
      </c>
      <c r="AB7" s="15" t="s">
        <v>88</v>
      </c>
      <c r="AC7" s="16" t="s">
        <v>45</v>
      </c>
      <c r="AD7" s="16" t="s">
        <v>23</v>
      </c>
      <c r="AE7" s="16" t="s">
        <v>50</v>
      </c>
      <c r="AF7" s="16" t="s">
        <v>50</v>
      </c>
      <c r="AG7" s="17" t="s">
        <v>60</v>
      </c>
      <c r="AH7" s="17" t="s">
        <v>62</v>
      </c>
      <c r="AI7" s="17" t="s">
        <v>45</v>
      </c>
      <c r="AJ7" s="17" t="s">
        <v>45</v>
      </c>
      <c r="AK7" s="17" t="s">
        <v>45</v>
      </c>
      <c r="AL7" s="106" t="s">
        <v>2390</v>
      </c>
      <c r="AM7" s="107"/>
      <c r="AN7" s="107"/>
      <c r="AO7" s="107"/>
      <c r="AP7" s="108"/>
    </row>
    <row r="8" spans="1:44" s="14" customFormat="1" ht="37.5" customHeight="1" x14ac:dyDescent="0.4">
      <c r="A8" s="11">
        <v>15</v>
      </c>
      <c r="B8" s="11">
        <v>401</v>
      </c>
      <c r="C8" s="11" t="s">
        <v>79</v>
      </c>
      <c r="D8" s="13" t="s">
        <v>2297</v>
      </c>
      <c r="E8" s="33" t="s">
        <v>18</v>
      </c>
      <c r="F8" s="11" t="s">
        <v>2298</v>
      </c>
      <c r="G8" s="11" t="s">
        <v>43</v>
      </c>
      <c r="H8" s="11" t="s">
        <v>52</v>
      </c>
      <c r="I8" s="11" t="s">
        <v>84</v>
      </c>
      <c r="J8" s="11" t="s">
        <v>85</v>
      </c>
      <c r="K8" s="11" t="s">
        <v>60</v>
      </c>
      <c r="L8" s="11" t="s">
        <v>92</v>
      </c>
      <c r="M8" s="11" t="s">
        <v>45</v>
      </c>
      <c r="N8" s="11" t="s">
        <v>45</v>
      </c>
      <c r="O8" s="11" t="s">
        <v>45</v>
      </c>
      <c r="P8" s="11" t="s">
        <v>84</v>
      </c>
      <c r="Q8" s="11" t="s">
        <v>86</v>
      </c>
      <c r="R8" s="11">
        <v>750</v>
      </c>
      <c r="S8" s="40" t="s">
        <v>39</v>
      </c>
      <c r="T8" s="11">
        <v>900</v>
      </c>
      <c r="U8" s="11" t="s">
        <v>45</v>
      </c>
      <c r="V8" s="11" t="s">
        <v>84</v>
      </c>
      <c r="W8" s="11" t="s">
        <v>86</v>
      </c>
      <c r="X8" s="40" t="s">
        <v>60</v>
      </c>
      <c r="Y8" s="40" t="s">
        <v>2299</v>
      </c>
      <c r="Z8" s="40" t="s">
        <v>2300</v>
      </c>
      <c r="AA8" s="40" t="s">
        <v>39</v>
      </c>
      <c r="AB8" s="12" t="s">
        <v>19</v>
      </c>
      <c r="AC8" s="11" t="s">
        <v>45</v>
      </c>
      <c r="AD8" s="11" t="s">
        <v>45</v>
      </c>
      <c r="AE8" s="11" t="s">
        <v>116</v>
      </c>
      <c r="AF8" s="11" t="s">
        <v>50</v>
      </c>
      <c r="AG8" s="13" t="s">
        <v>60</v>
      </c>
      <c r="AH8" s="13" t="s">
        <v>62</v>
      </c>
      <c r="AI8" s="13" t="s">
        <v>45</v>
      </c>
      <c r="AJ8" s="13" t="s">
        <v>45</v>
      </c>
      <c r="AK8" s="13" t="s">
        <v>23</v>
      </c>
      <c r="AL8" s="133" t="s">
        <v>2301</v>
      </c>
      <c r="AM8" s="134"/>
      <c r="AN8" s="134"/>
      <c r="AO8" s="134"/>
      <c r="AP8" s="135"/>
    </row>
    <row r="9" spans="1:44" s="10" customFormat="1" ht="55.5" customHeight="1" x14ac:dyDescent="0.4">
      <c r="A9" s="6">
        <v>15</v>
      </c>
      <c r="B9" s="6">
        <v>501</v>
      </c>
      <c r="C9" s="6" t="s">
        <v>79</v>
      </c>
      <c r="D9" s="18" t="s">
        <v>2391</v>
      </c>
      <c r="E9" s="34" t="s">
        <v>18</v>
      </c>
      <c r="F9" s="6" t="s">
        <v>2392</v>
      </c>
      <c r="G9" s="6" t="s">
        <v>43</v>
      </c>
      <c r="H9" s="6" t="s">
        <v>52</v>
      </c>
      <c r="I9" s="6" t="s">
        <v>84</v>
      </c>
      <c r="J9" s="6" t="s">
        <v>85</v>
      </c>
      <c r="K9" s="6" t="s">
        <v>60</v>
      </c>
      <c r="L9" s="6" t="s">
        <v>92</v>
      </c>
      <c r="M9" s="6" t="s">
        <v>45</v>
      </c>
      <c r="N9" s="6" t="s">
        <v>45</v>
      </c>
      <c r="O9" s="6" t="s">
        <v>23</v>
      </c>
      <c r="P9" s="6" t="s">
        <v>84</v>
      </c>
      <c r="Q9" s="6" t="s">
        <v>86</v>
      </c>
      <c r="R9" s="6">
        <v>740</v>
      </c>
      <c r="S9" s="6" t="s">
        <v>39</v>
      </c>
      <c r="T9" s="6">
        <v>900</v>
      </c>
      <c r="U9" s="6" t="s">
        <v>45</v>
      </c>
      <c r="V9" s="6" t="s">
        <v>84</v>
      </c>
      <c r="W9" s="6" t="s">
        <v>86</v>
      </c>
      <c r="X9" s="6" t="s">
        <v>60</v>
      </c>
      <c r="Y9" s="6" t="s">
        <v>531</v>
      </c>
      <c r="Z9" s="6"/>
      <c r="AA9" s="6" t="s">
        <v>39</v>
      </c>
      <c r="AB9" s="15" t="s">
        <v>19</v>
      </c>
      <c r="AC9" s="16" t="s">
        <v>45</v>
      </c>
      <c r="AD9" s="16" t="s">
        <v>45</v>
      </c>
      <c r="AE9" s="16" t="s">
        <v>50</v>
      </c>
      <c r="AF9" s="16" t="s">
        <v>50</v>
      </c>
      <c r="AG9" s="17" t="s">
        <v>60</v>
      </c>
      <c r="AH9" s="17" t="s">
        <v>62</v>
      </c>
      <c r="AI9" s="17" t="s">
        <v>45</v>
      </c>
      <c r="AJ9" s="17" t="s">
        <v>45</v>
      </c>
      <c r="AK9" s="17" t="s">
        <v>45</v>
      </c>
      <c r="AL9" s="106" t="s">
        <v>2393</v>
      </c>
      <c r="AM9" s="107"/>
      <c r="AN9" s="107"/>
      <c r="AO9" s="107"/>
      <c r="AP9" s="108"/>
    </row>
    <row r="10" spans="1:44" s="14" customFormat="1" ht="33.75" customHeight="1" x14ac:dyDescent="0.4">
      <c r="A10" s="11">
        <v>15</v>
      </c>
      <c r="B10" s="11">
        <v>102</v>
      </c>
      <c r="C10" s="11" t="s">
        <v>79</v>
      </c>
      <c r="D10" s="13" t="s">
        <v>2394</v>
      </c>
      <c r="E10" s="33" t="s">
        <v>18</v>
      </c>
      <c r="F10" s="11" t="s">
        <v>2395</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0" t="s">
        <v>87</v>
      </c>
      <c r="Z10" s="40" t="s">
        <v>2396</v>
      </c>
      <c r="AA10" s="40" t="s">
        <v>39</v>
      </c>
      <c r="AB10" s="12" t="s">
        <v>88</v>
      </c>
      <c r="AC10" s="11" t="s">
        <v>45</v>
      </c>
      <c r="AD10" s="11" t="s">
        <v>23</v>
      </c>
      <c r="AE10" s="11" t="s">
        <v>50</v>
      </c>
      <c r="AF10" s="11" t="s">
        <v>50</v>
      </c>
      <c r="AG10" s="13" t="s">
        <v>60</v>
      </c>
      <c r="AH10" s="13" t="s">
        <v>62</v>
      </c>
      <c r="AI10" s="13" t="s">
        <v>45</v>
      </c>
      <c r="AJ10" s="13" t="s">
        <v>45</v>
      </c>
      <c r="AK10" s="13" t="s">
        <v>45</v>
      </c>
      <c r="AL10" s="133" t="s">
        <v>2397</v>
      </c>
      <c r="AM10" s="134"/>
      <c r="AN10" s="134"/>
      <c r="AO10" s="134"/>
      <c r="AP10" s="135"/>
    </row>
    <row r="11" spans="1:44" s="10" customFormat="1" ht="36" customHeight="1" x14ac:dyDescent="0.4">
      <c r="A11" s="6">
        <v>15</v>
      </c>
      <c r="B11" s="6">
        <v>202</v>
      </c>
      <c r="C11" s="6" t="s">
        <v>79</v>
      </c>
      <c r="D11" s="18" t="s">
        <v>2398</v>
      </c>
      <c r="E11" s="34" t="s">
        <v>18</v>
      </c>
      <c r="F11" s="6" t="s">
        <v>2399</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141</v>
      </c>
      <c r="Z11" s="6"/>
      <c r="AA11" s="6" t="s">
        <v>39</v>
      </c>
      <c r="AB11" s="15" t="s">
        <v>88</v>
      </c>
      <c r="AC11" s="16" t="s">
        <v>45</v>
      </c>
      <c r="AD11" s="16" t="s">
        <v>23</v>
      </c>
      <c r="AE11" s="16" t="s">
        <v>50</v>
      </c>
      <c r="AF11" s="16" t="s">
        <v>50</v>
      </c>
      <c r="AG11" s="17" t="s">
        <v>60</v>
      </c>
      <c r="AH11" s="17" t="s">
        <v>62</v>
      </c>
      <c r="AI11" s="17" t="s">
        <v>45</v>
      </c>
      <c r="AJ11" s="17" t="s">
        <v>45</v>
      </c>
      <c r="AK11" s="17" t="s">
        <v>45</v>
      </c>
      <c r="AL11" s="106" t="s">
        <v>2400</v>
      </c>
      <c r="AM11" s="107"/>
      <c r="AN11" s="107"/>
      <c r="AO11" s="107"/>
      <c r="AP11" s="108"/>
    </row>
    <row r="12" spans="1:44" s="14" customFormat="1" ht="31.5" customHeight="1" x14ac:dyDescent="0.4">
      <c r="A12" s="11">
        <v>15</v>
      </c>
      <c r="B12" s="11">
        <v>302</v>
      </c>
      <c r="C12" s="11" t="s">
        <v>79</v>
      </c>
      <c r="D12" s="13" t="s">
        <v>2401</v>
      </c>
      <c r="E12" s="33" t="s">
        <v>18</v>
      </c>
      <c r="F12" s="11" t="s">
        <v>2402</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900</v>
      </c>
      <c r="U12" s="11" t="s">
        <v>45</v>
      </c>
      <c r="V12" s="11" t="s">
        <v>84</v>
      </c>
      <c r="W12" s="11" t="s">
        <v>86</v>
      </c>
      <c r="X12" s="40" t="s">
        <v>60</v>
      </c>
      <c r="Y12" s="40" t="s">
        <v>87</v>
      </c>
      <c r="Z12" s="40" t="s">
        <v>2403</v>
      </c>
      <c r="AA12" s="40" t="s">
        <v>39</v>
      </c>
      <c r="AB12" s="12" t="s">
        <v>88</v>
      </c>
      <c r="AC12" s="11" t="s">
        <v>45</v>
      </c>
      <c r="AD12" s="11" t="s">
        <v>23</v>
      </c>
      <c r="AE12" s="11" t="s">
        <v>50</v>
      </c>
      <c r="AF12" s="11" t="s">
        <v>50</v>
      </c>
      <c r="AG12" s="13" t="s">
        <v>60</v>
      </c>
      <c r="AH12" s="13" t="s">
        <v>62</v>
      </c>
      <c r="AI12" s="13" t="s">
        <v>45</v>
      </c>
      <c r="AJ12" s="13" t="s">
        <v>45</v>
      </c>
      <c r="AK12" s="13" t="s">
        <v>45</v>
      </c>
      <c r="AL12" s="133" t="s">
        <v>2404</v>
      </c>
      <c r="AM12" s="134"/>
      <c r="AN12" s="134"/>
      <c r="AO12" s="134"/>
      <c r="AP12" s="135"/>
    </row>
    <row r="13" spans="1:44" s="10" customFormat="1" ht="51.75" customHeight="1" x14ac:dyDescent="0.4">
      <c r="A13" s="6">
        <v>15</v>
      </c>
      <c r="B13" s="6">
        <v>402</v>
      </c>
      <c r="C13" s="6" t="s">
        <v>79</v>
      </c>
      <c r="D13" s="18" t="s">
        <v>2343</v>
      </c>
      <c r="E13" s="34" t="s">
        <v>18</v>
      </c>
      <c r="F13" s="6" t="s">
        <v>2344</v>
      </c>
      <c r="G13" s="6" t="s">
        <v>43</v>
      </c>
      <c r="H13" s="6" t="s">
        <v>52</v>
      </c>
      <c r="I13" s="6" t="s">
        <v>84</v>
      </c>
      <c r="J13" s="6" t="s">
        <v>85</v>
      </c>
      <c r="K13" s="6" t="s">
        <v>60</v>
      </c>
      <c r="L13" s="6" t="s">
        <v>92</v>
      </c>
      <c r="M13" s="6" t="s">
        <v>45</v>
      </c>
      <c r="N13" s="6" t="s">
        <v>45</v>
      </c>
      <c r="O13" s="6" t="s">
        <v>23</v>
      </c>
      <c r="P13" s="6" t="s">
        <v>84</v>
      </c>
      <c r="Q13" s="6" t="s">
        <v>86</v>
      </c>
      <c r="R13" s="6">
        <v>750</v>
      </c>
      <c r="S13" s="6" t="s">
        <v>39</v>
      </c>
      <c r="T13" s="6">
        <v>900</v>
      </c>
      <c r="U13" s="6" t="s">
        <v>45</v>
      </c>
      <c r="V13" s="6" t="s">
        <v>84</v>
      </c>
      <c r="W13" s="6" t="s">
        <v>86</v>
      </c>
      <c r="X13" s="6" t="s">
        <v>60</v>
      </c>
      <c r="Y13" s="6" t="s">
        <v>141</v>
      </c>
      <c r="Z13" s="6"/>
      <c r="AA13" s="6" t="s">
        <v>39</v>
      </c>
      <c r="AB13" s="15" t="s">
        <v>88</v>
      </c>
      <c r="AC13" s="16" t="s">
        <v>45</v>
      </c>
      <c r="AD13" s="16" t="s">
        <v>23</v>
      </c>
      <c r="AE13" s="16" t="s">
        <v>50</v>
      </c>
      <c r="AF13" s="16" t="s">
        <v>50</v>
      </c>
      <c r="AG13" s="17" t="s">
        <v>60</v>
      </c>
      <c r="AH13" s="17" t="s">
        <v>62</v>
      </c>
      <c r="AI13" s="17" t="s">
        <v>241</v>
      </c>
      <c r="AJ13" s="17" t="s">
        <v>45</v>
      </c>
      <c r="AK13" s="17" t="s">
        <v>45</v>
      </c>
      <c r="AL13" s="106" t="s">
        <v>2750</v>
      </c>
      <c r="AM13" s="107"/>
      <c r="AN13" s="107"/>
      <c r="AO13" s="107"/>
      <c r="AP13" s="108"/>
    </row>
    <row r="14" spans="1:44" s="14" customFormat="1" ht="40.5" customHeight="1" x14ac:dyDescent="0.4">
      <c r="A14" s="11">
        <v>15</v>
      </c>
      <c r="B14" s="11">
        <v>502</v>
      </c>
      <c r="C14" s="11" t="s">
        <v>79</v>
      </c>
      <c r="D14" s="13" t="s">
        <v>2205</v>
      </c>
      <c r="E14" s="33" t="s">
        <v>18</v>
      </c>
      <c r="F14" s="45" t="s">
        <v>2206</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60</v>
      </c>
      <c r="Y14" s="40" t="s">
        <v>87</v>
      </c>
      <c r="Z14" s="40" t="s">
        <v>2207</v>
      </c>
      <c r="AA14" s="40" t="s">
        <v>39</v>
      </c>
      <c r="AB14" s="12" t="s">
        <v>88</v>
      </c>
      <c r="AC14" s="11" t="s">
        <v>45</v>
      </c>
      <c r="AD14" s="11" t="s">
        <v>23</v>
      </c>
      <c r="AE14" s="11" t="s">
        <v>50</v>
      </c>
      <c r="AF14" s="11" t="s">
        <v>50</v>
      </c>
      <c r="AG14" s="13" t="s">
        <v>60</v>
      </c>
      <c r="AH14" s="13" t="s">
        <v>62</v>
      </c>
      <c r="AI14" s="13" t="s">
        <v>45</v>
      </c>
      <c r="AJ14" s="13" t="s">
        <v>45</v>
      </c>
      <c r="AK14" s="13" t="s">
        <v>45</v>
      </c>
      <c r="AL14" s="133" t="s">
        <v>2208</v>
      </c>
      <c r="AM14" s="134"/>
      <c r="AN14" s="134"/>
      <c r="AO14" s="134"/>
      <c r="AP14" s="135"/>
    </row>
    <row r="15" spans="1:44" s="10" customFormat="1" ht="15" customHeight="1" x14ac:dyDescent="0.4">
      <c r="A15" s="6">
        <v>15</v>
      </c>
      <c r="B15" s="6">
        <v>103</v>
      </c>
      <c r="C15" s="6" t="s">
        <v>79</v>
      </c>
      <c r="D15" s="18" t="s">
        <v>2418</v>
      </c>
      <c r="E15" s="34" t="s">
        <v>18</v>
      </c>
      <c r="F15" s="6" t="s">
        <v>2419</v>
      </c>
      <c r="G15" s="6" t="s">
        <v>43</v>
      </c>
      <c r="H15" s="6" t="s">
        <v>52</v>
      </c>
      <c r="I15" s="6" t="s">
        <v>84</v>
      </c>
      <c r="J15" s="6" t="s">
        <v>85</v>
      </c>
      <c r="K15" s="6" t="s">
        <v>60</v>
      </c>
      <c r="L15" s="6" t="s">
        <v>20</v>
      </c>
      <c r="M15" s="6" t="s">
        <v>45</v>
      </c>
      <c r="N15" s="6" t="s">
        <v>45</v>
      </c>
      <c r="O15" s="6" t="s">
        <v>23</v>
      </c>
      <c r="P15" s="6" t="s">
        <v>84</v>
      </c>
      <c r="Q15" s="6" t="s">
        <v>86</v>
      </c>
      <c r="R15" s="6">
        <v>750</v>
      </c>
      <c r="S15" s="6" t="s">
        <v>39</v>
      </c>
      <c r="T15" s="6">
        <v>900</v>
      </c>
      <c r="U15" s="6" t="s">
        <v>45</v>
      </c>
      <c r="V15" s="6" t="s">
        <v>84</v>
      </c>
      <c r="W15" s="6" t="s">
        <v>86</v>
      </c>
      <c r="X15" s="6" t="s">
        <v>60</v>
      </c>
      <c r="Y15" s="6" t="s">
        <v>87</v>
      </c>
      <c r="Z15" s="6" t="s">
        <v>2420</v>
      </c>
      <c r="AA15" s="6" t="s">
        <v>39</v>
      </c>
      <c r="AB15" s="15" t="s">
        <v>19</v>
      </c>
      <c r="AC15" s="16" t="s">
        <v>45</v>
      </c>
      <c r="AD15" s="16" t="s">
        <v>45</v>
      </c>
      <c r="AE15" s="16" t="s">
        <v>116</v>
      </c>
      <c r="AF15" s="16" t="s">
        <v>50</v>
      </c>
      <c r="AG15" s="17" t="s">
        <v>60</v>
      </c>
      <c r="AH15" s="17" t="s">
        <v>62</v>
      </c>
      <c r="AI15" s="17" t="s">
        <v>45</v>
      </c>
      <c r="AJ15" s="17" t="s">
        <v>45</v>
      </c>
      <c r="AK15" s="17" t="s">
        <v>45</v>
      </c>
      <c r="AL15" s="78" t="s">
        <v>2421</v>
      </c>
      <c r="AM15" s="79"/>
      <c r="AN15" s="79"/>
      <c r="AO15" s="79"/>
      <c r="AP15" s="80"/>
    </row>
    <row r="16" spans="1:44" s="14" customFormat="1" ht="15" customHeight="1" x14ac:dyDescent="0.4">
      <c r="A16" s="11">
        <v>15</v>
      </c>
      <c r="B16" s="11">
        <v>203</v>
      </c>
      <c r="C16" s="11" t="s">
        <v>79</v>
      </c>
      <c r="D16" s="13" t="s">
        <v>2422</v>
      </c>
      <c r="E16" s="33" t="s">
        <v>18</v>
      </c>
      <c r="F16" s="11" t="s">
        <v>2423</v>
      </c>
      <c r="G16" s="11" t="s">
        <v>43</v>
      </c>
      <c r="H16" s="11" t="s">
        <v>52</v>
      </c>
      <c r="I16" s="11" t="s">
        <v>84</v>
      </c>
      <c r="J16" s="11" t="s">
        <v>85</v>
      </c>
      <c r="K16" s="11" t="s">
        <v>60</v>
      </c>
      <c r="L16" s="11" t="s">
        <v>20</v>
      </c>
      <c r="M16" s="11" t="s">
        <v>45</v>
      </c>
      <c r="N16" s="11" t="s">
        <v>45</v>
      </c>
      <c r="O16" s="11" t="s">
        <v>45</v>
      </c>
      <c r="P16" s="11" t="s">
        <v>84</v>
      </c>
      <c r="Q16" s="11" t="s">
        <v>86</v>
      </c>
      <c r="R16" s="11" t="s">
        <v>2424</v>
      </c>
      <c r="S16" s="40" t="s">
        <v>39</v>
      </c>
      <c r="T16" s="11">
        <v>900</v>
      </c>
      <c r="U16" s="11" t="s">
        <v>45</v>
      </c>
      <c r="V16" s="11" t="s">
        <v>84</v>
      </c>
      <c r="W16" s="11" t="s">
        <v>86</v>
      </c>
      <c r="X16" s="40" t="s">
        <v>60</v>
      </c>
      <c r="Y16" s="40" t="s">
        <v>87</v>
      </c>
      <c r="Z16" s="40" t="s">
        <v>2425</v>
      </c>
      <c r="AA16" s="40" t="s">
        <v>39</v>
      </c>
      <c r="AB16" s="12" t="s">
        <v>88</v>
      </c>
      <c r="AC16" s="11" t="s">
        <v>45</v>
      </c>
      <c r="AD16" s="11" t="s">
        <v>23</v>
      </c>
      <c r="AE16" s="11" t="s">
        <v>50</v>
      </c>
      <c r="AF16" s="11" t="s">
        <v>50</v>
      </c>
      <c r="AG16" s="13" t="s">
        <v>60</v>
      </c>
      <c r="AH16" s="13" t="s">
        <v>62</v>
      </c>
      <c r="AI16" s="13" t="s">
        <v>45</v>
      </c>
      <c r="AJ16" s="13" t="s">
        <v>45</v>
      </c>
      <c r="AK16" s="13" t="s">
        <v>45</v>
      </c>
      <c r="AL16" s="94" t="s">
        <v>2426</v>
      </c>
      <c r="AM16" s="95"/>
      <c r="AN16" s="95"/>
      <c r="AO16" s="95"/>
      <c r="AP16" s="96"/>
    </row>
    <row r="17" spans="1:43" s="10" customFormat="1" ht="41.25" customHeight="1" x14ac:dyDescent="0.4">
      <c r="A17" s="6">
        <v>15</v>
      </c>
      <c r="B17" s="6">
        <v>303</v>
      </c>
      <c r="C17" s="6" t="s">
        <v>79</v>
      </c>
      <c r="D17" s="18" t="s">
        <v>2628</v>
      </c>
      <c r="E17" s="34" t="s">
        <v>18</v>
      </c>
      <c r="F17" s="46" t="s">
        <v>2629</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84</v>
      </c>
      <c r="W17" s="6" t="s">
        <v>86</v>
      </c>
      <c r="X17" s="6" t="s">
        <v>19</v>
      </c>
      <c r="Y17" s="6"/>
      <c r="Z17" s="6"/>
      <c r="AA17" s="6" t="s">
        <v>65</v>
      </c>
      <c r="AB17" s="15" t="s">
        <v>19</v>
      </c>
      <c r="AC17" s="16" t="s">
        <v>45</v>
      </c>
      <c r="AD17" s="16" t="s">
        <v>45</v>
      </c>
      <c r="AE17" s="16" t="s">
        <v>116</v>
      </c>
      <c r="AF17" s="16" t="s">
        <v>50</v>
      </c>
      <c r="AG17" s="17" t="s">
        <v>60</v>
      </c>
      <c r="AH17" s="17" t="s">
        <v>62</v>
      </c>
      <c r="AI17" s="17" t="s">
        <v>45</v>
      </c>
      <c r="AJ17" s="17" t="s">
        <v>45</v>
      </c>
      <c r="AK17" s="17" t="s">
        <v>23</v>
      </c>
      <c r="AL17" s="106" t="s">
        <v>2630</v>
      </c>
      <c r="AM17" s="107"/>
      <c r="AN17" s="107"/>
      <c r="AO17" s="107"/>
      <c r="AP17" s="108"/>
    </row>
    <row r="18" spans="1:43" s="14" customFormat="1" ht="43.5" customHeight="1" x14ac:dyDescent="0.4">
      <c r="A18" s="11">
        <v>15</v>
      </c>
      <c r="B18" s="11">
        <v>403</v>
      </c>
      <c r="C18" s="11" t="s">
        <v>79</v>
      </c>
      <c r="D18" s="13" t="s">
        <v>2427</v>
      </c>
      <c r="E18" s="33" t="s">
        <v>18</v>
      </c>
      <c r="F18" s="11" t="s">
        <v>2428</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87</v>
      </c>
      <c r="Z18" s="40" t="s">
        <v>2429</v>
      </c>
      <c r="AA18" s="40" t="s">
        <v>39</v>
      </c>
      <c r="AB18" s="12" t="s">
        <v>88</v>
      </c>
      <c r="AC18" s="11" t="s">
        <v>45</v>
      </c>
      <c r="AD18" s="11" t="s">
        <v>23</v>
      </c>
      <c r="AE18" s="11" t="s">
        <v>50</v>
      </c>
      <c r="AF18" s="11" t="s">
        <v>50</v>
      </c>
      <c r="AG18" s="13" t="s">
        <v>60</v>
      </c>
      <c r="AH18" s="13" t="s">
        <v>62</v>
      </c>
      <c r="AI18" s="13" t="s">
        <v>45</v>
      </c>
      <c r="AJ18" s="13" t="s">
        <v>45</v>
      </c>
      <c r="AK18" s="13" t="s">
        <v>45</v>
      </c>
      <c r="AL18" s="133" t="s">
        <v>2430</v>
      </c>
      <c r="AM18" s="134"/>
      <c r="AN18" s="134"/>
      <c r="AO18" s="134"/>
      <c r="AP18" s="135"/>
    </row>
    <row r="19" spans="1:43" s="10" customFormat="1" ht="15" customHeight="1" x14ac:dyDescent="0.4">
      <c r="A19" s="6">
        <v>15</v>
      </c>
      <c r="B19" s="6">
        <v>503</v>
      </c>
      <c r="C19" s="6" t="s">
        <v>79</v>
      </c>
      <c r="D19" s="18" t="s">
        <v>2302</v>
      </c>
      <c r="E19" s="34" t="s">
        <v>18</v>
      </c>
      <c r="F19" s="6" t="s">
        <v>2303</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87</v>
      </c>
      <c r="Z19" s="6" t="s">
        <v>2304</v>
      </c>
      <c r="AA19" s="6" t="s">
        <v>39</v>
      </c>
      <c r="AB19" s="15" t="s">
        <v>88</v>
      </c>
      <c r="AC19" s="16" t="s">
        <v>45</v>
      </c>
      <c r="AD19" s="16" t="s">
        <v>23</v>
      </c>
      <c r="AE19" s="16" t="s">
        <v>50</v>
      </c>
      <c r="AF19" s="16" t="s">
        <v>50</v>
      </c>
      <c r="AG19" s="17" t="s">
        <v>60</v>
      </c>
      <c r="AH19" s="17" t="s">
        <v>62</v>
      </c>
      <c r="AI19" s="17" t="s">
        <v>45</v>
      </c>
      <c r="AJ19" s="17" t="s">
        <v>45</v>
      </c>
      <c r="AK19" s="17" t="s">
        <v>45</v>
      </c>
      <c r="AL19" s="78" t="s">
        <v>2305</v>
      </c>
      <c r="AM19" s="79"/>
      <c r="AN19" s="79"/>
      <c r="AO19" s="79"/>
      <c r="AP19" s="80"/>
    </row>
    <row r="20" spans="1:43" s="14" customFormat="1" ht="39.75" customHeight="1" x14ac:dyDescent="0.4">
      <c r="A20" s="11">
        <v>15</v>
      </c>
      <c r="B20" s="11">
        <v>104</v>
      </c>
      <c r="C20" s="11" t="s">
        <v>79</v>
      </c>
      <c r="D20" s="13" t="s">
        <v>2451</v>
      </c>
      <c r="E20" s="33" t="s">
        <v>18</v>
      </c>
      <c r="F20" s="45" t="s">
        <v>2452</v>
      </c>
      <c r="G20" s="11" t="s">
        <v>43</v>
      </c>
      <c r="H20" s="11" t="s">
        <v>52</v>
      </c>
      <c r="I20" s="11" t="s">
        <v>84</v>
      </c>
      <c r="J20" s="11" t="s">
        <v>85</v>
      </c>
      <c r="K20" s="11" t="s">
        <v>60</v>
      </c>
      <c r="L20" s="11" t="s">
        <v>20</v>
      </c>
      <c r="M20" s="11" t="s">
        <v>45</v>
      </c>
      <c r="N20" s="11" t="s">
        <v>45</v>
      </c>
      <c r="O20" s="11" t="s">
        <v>23</v>
      </c>
      <c r="P20" s="11" t="s">
        <v>84</v>
      </c>
      <c r="Q20" s="11" t="s">
        <v>86</v>
      </c>
      <c r="R20" s="11">
        <v>750</v>
      </c>
      <c r="S20" s="40" t="s">
        <v>39</v>
      </c>
      <c r="T20" s="11">
        <v>900</v>
      </c>
      <c r="U20" s="11" t="s">
        <v>45</v>
      </c>
      <c r="V20" s="11" t="s">
        <v>84</v>
      </c>
      <c r="W20" s="11" t="s">
        <v>86</v>
      </c>
      <c r="X20" s="40" t="s">
        <v>60</v>
      </c>
      <c r="Y20" s="40" t="s">
        <v>87</v>
      </c>
      <c r="Z20" s="40" t="s">
        <v>2453</v>
      </c>
      <c r="AA20" s="40" t="s">
        <v>39</v>
      </c>
      <c r="AB20" s="12" t="s">
        <v>19</v>
      </c>
      <c r="AC20" s="11" t="s">
        <v>45</v>
      </c>
      <c r="AD20" s="11" t="s">
        <v>45</v>
      </c>
      <c r="AE20" s="11" t="s">
        <v>50</v>
      </c>
      <c r="AF20" s="11" t="s">
        <v>50</v>
      </c>
      <c r="AG20" s="13" t="s">
        <v>60</v>
      </c>
      <c r="AH20" s="13" t="s">
        <v>62</v>
      </c>
      <c r="AI20" s="13" t="s">
        <v>45</v>
      </c>
      <c r="AJ20" s="13" t="s">
        <v>45</v>
      </c>
      <c r="AK20" s="13" t="s">
        <v>23</v>
      </c>
      <c r="AL20" s="133" t="s">
        <v>2454</v>
      </c>
      <c r="AM20" s="134"/>
      <c r="AN20" s="134"/>
      <c r="AO20" s="134"/>
      <c r="AP20" s="135"/>
    </row>
    <row r="21" spans="1:43" s="10" customFormat="1" ht="43.5" customHeight="1" x14ac:dyDescent="0.4">
      <c r="A21" s="6">
        <v>15</v>
      </c>
      <c r="B21" s="6">
        <v>204</v>
      </c>
      <c r="C21" s="6" t="s">
        <v>79</v>
      </c>
      <c r="D21" s="18" t="s">
        <v>2455</v>
      </c>
      <c r="E21" s="34" t="s">
        <v>18</v>
      </c>
      <c r="F21" s="46" t="s">
        <v>2456</v>
      </c>
      <c r="G21" s="6" t="s">
        <v>43</v>
      </c>
      <c r="H21" s="6" t="s">
        <v>52</v>
      </c>
      <c r="I21" s="6" t="s">
        <v>84</v>
      </c>
      <c r="J21" s="6" t="s">
        <v>85</v>
      </c>
      <c r="K21" s="6" t="s">
        <v>60</v>
      </c>
      <c r="L21" s="6" t="s">
        <v>92</v>
      </c>
      <c r="M21" s="6" t="s">
        <v>45</v>
      </c>
      <c r="N21" s="6" t="s">
        <v>45</v>
      </c>
      <c r="O21" s="6" t="s">
        <v>45</v>
      </c>
      <c r="P21" s="6" t="s">
        <v>84</v>
      </c>
      <c r="Q21" s="6" t="s">
        <v>86</v>
      </c>
      <c r="R21" s="6">
        <v>750</v>
      </c>
      <c r="S21" s="6" t="s">
        <v>39</v>
      </c>
      <c r="T21" s="6">
        <v>900</v>
      </c>
      <c r="U21" s="6" t="s">
        <v>45</v>
      </c>
      <c r="V21" s="6" t="s">
        <v>84</v>
      </c>
      <c r="W21" s="6" t="s">
        <v>86</v>
      </c>
      <c r="X21" s="6" t="s">
        <v>60</v>
      </c>
      <c r="Y21" s="6" t="s">
        <v>87</v>
      </c>
      <c r="Z21" s="6" t="s">
        <v>2457</v>
      </c>
      <c r="AA21" s="6" t="s">
        <v>39</v>
      </c>
      <c r="AB21" s="15" t="s">
        <v>19</v>
      </c>
      <c r="AC21" s="16" t="s">
        <v>45</v>
      </c>
      <c r="AD21" s="16" t="s">
        <v>45</v>
      </c>
      <c r="AE21" s="16" t="s">
        <v>116</v>
      </c>
      <c r="AF21" s="16" t="s">
        <v>50</v>
      </c>
      <c r="AG21" s="17" t="s">
        <v>60</v>
      </c>
      <c r="AH21" s="17" t="s">
        <v>62</v>
      </c>
      <c r="AI21" s="17" t="s">
        <v>45</v>
      </c>
      <c r="AJ21" s="17" t="s">
        <v>45</v>
      </c>
      <c r="AK21" s="17" t="s">
        <v>45</v>
      </c>
      <c r="AL21" s="106" t="s">
        <v>2458</v>
      </c>
      <c r="AM21" s="107"/>
      <c r="AN21" s="107"/>
      <c r="AO21" s="107"/>
      <c r="AP21" s="108"/>
    </row>
    <row r="22" spans="1:43" s="14" customFormat="1" ht="36.75" customHeight="1" x14ac:dyDescent="0.4">
      <c r="A22" s="11">
        <v>15</v>
      </c>
      <c r="B22" s="11">
        <v>304</v>
      </c>
      <c r="C22" s="11" t="s">
        <v>79</v>
      </c>
      <c r="D22" s="13" t="s">
        <v>2359</v>
      </c>
      <c r="E22" s="33" t="s">
        <v>18</v>
      </c>
      <c r="F22" s="11" t="s">
        <v>2360</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87</v>
      </c>
      <c r="Z22" s="40" t="s">
        <v>2361</v>
      </c>
      <c r="AA22" s="40" t="s">
        <v>39</v>
      </c>
      <c r="AB22" s="12" t="s">
        <v>19</v>
      </c>
      <c r="AC22" s="11" t="s">
        <v>45</v>
      </c>
      <c r="AD22" s="11" t="s">
        <v>45</v>
      </c>
      <c r="AE22" s="11" t="s">
        <v>50</v>
      </c>
      <c r="AF22" s="11" t="s">
        <v>50</v>
      </c>
      <c r="AG22" s="13" t="s">
        <v>60</v>
      </c>
      <c r="AH22" s="13" t="s">
        <v>62</v>
      </c>
      <c r="AI22" s="13" t="s">
        <v>45</v>
      </c>
      <c r="AJ22" s="13" t="s">
        <v>45</v>
      </c>
      <c r="AK22" s="13" t="s">
        <v>45</v>
      </c>
      <c r="AL22" s="133" t="s">
        <v>2362</v>
      </c>
      <c r="AM22" s="134"/>
      <c r="AN22" s="134"/>
      <c r="AO22" s="134"/>
      <c r="AP22" s="135"/>
    </row>
    <row r="23" spans="1:43" s="10" customFormat="1" ht="47.25" customHeight="1" x14ac:dyDescent="0.4">
      <c r="A23" s="6">
        <v>15</v>
      </c>
      <c r="B23" s="6">
        <v>404</v>
      </c>
      <c r="C23" s="6" t="s">
        <v>79</v>
      </c>
      <c r="D23" s="18" t="s">
        <v>2363</v>
      </c>
      <c r="E23" s="34" t="s">
        <v>18</v>
      </c>
      <c r="F23" s="6" t="s">
        <v>2364</v>
      </c>
      <c r="G23" s="6" t="s">
        <v>43</v>
      </c>
      <c r="H23" s="6" t="s">
        <v>52</v>
      </c>
      <c r="I23" s="6" t="s">
        <v>84</v>
      </c>
      <c r="J23" s="6" t="s">
        <v>85</v>
      </c>
      <c r="K23" s="6" t="s">
        <v>19</v>
      </c>
      <c r="L23" s="6" t="s">
        <v>24</v>
      </c>
      <c r="M23" s="6" t="s">
        <v>45</v>
      </c>
      <c r="N23" s="6" t="s">
        <v>45</v>
      </c>
      <c r="O23" s="6" t="s">
        <v>23</v>
      </c>
      <c r="P23" s="6" t="s">
        <v>84</v>
      </c>
      <c r="Q23" s="6" t="s">
        <v>86</v>
      </c>
      <c r="R23" s="6">
        <v>750</v>
      </c>
      <c r="S23" s="6" t="s">
        <v>39</v>
      </c>
      <c r="T23" s="6">
        <v>900</v>
      </c>
      <c r="U23" s="6" t="s">
        <v>45</v>
      </c>
      <c r="V23" s="6" t="s">
        <v>84</v>
      </c>
      <c r="W23" s="6" t="s">
        <v>86</v>
      </c>
      <c r="X23" s="6" t="s">
        <v>60</v>
      </c>
      <c r="Y23" s="6" t="s">
        <v>531</v>
      </c>
      <c r="Z23" s="6"/>
      <c r="AA23" s="6" t="s">
        <v>65</v>
      </c>
      <c r="AB23" s="15" t="s">
        <v>19</v>
      </c>
      <c r="AC23" s="16" t="s">
        <v>45</v>
      </c>
      <c r="AD23" s="16" t="s">
        <v>45</v>
      </c>
      <c r="AE23" s="16" t="s">
        <v>116</v>
      </c>
      <c r="AF23" s="16" t="s">
        <v>50</v>
      </c>
      <c r="AG23" s="17" t="s">
        <v>60</v>
      </c>
      <c r="AH23" s="17" t="s">
        <v>62</v>
      </c>
      <c r="AI23" s="17" t="s">
        <v>45</v>
      </c>
      <c r="AJ23" s="17" t="s">
        <v>45</v>
      </c>
      <c r="AK23" s="17" t="s">
        <v>45</v>
      </c>
      <c r="AL23" s="106" t="s">
        <v>2365</v>
      </c>
      <c r="AM23" s="107"/>
      <c r="AN23" s="107"/>
      <c r="AO23" s="107"/>
      <c r="AP23" s="108"/>
    </row>
    <row r="24" spans="1:43" s="14" customFormat="1" ht="36.75" customHeight="1" x14ac:dyDescent="0.4">
      <c r="A24" s="11">
        <v>15</v>
      </c>
      <c r="B24" s="11">
        <v>504</v>
      </c>
      <c r="C24" s="11" t="s">
        <v>79</v>
      </c>
      <c r="D24" s="13" t="s">
        <v>2483</v>
      </c>
      <c r="E24" s="33" t="s">
        <v>18</v>
      </c>
      <c r="F24" s="45" t="s">
        <v>2484</v>
      </c>
      <c r="G24" s="11" t="s">
        <v>43</v>
      </c>
      <c r="H24" s="11" t="s">
        <v>52</v>
      </c>
      <c r="I24" s="11" t="s">
        <v>84</v>
      </c>
      <c r="J24" s="11" t="s">
        <v>85</v>
      </c>
      <c r="K24" s="11" t="s">
        <v>19</v>
      </c>
      <c r="L24" s="11" t="s">
        <v>20</v>
      </c>
      <c r="M24" s="11" t="s">
        <v>45</v>
      </c>
      <c r="N24" s="11" t="s">
        <v>45</v>
      </c>
      <c r="O24" s="11" t="s">
        <v>23</v>
      </c>
      <c r="P24" s="11" t="s">
        <v>84</v>
      </c>
      <c r="Q24" s="11" t="s">
        <v>86</v>
      </c>
      <c r="R24" s="11">
        <v>750</v>
      </c>
      <c r="S24" s="40" t="s">
        <v>39</v>
      </c>
      <c r="T24" s="11">
        <v>900</v>
      </c>
      <c r="U24" s="11" t="s">
        <v>45</v>
      </c>
      <c r="V24" s="11" t="s">
        <v>84</v>
      </c>
      <c r="W24" s="11" t="s">
        <v>86</v>
      </c>
      <c r="X24" s="40" t="s">
        <v>19</v>
      </c>
      <c r="Y24" s="40"/>
      <c r="Z24" s="40"/>
      <c r="AA24" s="40" t="s">
        <v>65</v>
      </c>
      <c r="AB24" s="12" t="s">
        <v>19</v>
      </c>
      <c r="AC24" s="11" t="s">
        <v>45</v>
      </c>
      <c r="AD24" s="11" t="s">
        <v>45</v>
      </c>
      <c r="AE24" s="11" t="s">
        <v>50</v>
      </c>
      <c r="AF24" s="11" t="s">
        <v>50</v>
      </c>
      <c r="AG24" s="13" t="s">
        <v>60</v>
      </c>
      <c r="AH24" s="13" t="s">
        <v>62</v>
      </c>
      <c r="AI24" s="13" t="s">
        <v>45</v>
      </c>
      <c r="AJ24" s="13" t="s">
        <v>45</v>
      </c>
      <c r="AK24" s="13" t="s">
        <v>45</v>
      </c>
      <c r="AL24" s="133" t="s">
        <v>2485</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所有→20戸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既存→2戸</v>
      </c>
      <c r="L25" s="20" t="str">
        <f>"普通便座→"&amp;COUNTIF(L5:L24,"普通便座")&amp;"戸"</f>
        <v>普通便座→1戸</v>
      </c>
      <c r="M25" s="20" t="str">
        <f>"有→"&amp;COUNTIF(M5:M24,"有")&amp;"戸"</f>
        <v>有→0戸</v>
      </c>
      <c r="N25" s="20" t="str">
        <f>"有→"&amp;COUNTIF(N5:N24,"有")&amp;"戸"</f>
        <v>有→0戸</v>
      </c>
      <c r="O25" s="20" t="str">
        <f>"有→"&amp;COUNTIF(O5:O24,"有")&amp;"戸"</f>
        <v>有→16戸</v>
      </c>
      <c r="P25" s="20" t="str">
        <f>"クロス→"&amp;COUNTIF(P5:P24,"クロス")&amp;"戸"</f>
        <v>クロス→19戸</v>
      </c>
      <c r="Q25" s="20" t="str">
        <f>"CF→"&amp;COUNTIF(Q5:Q24,"CF")&amp;"戸"</f>
        <v>CF→20戸</v>
      </c>
      <c r="R25" s="20" t="str">
        <f>"1000→"&amp;COUNTIF(R5:R24,"1000")&amp;"戸"</f>
        <v>1000→0戸</v>
      </c>
      <c r="S25" s="20" t="str">
        <f>"可→"&amp;COUNTIF(S5:S24,"可")&amp;"戸"</f>
        <v>可→20戸</v>
      </c>
      <c r="T25" s="20" t="str">
        <f>"900→"&amp;COUNTIF(T5:T24,"900")&amp;"戸"</f>
        <v>900→20戸</v>
      </c>
      <c r="U25" s="20" t="str">
        <f>"有→"&amp;COUNTIF(U5:U24,"有")&amp;"戸"</f>
        <v>有→0戸</v>
      </c>
      <c r="V25" s="20" t="str">
        <f>"クロス→"&amp;COUNTIF(V5:V24,"クロス")&amp;"戸"</f>
        <v>クロス→19戸</v>
      </c>
      <c r="W25" s="20" t="str">
        <f>"CF→"&amp;COUNTIF(W5:W24,"CF")&amp;"戸"</f>
        <v>CF→20戸</v>
      </c>
      <c r="X25" s="20" t="str">
        <f>"既存→"&amp;COUNTIF(X5:X24,"既存")&amp;"戸"</f>
        <v>既存→2戸</v>
      </c>
      <c r="Y25" s="20" t="str">
        <f>"TOTO→"&amp;COUNTIF(Y5:Y24,"TOTO")&amp;"戸"</f>
        <v>TOTO→13戸</v>
      </c>
      <c r="Z25" s="130">
        <f>-COUNTA(Z5:Z24)</f>
        <v>-14</v>
      </c>
      <c r="AA25" s="20" t="str">
        <f>"可→"&amp;COUNTIF(AA5:AA24,"可")&amp;"戸"</f>
        <v>可→17戸</v>
      </c>
      <c r="AB25" s="20" t="str">
        <f>"既存→"&amp;COUNTIF(AB5:AB24,"既存")&amp;"戸"</f>
        <v>既存→9戸</v>
      </c>
      <c r="AC25" s="130">
        <f>COUNTIF(AC5:AC24,"有")</f>
        <v>1</v>
      </c>
      <c r="AD25" s="130">
        <f>COUNTIF(AD5:AD24,"有")</f>
        <v>10</v>
      </c>
      <c r="AE25" s="20" t="str">
        <f>"ポリ板→"&amp;COUNTIF(AE5:AE24,"ポリ板")&amp;"戸"</f>
        <v>ポリ板→15戸</v>
      </c>
      <c r="AF25" s="20" t="str">
        <f>"ポリ板→"&amp;COUNTIF(AF5:AF24,"ポリ板")&amp;"戸"</f>
        <v>ポリ板→20戸</v>
      </c>
      <c r="AG25" s="20" t="str">
        <f>"既存→"&amp;COUNTIF(AG5:AG24,"既存")&amp;"戸"</f>
        <v>既存→0戸</v>
      </c>
      <c r="AH25" s="20" t="str">
        <f>"洗面所→"&amp;COUNTIF(AH5:AH24,"洗面所")&amp;"戸"</f>
        <v>洗面所→20戸</v>
      </c>
      <c r="AI25" s="130">
        <f>COUNTIF(AI5:AI24,"有")</f>
        <v>0</v>
      </c>
      <c r="AJ25" s="130">
        <f>COUNTIF(AJ5:AJ24,"有")</f>
        <v>0</v>
      </c>
      <c r="AK25" s="130">
        <f>COUNTIF(AK5:AK24,"有")</f>
        <v>3</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暖房便座→4戸</v>
      </c>
      <c r="M26" s="35" t="str">
        <f>"無→"&amp;COUNTIF(M5:M24,"無")&amp;"戸"</f>
        <v>無→20戸</v>
      </c>
      <c r="N26" s="35" t="str">
        <f>"無→"&amp;COUNTIF(N5:N24,"無")&amp;"戸"</f>
        <v>無→20戸</v>
      </c>
      <c r="O26" s="35" t="str">
        <f>"無→"&amp;COUNTIF(O5:O24,"無")&amp;"戸"</f>
        <v>無→4戸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リフォーム済み→18戸</v>
      </c>
      <c r="Y26" s="35" t="str">
        <f>"LIXIL→"&amp;COUNTIF(Y5:Y24,"LIXIL")&amp;"戸"</f>
        <v>LIXIL→0戸</v>
      </c>
      <c r="Z26" s="131"/>
      <c r="AA26" s="35" t="str">
        <f>"不可→"&amp;COUNTIF(AA5:AA24,"不可")&amp;"戸"</f>
        <v>不可→3戸</v>
      </c>
      <c r="AB26" s="36" t="str">
        <f>"システム→"&amp;COUNTIF(AB5:AB24,"システム")&amp;"戸"</f>
        <v>システム→11戸</v>
      </c>
      <c r="AC26" s="131"/>
      <c r="AD26" s="131"/>
      <c r="AE26" s="35" t="str">
        <f>"SUS→"&amp;COUNTIF(AE5:AE24,"SUS")&amp;"戸"</f>
        <v>SUS→5戸</v>
      </c>
      <c r="AF26" s="35" t="str">
        <f>"SUS→"&amp;COUNTIF(AF5:AF24,"SUS")&amp;"戸"</f>
        <v>SUS→0戸</v>
      </c>
      <c r="AG26" s="35" t="str">
        <f>"リフォーム済み→"&amp;COUNTIF(AG5:AG24,"リフォーム済み")&amp;"戸"</f>
        <v>リフォーム済み→20戸</v>
      </c>
      <c r="AH26" s="35" t="str">
        <f>"ベランダ→"&amp;COUNTIF(AH5:AH24,"ベランダ")&amp;"戸"</f>
        <v>ベランダ→0戸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WL→15戸</v>
      </c>
      <c r="M27" s="23"/>
      <c r="N27" s="23"/>
      <c r="O27" s="23"/>
      <c r="P27" s="35" t="str">
        <f>"塗装→"&amp;COUNTIF(P5:P24,"塗装")&amp;"戸"</f>
        <v>塗装→0戸</v>
      </c>
      <c r="Q27" s="35" t="str">
        <f>"フローリング→"&amp;COUNTIF(Q5:Q24,"フローリング")&amp;"戸"</f>
        <v>フローリング→0戸</v>
      </c>
      <c r="R27" s="35" t="str">
        <f>"750→"&amp;COUNTIF(R5:R24,"750")&amp;"戸"</f>
        <v>750→15戸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空家→0戸</v>
      </c>
      <c r="H28" s="39"/>
      <c r="I28" s="28"/>
      <c r="J28" s="27"/>
      <c r="K28" s="35" t="str">
        <f>"一体型→"&amp;COUNTIF(K5:K24,"一体型")&amp;"戸"</f>
        <v>一体型→0戸</v>
      </c>
      <c r="L28" s="28"/>
      <c r="M28" s="28"/>
      <c r="N28" s="28"/>
      <c r="O28" s="28"/>
      <c r="P28" s="28"/>
      <c r="Q28" s="28"/>
      <c r="R28" s="35" t="str">
        <f>"740→"&amp;COUNTIF(R5:R24,"740")&amp;"戸"</f>
        <v>740→4戸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FB822244-F563-4CF8-81D5-57D2758638F2}"/>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75EEB3FC-0AFC-4498-98DC-D0787B202637}"/>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2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5638FA7A-E4F8-4434-A508-A149CD7EDEF1}">
          <x14:formula1>
            <xm:f>Sheet1!$C$9:$C$11</xm:f>
          </x14:formula1>
          <xm:sqref>W24 W5:W19 Q5:Q19 Q24</xm:sqref>
        </x14:dataValidation>
        <x14:dataValidation type="list" allowBlank="1" showInputMessage="1" showErrorMessage="1" xr:uid="{16351996-63F9-4CBE-9250-CBB4E2D60779}">
          <x14:formula1>
            <xm:f>Sheet1!$A$1:$A$4</xm:f>
          </x14:formula1>
          <xm:sqref>G5:G19 G24</xm:sqref>
        </x14:dataValidation>
        <x14:dataValidation type="list" allowBlank="1" showInputMessage="1" showErrorMessage="1" xr:uid="{142798F6-2517-427E-B48C-C92204593C49}">
          <x14:formula1>
            <xm:f>Sheet1!$A$6:$A$7</xm:f>
          </x14:formula1>
          <xm:sqref>H5:H19 H24</xm:sqref>
        </x14:dataValidation>
        <x14:dataValidation type="list" allowBlank="1" showInputMessage="1" showErrorMessage="1" xr:uid="{B716A422-D4B8-491F-9A66-FD043DFB0C5A}">
          <x14:formula1>
            <xm:f>Sheet1!$A$9:$A$11</xm:f>
          </x14:formula1>
          <xm:sqref>P24 V24 P5 V5 V7:V19 P7:P19 I5:I19 I24</xm:sqref>
        </x14:dataValidation>
        <x14:dataValidation type="list" allowBlank="1" showInputMessage="1" showErrorMessage="1" xr:uid="{16065C4B-EDE2-4112-91CD-A6C8D05DA97E}">
          <x14:formula1>
            <xm:f>Sheet1!$D$1:$D$3</xm:f>
          </x14:formula1>
          <xm:sqref>J5:J19 J24</xm:sqref>
        </x14:dataValidation>
        <x14:dataValidation type="list" allowBlank="1" showInputMessage="1" showErrorMessage="1" xr:uid="{AB8E471E-EC78-44FD-BD58-05AF1FB22D3F}">
          <x14:formula1>
            <xm:f>Sheet1!$G$9:$G$12</xm:f>
          </x14:formula1>
          <xm:sqref>K5:K19 K24</xm:sqref>
        </x14:dataValidation>
        <x14:dataValidation type="list" allowBlank="1" showInputMessage="1" showErrorMessage="1" xr:uid="{0C7D6948-D957-420A-9B59-04126DCE5B0D}">
          <x14:formula1>
            <xm:f>Sheet1!$E$9:$E$11</xm:f>
          </x14:formula1>
          <xm:sqref>L5:L19 L24</xm:sqref>
        </x14:dataValidation>
        <x14:dataValidation type="list" allowBlank="1" showInputMessage="1" showErrorMessage="1" xr:uid="{5A08E8A2-4792-4B6D-AD55-9DC37B6467C2}">
          <x14:formula1>
            <xm:f>Sheet1!$C$6:$C$7</xm:f>
          </x14:formula1>
          <xm:sqref>AK17 U24 M24:O24 AJ5:AJ7 AC5:AD19 AK5:AK14 AJ9:AJ14 M5:O19 U5:U19 AC24 AD20:AD24</xm:sqref>
        </x14:dataValidation>
        <x14:dataValidation type="list" allowBlank="1" showInputMessage="1" showErrorMessage="1" xr:uid="{FA2722E0-19F9-4F07-97AB-3302CCD91FD8}">
          <x14:formula1>
            <xm:f>Sheet1!$A$17:$A$20</xm:f>
          </x14:formula1>
          <xm:sqref>R6 R8 R10:R15 R17:R19 R24</xm:sqref>
        </x14:dataValidation>
        <x14:dataValidation type="list" allowBlank="1" showInputMessage="1" showErrorMessage="1" xr:uid="{A97D59F4-7725-4BB9-AC24-D1F6F09BBA61}">
          <x14:formula1>
            <xm:f>Sheet1!$C$17:$C$20</xm:f>
          </x14:formula1>
          <xm:sqref>T5:T19 T24</xm:sqref>
        </x14:dataValidation>
        <x14:dataValidation type="list" allowBlank="1" showInputMessage="1" showErrorMessage="1" xr:uid="{D8EBEC1D-D58F-49FE-9BF5-1DF1B5FFDA3F}">
          <x14:formula1>
            <xm:f>Sheet1!$A$13:$A$15</xm:f>
          </x14:formula1>
          <xm:sqref>AB5:AB19 AB24</xm:sqref>
        </x14:dataValidation>
        <x14:dataValidation type="list" allowBlank="1" showInputMessage="1" showErrorMessage="1" xr:uid="{B488655D-91A5-419E-ADB8-A5F5159D9AF5}">
          <x14:formula1>
            <xm:f>Sheet1!$G$1:$G$4</xm:f>
          </x14:formula1>
          <xm:sqref>AE5:AF19 AE24:AF24</xm:sqref>
        </x14:dataValidation>
        <x14:dataValidation type="list" allowBlank="1" showInputMessage="1" showErrorMessage="1" xr:uid="{44AFA5A6-8971-4398-8B84-F6E7F1EF938A}">
          <x14:formula1>
            <xm:f>Sheet1!$E$17:$E$18</xm:f>
          </x14:formula1>
          <xm:sqref>AG5:AG19 AG24</xm:sqref>
        </x14:dataValidation>
        <x14:dataValidation type="list" allowBlank="1" showInputMessage="1" showErrorMessage="1" xr:uid="{6EFA7442-3F6C-4E65-9F9E-E11AD9A372A1}">
          <x14:formula1>
            <xm:f>Sheet1!$G$17:$G$18</xm:f>
          </x14:formula1>
          <xm:sqref>AH5:AH19 AH24</xm:sqref>
        </x14:dataValidation>
        <x14:dataValidation type="list" allowBlank="1" showInputMessage="1" showErrorMessage="1" xr:uid="{08F96436-99B5-43C1-99B5-843BDF5A9BC1}">
          <x14:formula1>
            <xm:f>Sheet1!$I$1:$I$2</xm:f>
          </x14:formula1>
          <xm:sqref>X5:X19 X24</xm:sqref>
        </x14:dataValidation>
        <x14:dataValidation type="list" allowBlank="1" showInputMessage="1" showErrorMessage="1" xr:uid="{7281DCE1-376E-43E1-A390-F6DFB4136881}">
          <x14:formula1>
            <xm:f>Sheet1!$G$6:$G$7</xm:f>
          </x14:formula1>
          <xm:sqref>AA24 AA5:AA19 S5:S19 S24</xm:sqref>
        </x14:dataValidation>
        <x14:dataValidation type="list" allowBlank="1" showInputMessage="1" showErrorMessage="1" xr:uid="{316E4933-3773-43AC-B336-338CDBC7FA18}">
          <x14:formula1>
            <xm:f>Sheet1!$C$6:$C$8</xm:f>
          </x14:formula1>
          <xm:sqref>AJ18:AK19 AJ8 AJ15:AK16 AI5:AI19 AI24:AK24 AJ17</xm:sqref>
        </x14:dataValidation>
        <x14:dataValidation type="list" allowBlank="1" showInputMessage="1" showErrorMessage="1" xr:uid="{E9531AF7-5A89-4949-A16B-A96D12BB2B67}">
          <x14:formula1>
            <xm:f>Sheet1!$I$9:$I$13</xm:f>
          </x14:formula1>
          <xm:sqref>Y5:Y7 Y9:Y19 Y24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3AFF3-5CF8-424A-9960-1F4FB1A3F3A6}">
  <sheetPr codeName="Sheet16">
    <tabColor rgb="FF92D050"/>
  </sheetPr>
  <dimension ref="A1:AR29"/>
  <sheetViews>
    <sheetView view="pageBreakPreview" zoomScaleNormal="40" zoomScaleSheetLayoutView="70" workbookViewId="0">
      <pane xSplit="5" ySplit="4" topLeftCell="F5" activePane="bottomRight" state="frozen"/>
      <selection activeCell="N11" sqref="N11"/>
      <selection pane="topRight" activeCell="N11" sqref="N11"/>
      <selection pane="bottomLeft" activeCell="N11" sqref="N11"/>
      <selection pane="bottomRight" activeCell="AI20" sqref="AI2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15" customHeight="1" x14ac:dyDescent="0.4">
      <c r="A5" s="6">
        <v>16</v>
      </c>
      <c r="B5" s="6">
        <v>101</v>
      </c>
      <c r="C5" s="6" t="s">
        <v>79</v>
      </c>
      <c r="D5" s="18" t="s">
        <v>2306</v>
      </c>
      <c r="E5" s="32" t="s">
        <v>18</v>
      </c>
      <c r="F5" s="6" t="s">
        <v>2307</v>
      </c>
      <c r="G5" s="6" t="s">
        <v>43</v>
      </c>
      <c r="H5" s="6" t="s">
        <v>52</v>
      </c>
      <c r="I5" s="6" t="s">
        <v>84</v>
      </c>
      <c r="J5" s="6" t="s">
        <v>85</v>
      </c>
      <c r="K5" s="6" t="s">
        <v>361</v>
      </c>
      <c r="L5" s="6" t="s">
        <v>92</v>
      </c>
      <c r="M5" s="6" t="s">
        <v>45</v>
      </c>
      <c r="N5" s="6" t="s">
        <v>45</v>
      </c>
      <c r="O5" s="6" t="s">
        <v>23</v>
      </c>
      <c r="P5" s="6" t="s">
        <v>84</v>
      </c>
      <c r="Q5" s="6" t="s">
        <v>86</v>
      </c>
      <c r="R5" s="6">
        <v>750</v>
      </c>
      <c r="S5" s="16" t="s">
        <v>39</v>
      </c>
      <c r="T5" s="6">
        <v>900</v>
      </c>
      <c r="U5" s="6" t="s">
        <v>45</v>
      </c>
      <c r="V5" s="6" t="s">
        <v>84</v>
      </c>
      <c r="W5" s="6" t="s">
        <v>86</v>
      </c>
      <c r="X5" s="16" t="s">
        <v>60</v>
      </c>
      <c r="Y5" s="16" t="s">
        <v>87</v>
      </c>
      <c r="Z5" s="16" t="s">
        <v>2308</v>
      </c>
      <c r="AA5" s="16" t="s">
        <v>39</v>
      </c>
      <c r="AB5" s="7" t="s">
        <v>88</v>
      </c>
      <c r="AC5" s="8" t="s">
        <v>23</v>
      </c>
      <c r="AD5" s="8" t="s">
        <v>23</v>
      </c>
      <c r="AE5" s="8" t="s">
        <v>50</v>
      </c>
      <c r="AF5" s="8" t="s">
        <v>50</v>
      </c>
      <c r="AG5" s="17" t="s">
        <v>60</v>
      </c>
      <c r="AH5" s="17" t="s">
        <v>62</v>
      </c>
      <c r="AI5" s="17" t="s">
        <v>241</v>
      </c>
      <c r="AJ5" s="17" t="s">
        <v>45</v>
      </c>
      <c r="AK5" s="17" t="s">
        <v>45</v>
      </c>
      <c r="AL5" s="140" t="s">
        <v>2309</v>
      </c>
      <c r="AM5" s="141"/>
      <c r="AN5" s="141"/>
      <c r="AO5" s="141"/>
      <c r="AP5" s="142"/>
    </row>
    <row r="6" spans="1:44" s="14" customFormat="1" ht="39" customHeight="1" x14ac:dyDescent="0.4">
      <c r="A6" s="11">
        <v>16</v>
      </c>
      <c r="B6" s="11">
        <v>201</v>
      </c>
      <c r="C6" s="11" t="s">
        <v>79</v>
      </c>
      <c r="D6" s="13" t="s">
        <v>2714</v>
      </c>
      <c r="E6" s="33" t="s">
        <v>18</v>
      </c>
      <c r="F6" s="11" t="s">
        <v>2715</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2717</v>
      </c>
      <c r="AA6" s="40" t="s">
        <v>39</v>
      </c>
      <c r="AB6" s="12" t="s">
        <v>88</v>
      </c>
      <c r="AC6" s="11" t="s">
        <v>45</v>
      </c>
      <c r="AD6" s="11" t="s">
        <v>23</v>
      </c>
      <c r="AE6" s="11" t="s">
        <v>50</v>
      </c>
      <c r="AF6" s="11" t="s">
        <v>50</v>
      </c>
      <c r="AG6" s="13" t="s">
        <v>60</v>
      </c>
      <c r="AH6" s="13" t="s">
        <v>62</v>
      </c>
      <c r="AI6" s="13" t="s">
        <v>45</v>
      </c>
      <c r="AJ6" s="13" t="s">
        <v>45</v>
      </c>
      <c r="AK6" s="13" t="s">
        <v>45</v>
      </c>
      <c r="AL6" s="133" t="s">
        <v>2716</v>
      </c>
      <c r="AM6" s="134"/>
      <c r="AN6" s="134"/>
      <c r="AO6" s="134"/>
      <c r="AP6" s="135"/>
    </row>
    <row r="7" spans="1:44" s="10" customFormat="1" ht="36.75" customHeight="1" x14ac:dyDescent="0.4">
      <c r="A7" s="6">
        <v>16</v>
      </c>
      <c r="B7" s="6">
        <v>301</v>
      </c>
      <c r="C7" s="6" t="s">
        <v>79</v>
      </c>
      <c r="D7" s="18" t="s">
        <v>2286</v>
      </c>
      <c r="E7" s="34" t="s">
        <v>18</v>
      </c>
      <c r="F7" s="6" t="s">
        <v>2287</v>
      </c>
      <c r="G7" s="6" t="s">
        <v>43</v>
      </c>
      <c r="H7" s="6" t="s">
        <v>52</v>
      </c>
      <c r="I7" s="6" t="s">
        <v>84</v>
      </c>
      <c r="J7" s="6" t="s">
        <v>85</v>
      </c>
      <c r="K7" s="6" t="s">
        <v>60</v>
      </c>
      <c r="L7" s="6" t="s">
        <v>92</v>
      </c>
      <c r="M7" s="6" t="s">
        <v>45</v>
      </c>
      <c r="N7" s="6" t="s">
        <v>45</v>
      </c>
      <c r="O7" s="6" t="s">
        <v>23</v>
      </c>
      <c r="P7" s="6" t="s">
        <v>84</v>
      </c>
      <c r="Q7" s="6" t="s">
        <v>86</v>
      </c>
      <c r="R7" s="6">
        <v>750</v>
      </c>
      <c r="S7" s="6" t="s">
        <v>39</v>
      </c>
      <c r="T7" s="6">
        <v>900</v>
      </c>
      <c r="U7" s="6" t="s">
        <v>45</v>
      </c>
      <c r="V7" s="6" t="s">
        <v>84</v>
      </c>
      <c r="W7" s="6" t="s">
        <v>86</v>
      </c>
      <c r="X7" s="6" t="s">
        <v>60</v>
      </c>
      <c r="Y7" s="6" t="s">
        <v>141</v>
      </c>
      <c r="Z7" s="6"/>
      <c r="AA7" s="6" t="s">
        <v>39</v>
      </c>
      <c r="AB7" s="15" t="s">
        <v>88</v>
      </c>
      <c r="AC7" s="16" t="s">
        <v>45</v>
      </c>
      <c r="AD7" s="16" t="s">
        <v>45</v>
      </c>
      <c r="AE7" s="16" t="s">
        <v>116</v>
      </c>
      <c r="AF7" s="16" t="s">
        <v>50</v>
      </c>
      <c r="AG7" s="17" t="s">
        <v>60</v>
      </c>
      <c r="AH7" s="17" t="s">
        <v>62</v>
      </c>
      <c r="AI7" s="17" t="s">
        <v>45</v>
      </c>
      <c r="AJ7" s="17" t="s">
        <v>45</v>
      </c>
      <c r="AK7" s="17" t="s">
        <v>45</v>
      </c>
      <c r="AL7" s="106" t="s">
        <v>2288</v>
      </c>
      <c r="AM7" s="107"/>
      <c r="AN7" s="107"/>
      <c r="AO7" s="107"/>
      <c r="AP7" s="108"/>
    </row>
    <row r="8" spans="1:44" s="14" customFormat="1" ht="15" customHeight="1" x14ac:dyDescent="0.4">
      <c r="A8" s="11">
        <v>16</v>
      </c>
      <c r="B8" s="11">
        <v>401</v>
      </c>
      <c r="C8" s="11" t="s">
        <v>79</v>
      </c>
      <c r="D8" s="13" t="s">
        <v>2283</v>
      </c>
      <c r="E8" s="33" t="s">
        <v>18</v>
      </c>
      <c r="F8" s="11" t="s">
        <v>2284</v>
      </c>
      <c r="G8" s="11" t="s">
        <v>43</v>
      </c>
      <c r="H8" s="11" t="s">
        <v>52</v>
      </c>
      <c r="I8" s="11" t="s">
        <v>84</v>
      </c>
      <c r="J8" s="11" t="s">
        <v>85</v>
      </c>
      <c r="K8" s="11" t="s">
        <v>19</v>
      </c>
      <c r="L8" s="11" t="s">
        <v>24</v>
      </c>
      <c r="M8" s="11" t="s">
        <v>45</v>
      </c>
      <c r="N8" s="11" t="s">
        <v>45</v>
      </c>
      <c r="O8" s="11" t="s">
        <v>23</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50</v>
      </c>
      <c r="AF8" s="11" t="s">
        <v>50</v>
      </c>
      <c r="AG8" s="13" t="s">
        <v>60</v>
      </c>
      <c r="AH8" s="13" t="s">
        <v>62</v>
      </c>
      <c r="AI8" s="13" t="s">
        <v>45</v>
      </c>
      <c r="AJ8" s="13" t="s">
        <v>45</v>
      </c>
      <c r="AK8" s="13" t="s">
        <v>45</v>
      </c>
      <c r="AL8" s="94" t="s">
        <v>2285</v>
      </c>
      <c r="AM8" s="95"/>
      <c r="AN8" s="95"/>
      <c r="AO8" s="95"/>
      <c r="AP8" s="96"/>
    </row>
    <row r="9" spans="1:44" s="10" customFormat="1" ht="15" customHeight="1" x14ac:dyDescent="0.4">
      <c r="A9" s="6">
        <v>16</v>
      </c>
      <c r="B9" s="6">
        <v>501</v>
      </c>
      <c r="C9" s="6" t="s">
        <v>79</v>
      </c>
      <c r="D9" s="18" t="s">
        <v>2321</v>
      </c>
      <c r="E9" s="34" t="s">
        <v>18</v>
      </c>
      <c r="F9" s="6" t="s">
        <v>2322</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60</v>
      </c>
      <c r="Y9" s="6" t="s">
        <v>87</v>
      </c>
      <c r="Z9" s="6" t="s">
        <v>2323</v>
      </c>
      <c r="AA9" s="6" t="s">
        <v>39</v>
      </c>
      <c r="AB9" s="15" t="s">
        <v>88</v>
      </c>
      <c r="AC9" s="16" t="s">
        <v>45</v>
      </c>
      <c r="AD9" s="16" t="s">
        <v>23</v>
      </c>
      <c r="AE9" s="16" t="s">
        <v>116</v>
      </c>
      <c r="AF9" s="16" t="s">
        <v>116</v>
      </c>
      <c r="AG9" s="17" t="s">
        <v>60</v>
      </c>
      <c r="AH9" s="17" t="s">
        <v>62</v>
      </c>
      <c r="AI9" s="17" t="s">
        <v>23</v>
      </c>
      <c r="AJ9" s="17" t="s">
        <v>45</v>
      </c>
      <c r="AK9" s="17" t="s">
        <v>45</v>
      </c>
      <c r="AL9" s="78" t="s">
        <v>2324</v>
      </c>
      <c r="AM9" s="79"/>
      <c r="AN9" s="79"/>
      <c r="AO9" s="79"/>
      <c r="AP9" s="80"/>
    </row>
    <row r="10" spans="1:44" s="14" customFormat="1" ht="15" customHeight="1" x14ac:dyDescent="0.4">
      <c r="A10" s="11">
        <v>16</v>
      </c>
      <c r="B10" s="11">
        <v>102</v>
      </c>
      <c r="C10" s="11" t="s">
        <v>79</v>
      </c>
      <c r="D10" s="13" t="s">
        <v>2310</v>
      </c>
      <c r="E10" s="33" t="s">
        <v>18</v>
      </c>
      <c r="F10" s="11" t="s">
        <v>2311</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900</v>
      </c>
      <c r="U10" s="11" t="s">
        <v>45</v>
      </c>
      <c r="V10" s="11" t="s">
        <v>84</v>
      </c>
      <c r="W10" s="11" t="s">
        <v>86</v>
      </c>
      <c r="X10" s="40" t="s">
        <v>60</v>
      </c>
      <c r="Y10" s="40" t="s">
        <v>87</v>
      </c>
      <c r="Z10" s="40" t="s">
        <v>2312</v>
      </c>
      <c r="AA10" s="40" t="s">
        <v>39</v>
      </c>
      <c r="AB10" s="12" t="s">
        <v>88</v>
      </c>
      <c r="AC10" s="11" t="s">
        <v>23</v>
      </c>
      <c r="AD10" s="11" t="s">
        <v>23</v>
      </c>
      <c r="AE10" s="11" t="s">
        <v>50</v>
      </c>
      <c r="AF10" s="11" t="s">
        <v>50</v>
      </c>
      <c r="AG10" s="13" t="s">
        <v>60</v>
      </c>
      <c r="AH10" s="13" t="s">
        <v>62</v>
      </c>
      <c r="AI10" s="13" t="s">
        <v>45</v>
      </c>
      <c r="AJ10" s="13" t="s">
        <v>45</v>
      </c>
      <c r="AK10" s="13" t="s">
        <v>45</v>
      </c>
      <c r="AL10" s="94" t="s">
        <v>2313</v>
      </c>
      <c r="AM10" s="95"/>
      <c r="AN10" s="95"/>
      <c r="AO10" s="95"/>
      <c r="AP10" s="96"/>
    </row>
    <row r="11" spans="1:44" s="10" customFormat="1" ht="15" customHeight="1" x14ac:dyDescent="0.4">
      <c r="A11" s="6">
        <v>16</v>
      </c>
      <c r="B11" s="6">
        <v>202</v>
      </c>
      <c r="C11" s="6" t="s">
        <v>79</v>
      </c>
      <c r="D11" s="18" t="s">
        <v>1493</v>
      </c>
      <c r="E11" s="34" t="s">
        <v>18</v>
      </c>
      <c r="F11" s="6" t="s">
        <v>1494</v>
      </c>
      <c r="G11" s="6" t="s">
        <v>43</v>
      </c>
      <c r="H11" s="6" t="s">
        <v>52</v>
      </c>
      <c r="I11" s="6" t="s">
        <v>84</v>
      </c>
      <c r="J11" s="6" t="s">
        <v>85</v>
      </c>
      <c r="K11" s="6" t="s">
        <v>19</v>
      </c>
      <c r="L11" s="6" t="s">
        <v>92</v>
      </c>
      <c r="M11" s="6" t="s">
        <v>45</v>
      </c>
      <c r="N11" s="6" t="s">
        <v>45</v>
      </c>
      <c r="O11" s="6" t="s">
        <v>23</v>
      </c>
      <c r="P11" s="6" t="s">
        <v>84</v>
      </c>
      <c r="Q11" s="6" t="s">
        <v>1495</v>
      </c>
      <c r="R11" s="6">
        <v>750</v>
      </c>
      <c r="S11" s="6" t="s">
        <v>39</v>
      </c>
      <c r="T11" s="6">
        <v>900</v>
      </c>
      <c r="U11" s="6" t="s">
        <v>45</v>
      </c>
      <c r="V11" s="6" t="s">
        <v>84</v>
      </c>
      <c r="W11" s="6" t="s">
        <v>86</v>
      </c>
      <c r="X11" s="6" t="s">
        <v>60</v>
      </c>
      <c r="Y11" s="6" t="s">
        <v>87</v>
      </c>
      <c r="Z11" s="6" t="s">
        <v>1496</v>
      </c>
      <c r="AA11" s="6" t="s">
        <v>65</v>
      </c>
      <c r="AB11" s="15" t="s">
        <v>88</v>
      </c>
      <c r="AC11" s="16" t="s">
        <v>45</v>
      </c>
      <c r="AD11" s="16" t="s">
        <v>23</v>
      </c>
      <c r="AE11" s="16" t="s">
        <v>50</v>
      </c>
      <c r="AF11" s="16" t="s">
        <v>50</v>
      </c>
      <c r="AG11" s="17" t="s">
        <v>60</v>
      </c>
      <c r="AH11" s="17" t="s">
        <v>62</v>
      </c>
      <c r="AI11" s="17" t="s">
        <v>23</v>
      </c>
      <c r="AJ11" s="17" t="s">
        <v>23</v>
      </c>
      <c r="AK11" s="17" t="s">
        <v>45</v>
      </c>
      <c r="AL11" s="78" t="s">
        <v>1497</v>
      </c>
      <c r="AM11" s="79"/>
      <c r="AN11" s="79"/>
      <c r="AO11" s="79"/>
      <c r="AP11" s="80"/>
    </row>
    <row r="12" spans="1:44" s="14" customFormat="1" ht="54" customHeight="1" x14ac:dyDescent="0.4">
      <c r="A12" s="11">
        <v>16</v>
      </c>
      <c r="B12" s="11">
        <v>302</v>
      </c>
      <c r="C12" s="11" t="s">
        <v>79</v>
      </c>
      <c r="D12" s="13" t="s">
        <v>2405</v>
      </c>
      <c r="E12" s="33" t="s">
        <v>18</v>
      </c>
      <c r="F12" s="13" t="s">
        <v>2405</v>
      </c>
      <c r="G12" s="11" t="s">
        <v>40</v>
      </c>
      <c r="H12" s="11" t="s">
        <v>52</v>
      </c>
      <c r="I12" s="11" t="s">
        <v>84</v>
      </c>
      <c r="J12" s="11" t="s">
        <v>85</v>
      </c>
      <c r="K12" s="11" t="s">
        <v>60</v>
      </c>
      <c r="L12" s="11" t="s">
        <v>92</v>
      </c>
      <c r="M12" s="11" t="s">
        <v>45</v>
      </c>
      <c r="N12" s="11" t="s">
        <v>45</v>
      </c>
      <c r="O12" s="11" t="s">
        <v>45</v>
      </c>
      <c r="P12" s="11" t="s">
        <v>84</v>
      </c>
      <c r="Q12" s="11" t="s">
        <v>86</v>
      </c>
      <c r="R12" s="11">
        <v>1500</v>
      </c>
      <c r="S12" s="40" t="s">
        <v>39</v>
      </c>
      <c r="T12" s="11">
        <v>900</v>
      </c>
      <c r="U12" s="11" t="s">
        <v>45</v>
      </c>
      <c r="V12" s="11" t="s">
        <v>84</v>
      </c>
      <c r="W12" s="11" t="s">
        <v>86</v>
      </c>
      <c r="X12" s="40" t="s">
        <v>60</v>
      </c>
      <c r="Y12" s="40" t="s">
        <v>141</v>
      </c>
      <c r="Z12" s="40"/>
      <c r="AA12" s="40" t="s">
        <v>39</v>
      </c>
      <c r="AB12" s="12" t="s">
        <v>88</v>
      </c>
      <c r="AC12" s="11" t="s">
        <v>45</v>
      </c>
      <c r="AD12" s="11" t="s">
        <v>45</v>
      </c>
      <c r="AE12" s="11" t="s">
        <v>50</v>
      </c>
      <c r="AF12" s="11" t="s">
        <v>50</v>
      </c>
      <c r="AG12" s="13" t="s">
        <v>60</v>
      </c>
      <c r="AH12" s="13" t="s">
        <v>62</v>
      </c>
      <c r="AI12" s="13" t="s">
        <v>45</v>
      </c>
      <c r="AJ12" s="13" t="s">
        <v>45</v>
      </c>
      <c r="AK12" s="13" t="s">
        <v>45</v>
      </c>
      <c r="AL12" s="133" t="s">
        <v>2406</v>
      </c>
      <c r="AM12" s="134"/>
      <c r="AN12" s="134"/>
      <c r="AO12" s="134"/>
      <c r="AP12" s="135"/>
    </row>
    <row r="13" spans="1:44" s="10" customFormat="1" ht="29.25" customHeight="1" x14ac:dyDescent="0.4">
      <c r="A13" s="6">
        <v>16</v>
      </c>
      <c r="B13" s="6">
        <v>402</v>
      </c>
      <c r="C13" s="6" t="s">
        <v>79</v>
      </c>
      <c r="D13" s="18" t="s">
        <v>2280</v>
      </c>
      <c r="E13" s="34" t="s">
        <v>18</v>
      </c>
      <c r="F13" s="46" t="s">
        <v>2281</v>
      </c>
      <c r="G13" s="6" t="s">
        <v>43</v>
      </c>
      <c r="H13" s="6" t="s">
        <v>52</v>
      </c>
      <c r="I13" s="6" t="s">
        <v>84</v>
      </c>
      <c r="J13" s="6" t="s">
        <v>85</v>
      </c>
      <c r="K13" s="6" t="s">
        <v>19</v>
      </c>
      <c r="L13" s="6" t="s">
        <v>92</v>
      </c>
      <c r="M13" s="6" t="s">
        <v>45</v>
      </c>
      <c r="N13" s="6" t="s">
        <v>45</v>
      </c>
      <c r="O13" s="6" t="s">
        <v>23</v>
      </c>
      <c r="P13" s="6" t="s">
        <v>84</v>
      </c>
      <c r="Q13" s="6" t="s">
        <v>86</v>
      </c>
      <c r="R13" s="6">
        <v>750</v>
      </c>
      <c r="S13" s="6" t="s">
        <v>39</v>
      </c>
      <c r="T13" s="6">
        <v>900</v>
      </c>
      <c r="U13" s="6" t="s">
        <v>45</v>
      </c>
      <c r="V13" s="6" t="s">
        <v>84</v>
      </c>
      <c r="W13" s="6" t="s">
        <v>86</v>
      </c>
      <c r="X13" s="6" t="s">
        <v>19</v>
      </c>
      <c r="Y13" s="6"/>
      <c r="Z13" s="6"/>
      <c r="AA13" s="6" t="s">
        <v>65</v>
      </c>
      <c r="AB13" s="15" t="s">
        <v>19</v>
      </c>
      <c r="AC13" s="16" t="s">
        <v>45</v>
      </c>
      <c r="AD13" s="16" t="s">
        <v>45</v>
      </c>
      <c r="AE13" s="16" t="s">
        <v>116</v>
      </c>
      <c r="AF13" s="16" t="s">
        <v>50</v>
      </c>
      <c r="AG13" s="17" t="s">
        <v>60</v>
      </c>
      <c r="AH13" s="17" t="s">
        <v>62</v>
      </c>
      <c r="AI13" s="17" t="s">
        <v>45</v>
      </c>
      <c r="AJ13" s="17" t="s">
        <v>23</v>
      </c>
      <c r="AK13" s="17" t="s">
        <v>45</v>
      </c>
      <c r="AL13" s="78" t="s">
        <v>2282</v>
      </c>
      <c r="AM13" s="79"/>
      <c r="AN13" s="79"/>
      <c r="AO13" s="79"/>
      <c r="AP13" s="80"/>
    </row>
    <row r="14" spans="1:44" s="14" customFormat="1" ht="15" customHeight="1" x14ac:dyDescent="0.4">
      <c r="A14" s="11">
        <v>16</v>
      </c>
      <c r="B14" s="11">
        <v>502</v>
      </c>
      <c r="C14" s="11" t="s">
        <v>79</v>
      </c>
      <c r="D14" s="13" t="s">
        <v>2732</v>
      </c>
      <c r="E14" s="33" t="s">
        <v>18</v>
      </c>
      <c r="F14" s="11" t="s">
        <v>2733</v>
      </c>
      <c r="G14" s="11" t="s">
        <v>43</v>
      </c>
      <c r="H14" s="11" t="s">
        <v>52</v>
      </c>
      <c r="I14" s="11" t="s">
        <v>84</v>
      </c>
      <c r="J14" s="11" t="s">
        <v>85</v>
      </c>
      <c r="K14" s="11" t="s">
        <v>60</v>
      </c>
      <c r="L14" s="11" t="s">
        <v>92</v>
      </c>
      <c r="M14" s="11" t="s">
        <v>45</v>
      </c>
      <c r="N14" s="11" t="s">
        <v>45</v>
      </c>
      <c r="O14" s="11" t="s">
        <v>23</v>
      </c>
      <c r="P14" s="11" t="s">
        <v>84</v>
      </c>
      <c r="Q14" s="11" t="s">
        <v>86</v>
      </c>
      <c r="R14" s="11">
        <v>740</v>
      </c>
      <c r="S14" s="40" t="s">
        <v>39</v>
      </c>
      <c r="T14" s="11">
        <v>900</v>
      </c>
      <c r="U14" s="11" t="s">
        <v>45</v>
      </c>
      <c r="V14" s="11" t="s">
        <v>84</v>
      </c>
      <c r="W14" s="11" t="s">
        <v>86</v>
      </c>
      <c r="X14" s="40" t="s">
        <v>60</v>
      </c>
      <c r="Y14" s="40" t="s">
        <v>87</v>
      </c>
      <c r="Z14" s="40" t="s">
        <v>2730</v>
      </c>
      <c r="AA14" s="40" t="s">
        <v>39</v>
      </c>
      <c r="AB14" s="12" t="s">
        <v>88</v>
      </c>
      <c r="AC14" s="11" t="s">
        <v>45</v>
      </c>
      <c r="AD14" s="11" t="s">
        <v>23</v>
      </c>
      <c r="AE14" s="11" t="s">
        <v>116</v>
      </c>
      <c r="AF14" s="11" t="s">
        <v>50</v>
      </c>
      <c r="AG14" s="13" t="s">
        <v>19</v>
      </c>
      <c r="AH14" s="13" t="s">
        <v>62</v>
      </c>
      <c r="AI14" s="13" t="s">
        <v>45</v>
      </c>
      <c r="AJ14" s="13" t="s">
        <v>23</v>
      </c>
      <c r="AK14" s="13" t="s">
        <v>45</v>
      </c>
      <c r="AL14" s="133" t="s">
        <v>2731</v>
      </c>
      <c r="AM14" s="134"/>
      <c r="AN14" s="134"/>
      <c r="AO14" s="134"/>
      <c r="AP14" s="135"/>
    </row>
    <row r="15" spans="1:44" s="10" customFormat="1" ht="35.25" customHeight="1" x14ac:dyDescent="0.4">
      <c r="A15" s="6">
        <v>16</v>
      </c>
      <c r="B15" s="6">
        <v>103</v>
      </c>
      <c r="C15" s="6" t="s">
        <v>79</v>
      </c>
      <c r="D15" s="18" t="s">
        <v>2407</v>
      </c>
      <c r="E15" s="34" t="s">
        <v>18</v>
      </c>
      <c r="F15" s="46" t="s">
        <v>2408</v>
      </c>
      <c r="G15" s="6" t="s">
        <v>43</v>
      </c>
      <c r="H15" s="6" t="s">
        <v>52</v>
      </c>
      <c r="I15" s="6" t="s">
        <v>84</v>
      </c>
      <c r="J15" s="6" t="s">
        <v>85</v>
      </c>
      <c r="K15" s="6" t="s">
        <v>60</v>
      </c>
      <c r="L15" s="6" t="s">
        <v>92</v>
      </c>
      <c r="M15" s="6" t="s">
        <v>45</v>
      </c>
      <c r="N15" s="6" t="s">
        <v>45</v>
      </c>
      <c r="O15" s="6" t="s">
        <v>23</v>
      </c>
      <c r="P15" s="6" t="s">
        <v>84</v>
      </c>
      <c r="Q15" s="6" t="s">
        <v>86</v>
      </c>
      <c r="R15" s="6">
        <v>740</v>
      </c>
      <c r="S15" s="6" t="s">
        <v>39</v>
      </c>
      <c r="T15" s="6">
        <v>900</v>
      </c>
      <c r="U15" s="6" t="s">
        <v>45</v>
      </c>
      <c r="V15" s="6" t="s">
        <v>84</v>
      </c>
      <c r="W15" s="6" t="s">
        <v>86</v>
      </c>
      <c r="X15" s="6" t="s">
        <v>60</v>
      </c>
      <c r="Y15" s="6" t="s">
        <v>141</v>
      </c>
      <c r="Z15" s="6"/>
      <c r="AA15" s="6" t="s">
        <v>39</v>
      </c>
      <c r="AB15" s="15" t="s">
        <v>19</v>
      </c>
      <c r="AC15" s="16" t="s">
        <v>45</v>
      </c>
      <c r="AD15" s="16" t="s">
        <v>23</v>
      </c>
      <c r="AE15" s="16" t="s">
        <v>50</v>
      </c>
      <c r="AF15" s="16" t="s">
        <v>50</v>
      </c>
      <c r="AG15" s="17" t="s">
        <v>60</v>
      </c>
      <c r="AH15" s="17" t="s">
        <v>62</v>
      </c>
      <c r="AI15" s="17" t="s">
        <v>23</v>
      </c>
      <c r="AJ15" s="17" t="s">
        <v>45</v>
      </c>
      <c r="AK15" s="17" t="s">
        <v>45</v>
      </c>
      <c r="AL15" s="106" t="s">
        <v>2409</v>
      </c>
      <c r="AM15" s="107"/>
      <c r="AN15" s="107"/>
      <c r="AO15" s="107"/>
      <c r="AP15" s="108"/>
    </row>
    <row r="16" spans="1:44" s="14" customFormat="1" ht="15" customHeight="1" x14ac:dyDescent="0.4">
      <c r="A16" s="11">
        <v>16</v>
      </c>
      <c r="B16" s="11">
        <v>203</v>
      </c>
      <c r="C16" s="11" t="s">
        <v>79</v>
      </c>
      <c r="D16" s="13" t="s">
        <v>2367</v>
      </c>
      <c r="E16" s="33" t="s">
        <v>18</v>
      </c>
      <c r="F16" s="11" t="s">
        <v>2366</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2368</v>
      </c>
      <c r="AA16" s="40" t="s">
        <v>39</v>
      </c>
      <c r="AB16" s="12" t="s">
        <v>88</v>
      </c>
      <c r="AC16" s="11" t="s">
        <v>23</v>
      </c>
      <c r="AD16" s="11" t="s">
        <v>45</v>
      </c>
      <c r="AE16" s="11" t="s">
        <v>50</v>
      </c>
      <c r="AF16" s="11" t="s">
        <v>50</v>
      </c>
      <c r="AG16" s="13" t="s">
        <v>60</v>
      </c>
      <c r="AH16" s="13" t="s">
        <v>62</v>
      </c>
      <c r="AI16" s="13" t="s">
        <v>45</v>
      </c>
      <c r="AJ16" s="13" t="s">
        <v>23</v>
      </c>
      <c r="AK16" s="13" t="s">
        <v>45</v>
      </c>
      <c r="AL16" s="133" t="s">
        <v>2369</v>
      </c>
      <c r="AM16" s="134"/>
      <c r="AN16" s="134"/>
      <c r="AO16" s="134"/>
      <c r="AP16" s="135"/>
    </row>
    <row r="17" spans="1:43" s="10" customFormat="1" ht="34.5" customHeight="1" x14ac:dyDescent="0.4">
      <c r="A17" s="6">
        <v>16</v>
      </c>
      <c r="B17" s="6">
        <v>303</v>
      </c>
      <c r="C17" s="6" t="s">
        <v>79</v>
      </c>
      <c r="D17" s="18" t="s">
        <v>2325</v>
      </c>
      <c r="E17" s="34" t="s">
        <v>18</v>
      </c>
      <c r="F17" s="6" t="s">
        <v>2326</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2327</v>
      </c>
      <c r="W17" s="6" t="s">
        <v>86</v>
      </c>
      <c r="X17" s="6" t="s">
        <v>60</v>
      </c>
      <c r="Y17" s="6" t="s">
        <v>531</v>
      </c>
      <c r="Z17" s="6"/>
      <c r="AA17" s="6" t="s">
        <v>65</v>
      </c>
      <c r="AB17" s="15" t="s">
        <v>88</v>
      </c>
      <c r="AC17" s="16" t="s">
        <v>45</v>
      </c>
      <c r="AD17" s="16" t="s">
        <v>23</v>
      </c>
      <c r="AE17" s="16" t="s">
        <v>50</v>
      </c>
      <c r="AF17" s="16" t="s">
        <v>50</v>
      </c>
      <c r="AG17" s="17" t="s">
        <v>60</v>
      </c>
      <c r="AH17" s="17" t="s">
        <v>62</v>
      </c>
      <c r="AI17" s="17" t="s">
        <v>241</v>
      </c>
      <c r="AJ17" s="17" t="s">
        <v>45</v>
      </c>
      <c r="AK17" s="17" t="s">
        <v>45</v>
      </c>
      <c r="AL17" s="106" t="s">
        <v>2328</v>
      </c>
      <c r="AM17" s="107"/>
      <c r="AN17" s="107"/>
      <c r="AO17" s="107"/>
      <c r="AP17" s="108"/>
    </row>
    <row r="18" spans="1:43" s="14" customFormat="1" ht="28.5" customHeight="1" x14ac:dyDescent="0.4">
      <c r="A18" s="11">
        <v>16</v>
      </c>
      <c r="B18" s="11">
        <v>403</v>
      </c>
      <c r="C18" s="11" t="s">
        <v>79</v>
      </c>
      <c r="D18" s="13" t="s">
        <v>2329</v>
      </c>
      <c r="E18" s="33" t="s">
        <v>18</v>
      </c>
      <c r="F18" s="11" t="s">
        <v>2330</v>
      </c>
      <c r="G18" s="11" t="s">
        <v>43</v>
      </c>
      <c r="H18" s="11" t="s">
        <v>30</v>
      </c>
      <c r="I18" s="11" t="s">
        <v>84</v>
      </c>
      <c r="J18" s="11" t="s">
        <v>85</v>
      </c>
      <c r="K18" s="11" t="s">
        <v>37</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c r="Z18" s="40"/>
      <c r="AA18" s="40" t="s">
        <v>39</v>
      </c>
      <c r="AB18" s="58"/>
      <c r="AC18" s="57"/>
      <c r="AD18" s="57"/>
      <c r="AE18" s="57"/>
      <c r="AF18" s="57"/>
      <c r="AG18" s="59"/>
      <c r="AH18" s="57"/>
      <c r="AI18" s="13" t="s">
        <v>45</v>
      </c>
      <c r="AJ18" s="13" t="s">
        <v>45</v>
      </c>
      <c r="AK18" s="13" t="s">
        <v>45</v>
      </c>
      <c r="AL18" s="133" t="s">
        <v>2331</v>
      </c>
      <c r="AM18" s="134"/>
      <c r="AN18" s="134"/>
      <c r="AO18" s="134"/>
      <c r="AP18" s="135"/>
    </row>
    <row r="19" spans="1:43" s="10" customFormat="1" ht="35.25" customHeight="1" x14ac:dyDescent="0.4">
      <c r="A19" s="6">
        <v>16</v>
      </c>
      <c r="B19" s="6">
        <v>503</v>
      </c>
      <c r="C19" s="6" t="s">
        <v>79</v>
      </c>
      <c r="D19" s="18" t="s">
        <v>2314</v>
      </c>
      <c r="E19" s="34" t="s">
        <v>18</v>
      </c>
      <c r="F19" s="6" t="s">
        <v>2315</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531</v>
      </c>
      <c r="Z19" s="6"/>
      <c r="AA19" s="6" t="s">
        <v>65</v>
      </c>
      <c r="AB19" s="15" t="s">
        <v>88</v>
      </c>
      <c r="AC19" s="16" t="s">
        <v>45</v>
      </c>
      <c r="AD19" s="16" t="s">
        <v>45</v>
      </c>
      <c r="AE19" s="16" t="s">
        <v>878</v>
      </c>
      <c r="AF19" s="16" t="s">
        <v>878</v>
      </c>
      <c r="AG19" s="17" t="s">
        <v>60</v>
      </c>
      <c r="AH19" s="17" t="s">
        <v>62</v>
      </c>
      <c r="AI19" s="17" t="s">
        <v>45</v>
      </c>
      <c r="AJ19" s="17" t="s">
        <v>45</v>
      </c>
      <c r="AK19" s="17" t="s">
        <v>45</v>
      </c>
      <c r="AL19" s="106" t="s">
        <v>2316</v>
      </c>
      <c r="AM19" s="107"/>
      <c r="AN19" s="107"/>
      <c r="AO19" s="107"/>
      <c r="AP19" s="108"/>
    </row>
    <row r="20" spans="1:43" s="14" customFormat="1" ht="40.5" customHeight="1" x14ac:dyDescent="0.4">
      <c r="A20" s="11">
        <v>16</v>
      </c>
      <c r="B20" s="11">
        <v>104</v>
      </c>
      <c r="C20" s="11" t="s">
        <v>79</v>
      </c>
      <c r="D20" s="13" t="s">
        <v>2345</v>
      </c>
      <c r="E20" s="33" t="s">
        <v>18</v>
      </c>
      <c r="F20" s="45" t="s">
        <v>2346</v>
      </c>
      <c r="G20" s="11" t="s">
        <v>43</v>
      </c>
      <c r="H20" s="11" t="s">
        <v>52</v>
      </c>
      <c r="I20" s="11" t="s">
        <v>84</v>
      </c>
      <c r="J20" s="11" t="s">
        <v>85</v>
      </c>
      <c r="K20" s="11" t="s">
        <v>60</v>
      </c>
      <c r="L20" s="11" t="s">
        <v>92</v>
      </c>
      <c r="M20" s="11" t="s">
        <v>45</v>
      </c>
      <c r="N20" s="11" t="s">
        <v>45</v>
      </c>
      <c r="O20" s="11" t="s">
        <v>45</v>
      </c>
      <c r="P20" s="11" t="s">
        <v>84</v>
      </c>
      <c r="Q20" s="11" t="s">
        <v>86</v>
      </c>
      <c r="R20" s="11">
        <v>750</v>
      </c>
      <c r="S20" s="40" t="s">
        <v>39</v>
      </c>
      <c r="T20" s="11">
        <v>900</v>
      </c>
      <c r="U20" s="11" t="s">
        <v>45</v>
      </c>
      <c r="V20" s="11" t="s">
        <v>84</v>
      </c>
      <c r="W20" s="11" t="s">
        <v>86</v>
      </c>
      <c r="X20" s="40" t="s">
        <v>60</v>
      </c>
      <c r="Y20" s="40" t="s">
        <v>87</v>
      </c>
      <c r="Z20" s="40" t="s">
        <v>2347</v>
      </c>
      <c r="AA20" s="40" t="s">
        <v>39</v>
      </c>
      <c r="AB20" s="12" t="s">
        <v>88</v>
      </c>
      <c r="AC20" s="11" t="s">
        <v>45</v>
      </c>
      <c r="AD20" s="11" t="s">
        <v>23</v>
      </c>
      <c r="AE20" s="11" t="s">
        <v>50</v>
      </c>
      <c r="AF20" s="11" t="s">
        <v>50</v>
      </c>
      <c r="AG20" s="13" t="s">
        <v>60</v>
      </c>
      <c r="AH20" s="13" t="s">
        <v>62</v>
      </c>
      <c r="AI20" s="13" t="s">
        <v>23</v>
      </c>
      <c r="AJ20" s="13" t="s">
        <v>45</v>
      </c>
      <c r="AK20" s="13" t="s">
        <v>45</v>
      </c>
      <c r="AL20" s="133" t="s">
        <v>2348</v>
      </c>
      <c r="AM20" s="134"/>
      <c r="AN20" s="134"/>
      <c r="AO20" s="134"/>
      <c r="AP20" s="135"/>
    </row>
    <row r="21" spans="1:43" s="10" customFormat="1" ht="45.75" customHeight="1" x14ac:dyDescent="0.4">
      <c r="A21" s="6">
        <v>16</v>
      </c>
      <c r="B21" s="6">
        <v>204</v>
      </c>
      <c r="C21" s="6" t="s">
        <v>79</v>
      </c>
      <c r="D21" s="18" t="s">
        <v>2332</v>
      </c>
      <c r="E21" s="34" t="s">
        <v>18</v>
      </c>
      <c r="F21" s="46" t="s">
        <v>2333</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2334</v>
      </c>
      <c r="AA21" s="6" t="s">
        <v>39</v>
      </c>
      <c r="AB21" s="15" t="s">
        <v>19</v>
      </c>
      <c r="AC21" s="16" t="s">
        <v>45</v>
      </c>
      <c r="AD21" s="16" t="s">
        <v>45</v>
      </c>
      <c r="AE21" s="16" t="s">
        <v>116</v>
      </c>
      <c r="AF21" s="16" t="s">
        <v>50</v>
      </c>
      <c r="AG21" s="17" t="s">
        <v>60</v>
      </c>
      <c r="AH21" s="17" t="s">
        <v>62</v>
      </c>
      <c r="AI21" s="17" t="s">
        <v>45</v>
      </c>
      <c r="AJ21" s="17" t="s">
        <v>23</v>
      </c>
      <c r="AK21" s="17" t="s">
        <v>23</v>
      </c>
      <c r="AL21" s="106" t="s">
        <v>2335</v>
      </c>
      <c r="AM21" s="107"/>
      <c r="AN21" s="107"/>
      <c r="AO21" s="107"/>
      <c r="AP21" s="108"/>
    </row>
    <row r="22" spans="1:43" s="14" customFormat="1" ht="22.5" customHeight="1" x14ac:dyDescent="0.4">
      <c r="A22" s="11">
        <v>16</v>
      </c>
      <c r="B22" s="11">
        <v>304</v>
      </c>
      <c r="C22" s="11" t="s">
        <v>79</v>
      </c>
      <c r="D22" s="13" t="s">
        <v>2336</v>
      </c>
      <c r="E22" s="33" t="s">
        <v>18</v>
      </c>
      <c r="F22" s="11" t="s">
        <v>2337</v>
      </c>
      <c r="G22" s="11" t="s">
        <v>43</v>
      </c>
      <c r="H22" s="11" t="s">
        <v>52</v>
      </c>
      <c r="I22" s="11" t="s">
        <v>84</v>
      </c>
      <c r="J22" s="11" t="s">
        <v>85</v>
      </c>
      <c r="K22" s="11" t="s">
        <v>60</v>
      </c>
      <c r="L22" s="11" t="s">
        <v>92</v>
      </c>
      <c r="M22" s="11" t="s">
        <v>45</v>
      </c>
      <c r="N22" s="11" t="s">
        <v>45</v>
      </c>
      <c r="O22" s="11" t="s">
        <v>23</v>
      </c>
      <c r="P22" s="11" t="s">
        <v>84</v>
      </c>
      <c r="Q22" s="11" t="s">
        <v>86</v>
      </c>
      <c r="R22" s="11">
        <v>740</v>
      </c>
      <c r="S22" s="40" t="s">
        <v>39</v>
      </c>
      <c r="T22" s="11">
        <v>900</v>
      </c>
      <c r="U22" s="11" t="s">
        <v>45</v>
      </c>
      <c r="V22" s="11" t="s">
        <v>84</v>
      </c>
      <c r="W22" s="11" t="s">
        <v>86</v>
      </c>
      <c r="X22" s="40" t="s">
        <v>60</v>
      </c>
      <c r="Y22" s="40" t="s">
        <v>2299</v>
      </c>
      <c r="Z22" s="40" t="s">
        <v>2338</v>
      </c>
      <c r="AA22" s="40" t="s">
        <v>39</v>
      </c>
      <c r="AB22" s="12" t="s">
        <v>19</v>
      </c>
      <c r="AC22" s="11" t="s">
        <v>45</v>
      </c>
      <c r="AD22" s="11" t="s">
        <v>45</v>
      </c>
      <c r="AE22" s="11" t="s">
        <v>50</v>
      </c>
      <c r="AF22" s="11" t="s">
        <v>50</v>
      </c>
      <c r="AG22" s="13" t="s">
        <v>60</v>
      </c>
      <c r="AH22" s="13" t="s">
        <v>62</v>
      </c>
      <c r="AI22" s="13" t="s">
        <v>45</v>
      </c>
      <c r="AJ22" s="13" t="s">
        <v>45</v>
      </c>
      <c r="AK22" s="13" t="s">
        <v>45</v>
      </c>
      <c r="AL22" s="133" t="s">
        <v>2339</v>
      </c>
      <c r="AM22" s="134"/>
      <c r="AN22" s="134"/>
      <c r="AO22" s="134"/>
      <c r="AP22" s="135"/>
    </row>
    <row r="23" spans="1:43" s="10" customFormat="1" ht="15" customHeight="1" x14ac:dyDescent="0.4">
      <c r="A23" s="6">
        <v>16</v>
      </c>
      <c r="B23" s="6">
        <v>404</v>
      </c>
      <c r="C23" s="6" t="s">
        <v>79</v>
      </c>
      <c r="D23" s="77" t="s">
        <v>2713</v>
      </c>
      <c r="E23" s="34" t="s">
        <v>18</v>
      </c>
      <c r="F23" s="6" t="s">
        <v>2340</v>
      </c>
      <c r="G23" s="6" t="s">
        <v>43</v>
      </c>
      <c r="H23" s="6" t="s">
        <v>52</v>
      </c>
      <c r="I23" s="6" t="s">
        <v>84</v>
      </c>
      <c r="J23" s="6" t="s">
        <v>85</v>
      </c>
      <c r="K23" s="6" t="s">
        <v>60</v>
      </c>
      <c r="L23" s="6" t="s">
        <v>92</v>
      </c>
      <c r="M23" s="6" t="s">
        <v>45</v>
      </c>
      <c r="N23" s="6" t="s">
        <v>23</v>
      </c>
      <c r="O23" s="6" t="s">
        <v>23</v>
      </c>
      <c r="P23" s="6" t="s">
        <v>84</v>
      </c>
      <c r="Q23" s="6" t="s">
        <v>86</v>
      </c>
      <c r="R23" s="6">
        <v>750</v>
      </c>
      <c r="S23" s="6" t="s">
        <v>39</v>
      </c>
      <c r="T23" s="6">
        <v>900</v>
      </c>
      <c r="U23" s="6" t="s">
        <v>45</v>
      </c>
      <c r="V23" s="6" t="s">
        <v>84</v>
      </c>
      <c r="W23" s="6" t="s">
        <v>86</v>
      </c>
      <c r="X23" s="6" t="s">
        <v>60</v>
      </c>
      <c r="Y23" s="6" t="s">
        <v>87</v>
      </c>
      <c r="Z23" s="6" t="s">
        <v>2341</v>
      </c>
      <c r="AA23" s="6" t="s">
        <v>39</v>
      </c>
      <c r="AB23" s="15" t="s">
        <v>19</v>
      </c>
      <c r="AC23" s="16" t="s">
        <v>45</v>
      </c>
      <c r="AD23" s="16" t="s">
        <v>45</v>
      </c>
      <c r="AE23" s="16" t="s">
        <v>116</v>
      </c>
      <c r="AF23" s="16" t="s">
        <v>50</v>
      </c>
      <c r="AG23" s="17" t="s">
        <v>60</v>
      </c>
      <c r="AH23" s="17" t="s">
        <v>62</v>
      </c>
      <c r="AI23" s="17" t="s">
        <v>45</v>
      </c>
      <c r="AJ23" s="17" t="s">
        <v>23</v>
      </c>
      <c r="AK23" s="17" t="s">
        <v>45</v>
      </c>
      <c r="AL23" s="106" t="s">
        <v>2342</v>
      </c>
      <c r="AM23" s="107"/>
      <c r="AN23" s="107"/>
      <c r="AO23" s="107"/>
      <c r="AP23" s="108"/>
    </row>
    <row r="24" spans="1:43" s="14" customFormat="1" ht="15" customHeight="1" x14ac:dyDescent="0.4">
      <c r="A24" s="11">
        <v>16</v>
      </c>
      <c r="B24" s="11">
        <v>504</v>
      </c>
      <c r="C24" s="11" t="s">
        <v>79</v>
      </c>
      <c r="D24" s="13" t="s">
        <v>2410</v>
      </c>
      <c r="E24" s="33" t="s">
        <v>18</v>
      </c>
      <c r="F24" s="11" t="s">
        <v>2411</v>
      </c>
      <c r="G24" s="11" t="s">
        <v>43</v>
      </c>
      <c r="H24" s="11" t="s">
        <v>52</v>
      </c>
      <c r="I24" s="11" t="s">
        <v>84</v>
      </c>
      <c r="J24" s="11" t="s">
        <v>85</v>
      </c>
      <c r="K24" s="11" t="s">
        <v>60</v>
      </c>
      <c r="L24" s="11" t="s">
        <v>92</v>
      </c>
      <c r="M24" s="11" t="s">
        <v>45</v>
      </c>
      <c r="N24" s="11" t="s">
        <v>45</v>
      </c>
      <c r="O24" s="11" t="s">
        <v>23</v>
      </c>
      <c r="P24" s="11" t="s">
        <v>84</v>
      </c>
      <c r="Q24" s="11" t="s">
        <v>86</v>
      </c>
      <c r="R24" s="11">
        <v>740</v>
      </c>
      <c r="S24" s="40" t="s">
        <v>39</v>
      </c>
      <c r="T24" s="11">
        <v>900</v>
      </c>
      <c r="U24" s="11" t="s">
        <v>45</v>
      </c>
      <c r="V24" s="11" t="s">
        <v>84</v>
      </c>
      <c r="W24" s="11" t="s">
        <v>86</v>
      </c>
      <c r="X24" s="40" t="s">
        <v>60</v>
      </c>
      <c r="Y24" s="40" t="s">
        <v>87</v>
      </c>
      <c r="Z24" s="40" t="s">
        <v>2412</v>
      </c>
      <c r="AA24" s="40" t="s">
        <v>39</v>
      </c>
      <c r="AB24" s="12" t="s">
        <v>88</v>
      </c>
      <c r="AC24" s="11" t="s">
        <v>45</v>
      </c>
      <c r="AD24" s="11" t="s">
        <v>23</v>
      </c>
      <c r="AE24" s="11" t="s">
        <v>50</v>
      </c>
      <c r="AF24" s="11" t="s">
        <v>50</v>
      </c>
      <c r="AG24" s="13" t="s">
        <v>60</v>
      </c>
      <c r="AH24" s="13" t="s">
        <v>62</v>
      </c>
      <c r="AI24" s="13" t="s">
        <v>45</v>
      </c>
      <c r="AJ24" s="13" t="s">
        <v>45</v>
      </c>
      <c r="AK24" s="13" t="s">
        <v>45</v>
      </c>
      <c r="AL24" s="133" t="s">
        <v>2413</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所有→19戸</v>
      </c>
      <c r="H25" s="20" t="str">
        <f>"未更新→"&amp;COUNTIF(H5:H24,"未更新")&amp;"戸"</f>
        <v>未更新→19戸</v>
      </c>
      <c r="I25" s="20" t="str">
        <f>"クロス→"&amp;COUNTIF(I5:I24,"クロス")&amp;"戸"</f>
        <v>クロス→20戸</v>
      </c>
      <c r="J25" s="20" t="str">
        <f>"ベニヤ→"&amp;COUNTIF(J5:J24,"ベニヤ")&amp;"戸"</f>
        <v>ベニヤ→20戸</v>
      </c>
      <c r="K25" s="20" t="str">
        <f>"既存→"&amp;COUNTIF(K5:K24,"既存")&amp;"戸"</f>
        <v>既存→3戸</v>
      </c>
      <c r="L25" s="20" t="str">
        <f>"普通便座→"&amp;COUNTIF(L5:L24,"普通便座")&amp;"戸"</f>
        <v>普通便座→1戸</v>
      </c>
      <c r="M25" s="20" t="str">
        <f>"有→"&amp;COUNTIF(M5:M24,"有")&amp;"戸"</f>
        <v>有→0戸</v>
      </c>
      <c r="N25" s="20" t="str">
        <f>"有→"&amp;COUNTIF(N5:N24,"有")&amp;"戸"</f>
        <v>有→1戸</v>
      </c>
      <c r="O25" s="20" t="str">
        <f>"有→"&amp;COUNTIF(O5:O24,"有")&amp;"戸"</f>
        <v>有→17戸</v>
      </c>
      <c r="P25" s="20" t="str">
        <f>"クロス→"&amp;COUNTIF(P5:P24,"クロス")&amp;"戸"</f>
        <v>クロス→20戸</v>
      </c>
      <c r="Q25" s="20" t="str">
        <f>"CF→"&amp;COUNTIF(Q5:Q24,"CF")&amp;"戸"</f>
        <v>CF→19戸</v>
      </c>
      <c r="R25" s="20" t="str">
        <f>"1000→"&amp;COUNTIF(R5:R24,"1000")&amp;"戸"</f>
        <v>1000→0戸</v>
      </c>
      <c r="S25" s="20" t="str">
        <f>"可→"&amp;COUNTIF(S5:S24,"可")&amp;"戸"</f>
        <v>可→20戸</v>
      </c>
      <c r="T25" s="20" t="str">
        <f>"900→"&amp;COUNTIF(T5:T24,"900")&amp;"戸"</f>
        <v>900→20戸</v>
      </c>
      <c r="U25" s="20" t="str">
        <f>"有→"&amp;COUNTIF(U5:U24,"有")&amp;"戸"</f>
        <v>有→0戸</v>
      </c>
      <c r="V25" s="20" t="str">
        <f>"クロス→"&amp;COUNTIF(V5:V24,"クロス")&amp;"戸"</f>
        <v>クロス→19戸</v>
      </c>
      <c r="W25" s="20" t="str">
        <f>"CF→"&amp;COUNTIF(W5:W24,"CF")&amp;"戸"</f>
        <v>CF→20戸</v>
      </c>
      <c r="X25" s="20" t="str">
        <f>"既存→"&amp;COUNTIF(X5:X24,"既存")&amp;"戸"</f>
        <v>既存→2戸</v>
      </c>
      <c r="Y25" s="20" t="str">
        <f>"TOTO→"&amp;COUNTIF(Y5:Y24,"TOTO")&amp;"戸"</f>
        <v>TOTO→11戸</v>
      </c>
      <c r="Z25" s="130">
        <f>-COUNTA(Z5:Z24)</f>
        <v>-12</v>
      </c>
      <c r="AA25" s="20" t="str">
        <f>"可→"&amp;COUNTIF(AA5:AA24,"可")&amp;"戸"</f>
        <v>可→15戸</v>
      </c>
      <c r="AB25" s="20" t="str">
        <f>"既存→"&amp;COUNTIF(AB5:AB24,"既存")&amp;"戸"</f>
        <v>既存→6戸</v>
      </c>
      <c r="AC25" s="130">
        <f>COUNTIF(AC5:AC24,"有")</f>
        <v>3</v>
      </c>
      <c r="AD25" s="130">
        <f>COUNTIF(AD5:AD24,"有")</f>
        <v>10</v>
      </c>
      <c r="AE25" s="20" t="str">
        <f>"ポリ板→"&amp;COUNTIF(AE5:AE24,"ポリ板")&amp;"戸"</f>
        <v>ポリ板→12戸</v>
      </c>
      <c r="AF25" s="20" t="str">
        <f>"ポリ板→"&amp;COUNTIF(AF5:AF24,"ポリ板")&amp;"戸"</f>
        <v>ポリ板→17戸</v>
      </c>
      <c r="AG25" s="20" t="str">
        <f>"既存→"&amp;COUNTIF(AG5:AG24,"既存")&amp;"戸"</f>
        <v>既存→1戸</v>
      </c>
      <c r="AH25" s="20" t="str">
        <f>"洗面所→"&amp;COUNTIF(AH5:AH24,"洗面所")&amp;"戸"</f>
        <v>洗面所→19戸</v>
      </c>
      <c r="AI25" s="130">
        <f>COUNTIF(AI5:AI24,"有")</f>
        <v>4</v>
      </c>
      <c r="AJ25" s="130">
        <f>COUNTIF(AJ5:AJ24,"有")</f>
        <v>6</v>
      </c>
      <c r="AK25" s="130">
        <f>COUNTIF(AK5:AK24,"有")</f>
        <v>1</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更新済み→1戸</v>
      </c>
      <c r="I26" s="35" t="str">
        <f>"珪藻土→"&amp;COUNTIF(I5:I24,"珪藻土")&amp;"戸"</f>
        <v>珪藻土→0戸</v>
      </c>
      <c r="J26" s="35" t="str">
        <f>"クロス→"&amp;COUNTIF(J5:J24,"クロス")&amp;"戸"</f>
        <v>クロス→0戸</v>
      </c>
      <c r="K26" s="35" t="str">
        <f>"タンクレス→"&amp;COUNTIF(K5:K24,"タンクレス")&amp;"戸"</f>
        <v>タンクレス→1戸</v>
      </c>
      <c r="L26" s="35" t="str">
        <f>"暖房便座→"&amp;COUNTIF(L5:L24,"暖房便座")&amp;"戸"</f>
        <v>暖房便座→0戸</v>
      </c>
      <c r="M26" s="35" t="str">
        <f>"無→"&amp;COUNTIF(M5:M24,"無")&amp;"戸"</f>
        <v>無→20戸</v>
      </c>
      <c r="N26" s="35" t="str">
        <f>"無→"&amp;COUNTIF(N5:N24,"無")&amp;"戸"</f>
        <v>無→19戸</v>
      </c>
      <c r="O26" s="35" t="str">
        <f>"無→"&amp;COUNTIF(O5:O24,"無")&amp;"戸"</f>
        <v>無→3戸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リフォーム済み→18戸</v>
      </c>
      <c r="Y26" s="35" t="str">
        <f>"LIXIL→"&amp;COUNTIF(Y5:Y24,"LIXIL")&amp;"戸"</f>
        <v>LIXIL→0戸</v>
      </c>
      <c r="Z26" s="131"/>
      <c r="AA26" s="35" t="str">
        <f>"不可→"&amp;COUNTIF(AA5:AA24,"不可")&amp;"戸"</f>
        <v>不可→5戸</v>
      </c>
      <c r="AB26" s="36" t="str">
        <f>"システム→"&amp;COUNTIF(AB5:AB24,"システム")&amp;"戸"</f>
        <v>システム→13戸</v>
      </c>
      <c r="AC26" s="131"/>
      <c r="AD26" s="131"/>
      <c r="AE26" s="35" t="str">
        <f>"SUS→"&amp;COUNTIF(AE5:AE24,"SUS")&amp;"戸"</f>
        <v>SUS→6戸</v>
      </c>
      <c r="AF26" s="35" t="str">
        <f>"SUS→"&amp;COUNTIF(AF5:AF24,"SUS")&amp;"戸"</f>
        <v>SUS→1戸</v>
      </c>
      <c r="AG26" s="35" t="str">
        <f>"リフォーム済み→"&amp;COUNTIF(AG5:AG24,"リフォーム済み")&amp;"戸"</f>
        <v>リフォーム済み→18戸</v>
      </c>
      <c r="AH26" s="35" t="str">
        <f>"ベランダ→"&amp;COUNTIF(AH5:AH24,"ベランダ")&amp;"戸"</f>
        <v>ベランダ→0戸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750→15戸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ホーロー→1戸</v>
      </c>
      <c r="AF27" s="35" t="str">
        <f>"ホーロー→"&amp;COUNTIF(AF5:AF24,"ホーロー")&amp;"戸"</f>
        <v>ホーロー→1戸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空家→1戸</v>
      </c>
      <c r="H28" s="39"/>
      <c r="I28" s="28"/>
      <c r="J28" s="27"/>
      <c r="K28" s="35" t="str">
        <f>"一体型→"&amp;COUNTIF(K5:K24,"一体型")&amp;"戸"</f>
        <v>一体型→1戸</v>
      </c>
      <c r="L28" s="28"/>
      <c r="M28" s="28"/>
      <c r="N28" s="28"/>
      <c r="O28" s="28"/>
      <c r="P28" s="28"/>
      <c r="Q28" s="28"/>
      <c r="R28" s="35" t="str">
        <f>"740→"&amp;COUNTIF(R5:R24,"740")&amp;"戸"</f>
        <v>740→4戸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7203AFF3-5CF8-424A-9960-1F4FB1A3F3A6}"/>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49054A86-1583-49B4-A12D-6B4A5322CADD}"/>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27" man="1"/>
  </colBreaks>
  <extLst>
    <ext xmlns:x14="http://schemas.microsoft.com/office/spreadsheetml/2009/9/main" uri="{CCE6A557-97BC-4b89-ADB6-D9C93CAAB3DF}">
      <x14:dataValidations xmlns:xm="http://schemas.microsoft.com/office/excel/2006/main" count="19">
        <x14:dataValidation type="list" allowBlank="1" showInputMessage="1" showErrorMessage="1" xr:uid="{79F5E338-2A4B-4BDD-BE2E-9D43A8C362CF}">
          <x14:formula1>
            <xm:f>Sheet1!$G$6:$G$7</xm:f>
          </x14:formula1>
          <xm:sqref>S5:S24 AA5:AA24</xm:sqref>
        </x14:dataValidation>
        <x14:dataValidation type="list" allowBlank="1" showInputMessage="1" showErrorMessage="1" xr:uid="{1C492B9E-18DA-47BF-A724-07B3D86FE15A}">
          <x14:formula1>
            <xm:f>Sheet1!$I$1:$I$2</xm:f>
          </x14:formula1>
          <xm:sqref>X5:X24</xm:sqref>
        </x14:dataValidation>
        <x14:dataValidation type="list" allowBlank="1" showInputMessage="1" showErrorMessage="1" xr:uid="{9A86C9D6-F950-41D1-BA4C-8476C7FE6615}">
          <x14:formula1>
            <xm:f>Sheet1!$G$17:$G$18</xm:f>
          </x14:formula1>
          <xm:sqref>AH5:AH24</xm:sqref>
        </x14:dataValidation>
        <x14:dataValidation type="list" allowBlank="1" showInputMessage="1" showErrorMessage="1" xr:uid="{3FF9256D-5AA6-498C-922E-85CC61F4B9B2}">
          <x14:formula1>
            <xm:f>Sheet1!$E$17:$E$18</xm:f>
          </x14:formula1>
          <xm:sqref>AG5:AG24</xm:sqref>
        </x14:dataValidation>
        <x14:dataValidation type="list" allowBlank="1" showInputMessage="1" showErrorMessage="1" xr:uid="{2BF9B596-2770-4217-B1CE-21C44DC8F3D4}">
          <x14:formula1>
            <xm:f>Sheet1!$G$1:$G$4</xm:f>
          </x14:formula1>
          <xm:sqref>AE5:AF24</xm:sqref>
        </x14:dataValidation>
        <x14:dataValidation type="list" allowBlank="1" showInputMessage="1" showErrorMessage="1" xr:uid="{FE8F47A0-30C3-47B9-850E-5947FA58006A}">
          <x14:formula1>
            <xm:f>Sheet1!$A$13:$A$15</xm:f>
          </x14:formula1>
          <xm:sqref>AB5:AB24</xm:sqref>
        </x14:dataValidation>
        <x14:dataValidation type="list" allowBlank="1" showInputMessage="1" showErrorMessage="1" xr:uid="{615A3869-4FA8-471A-A609-C27F04EA7DAE}">
          <x14:formula1>
            <xm:f>Sheet1!$C$17:$C$20</xm:f>
          </x14:formula1>
          <xm:sqref>T5:T24</xm:sqref>
        </x14:dataValidation>
        <x14:dataValidation type="list" allowBlank="1" showInputMessage="1" showErrorMessage="1" xr:uid="{5E8AA246-E57D-47F0-BDAD-5811A3B84847}">
          <x14:formula1>
            <xm:f>Sheet1!$A$17:$A$20</xm:f>
          </x14:formula1>
          <xm:sqref>R16:R21 R5:R11 R13:R14 R23</xm:sqref>
        </x14:dataValidation>
        <x14:dataValidation type="list" allowBlank="1" showInputMessage="1" showErrorMessage="1" xr:uid="{EC1AE3AA-D4D2-48BA-8C21-A536B3B5068E}">
          <x14:formula1>
            <xm:f>Sheet1!$C$6:$C$7</xm:f>
          </x14:formula1>
          <xm:sqref>U5:U24 M5:O24 AC5:AD24 AJ22:AK24 AJ8:AK9 AJ11:AK16 AJ5:AK5</xm:sqref>
        </x14:dataValidation>
        <x14:dataValidation type="list" allowBlank="1" showInputMessage="1" showErrorMessage="1" xr:uid="{78F412B7-0D05-4471-B4B5-E05B6D9046BD}">
          <x14:formula1>
            <xm:f>Sheet1!$E$9:$E$11</xm:f>
          </x14:formula1>
          <xm:sqref>L5:L24</xm:sqref>
        </x14:dataValidation>
        <x14:dataValidation type="list" allowBlank="1" showInputMessage="1" showErrorMessage="1" xr:uid="{CDBD61DD-3DD9-4569-9FF5-027DE8C0D119}">
          <x14:formula1>
            <xm:f>Sheet1!$G$9:$G$12</xm:f>
          </x14:formula1>
          <xm:sqref>K6:K17 K19:K24</xm:sqref>
        </x14:dataValidation>
        <x14:dataValidation type="list" allowBlank="1" showInputMessage="1" showErrorMessage="1" xr:uid="{597607DB-2258-4F00-80D7-A3649B2EC9FE}">
          <x14:formula1>
            <xm:f>Sheet1!$D$1:$D$3</xm:f>
          </x14:formula1>
          <xm:sqref>J5:J24</xm:sqref>
        </x14:dataValidation>
        <x14:dataValidation type="list" allowBlank="1" showInputMessage="1" showErrorMessage="1" xr:uid="{856BAA07-F3B7-4693-A901-C5D338F231BD}">
          <x14:formula1>
            <xm:f>Sheet1!$A$9:$A$11</xm:f>
          </x14:formula1>
          <xm:sqref>I5:I24 P5:P24 V5:V16 V18:V24</xm:sqref>
        </x14:dataValidation>
        <x14:dataValidation type="list" allowBlank="1" showInputMessage="1" showErrorMessage="1" xr:uid="{279198F2-E597-4543-8359-2B5A2356E234}">
          <x14:formula1>
            <xm:f>Sheet1!$A$6:$A$7</xm:f>
          </x14:formula1>
          <xm:sqref>H5:H24</xm:sqref>
        </x14:dataValidation>
        <x14:dataValidation type="list" allowBlank="1" showInputMessage="1" showErrorMessage="1" xr:uid="{64C7095D-C557-44A4-973F-7489B03E70A7}">
          <x14:formula1>
            <xm:f>Sheet1!$A$1:$A$4</xm:f>
          </x14:formula1>
          <xm:sqref>G5:G24</xm:sqref>
        </x14:dataValidation>
        <x14:dataValidation type="list" allowBlank="1" showInputMessage="1" showErrorMessage="1" xr:uid="{F76E345B-940A-4258-A566-0DCDC8CA78CD}">
          <x14:formula1>
            <xm:f>Sheet1!$C$9:$C$11</xm:f>
          </x14:formula1>
          <xm:sqref>Q12:Q24 W5:W24 Q5:Q10</xm:sqref>
        </x14:dataValidation>
        <x14:dataValidation type="list" allowBlank="1" showInputMessage="1" showErrorMessage="1" xr:uid="{56AD5313-41FB-4F99-B69E-5D451EA2EDB6}">
          <x14:formula1>
            <xm:f>Sheet1!$C$6:$C$8</xm:f>
          </x14:formula1>
          <xm:sqref>AI5:AI24 AJ10:AK10 AJ17:AK21 AJ6:AK7</xm:sqref>
        </x14:dataValidation>
        <x14:dataValidation type="list" allowBlank="1" showInputMessage="1" showErrorMessage="1" xr:uid="{197D375A-5C29-449D-9120-D4FDDB3AF19C}">
          <x14:formula1>
            <xm:f>Sheet1!$I$9:$I$13</xm:f>
          </x14:formula1>
          <xm:sqref>Y5:Y21 Y23:Y24</xm:sqref>
        </x14:dataValidation>
        <x14:dataValidation type="list" allowBlank="1" showInputMessage="1" showErrorMessage="1" xr:uid="{51D88A82-6C39-43F3-8887-B6051267F8D4}">
          <x14:formula1>
            <xm:f>Sheet1!$G$9:$G$13</xm:f>
          </x14:formula1>
          <xm:sqref>K5 K18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C464C-6A81-4331-8713-6A79694E6168}">
  <sheetPr codeName="Sheet17">
    <tabColor rgb="FF92D050"/>
  </sheetPr>
  <dimension ref="A1:AR29"/>
  <sheetViews>
    <sheetView view="pageBreakPreview" zoomScaleNormal="40" zoomScaleSheetLayoutView="70" workbookViewId="0">
      <pane xSplit="5" ySplit="4" topLeftCell="AL5" activePane="bottomRight" state="frozen"/>
      <selection activeCell="N11" sqref="N11"/>
      <selection pane="topRight" activeCell="N11" sqref="N11"/>
      <selection pane="bottomLeft" activeCell="N11" sqref="N11"/>
      <selection pane="bottomRight" activeCell="A8" sqref="A8:XFD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45.75" customHeight="1" x14ac:dyDescent="0.4">
      <c r="A5" s="6">
        <v>17</v>
      </c>
      <c r="B5" s="6">
        <v>101</v>
      </c>
      <c r="C5" s="6" t="s">
        <v>79</v>
      </c>
      <c r="D5" s="18" t="s">
        <v>2249</v>
      </c>
      <c r="E5" s="32" t="s">
        <v>18</v>
      </c>
      <c r="F5" s="46" t="s">
        <v>2250</v>
      </c>
      <c r="G5" s="6" t="s">
        <v>43</v>
      </c>
      <c r="H5" s="6" t="s">
        <v>52</v>
      </c>
      <c r="I5" s="6" t="s">
        <v>84</v>
      </c>
      <c r="J5" s="6" t="s">
        <v>85</v>
      </c>
      <c r="K5" s="6" t="s">
        <v>60</v>
      </c>
      <c r="L5" s="6" t="s">
        <v>92</v>
      </c>
      <c r="M5" s="6" t="s">
        <v>45</v>
      </c>
      <c r="N5" s="6" t="s">
        <v>23</v>
      </c>
      <c r="O5" s="6" t="s">
        <v>45</v>
      </c>
      <c r="P5" s="6" t="s">
        <v>84</v>
      </c>
      <c r="Q5" s="6" t="s">
        <v>86</v>
      </c>
      <c r="R5" s="6">
        <v>750</v>
      </c>
      <c r="S5" s="16" t="s">
        <v>39</v>
      </c>
      <c r="T5" s="6">
        <v>900</v>
      </c>
      <c r="U5" s="6" t="s">
        <v>45</v>
      </c>
      <c r="V5" s="6" t="s">
        <v>84</v>
      </c>
      <c r="W5" s="6" t="s">
        <v>86</v>
      </c>
      <c r="X5" s="16" t="s">
        <v>60</v>
      </c>
      <c r="Y5" s="16" t="s">
        <v>87</v>
      </c>
      <c r="Z5" s="16" t="s">
        <v>2251</v>
      </c>
      <c r="AA5" s="16" t="s">
        <v>39</v>
      </c>
      <c r="AB5" s="7" t="s">
        <v>88</v>
      </c>
      <c r="AC5" s="8" t="s">
        <v>23</v>
      </c>
      <c r="AD5" s="8" t="s">
        <v>23</v>
      </c>
      <c r="AE5" s="8" t="s">
        <v>50</v>
      </c>
      <c r="AF5" s="16" t="s">
        <v>50</v>
      </c>
      <c r="AG5" s="17" t="s">
        <v>60</v>
      </c>
      <c r="AH5" s="17" t="s">
        <v>62</v>
      </c>
      <c r="AI5" s="17" t="s">
        <v>23</v>
      </c>
      <c r="AJ5" s="17" t="s">
        <v>45</v>
      </c>
      <c r="AK5" s="9" t="s">
        <v>45</v>
      </c>
      <c r="AL5" s="103" t="s">
        <v>2252</v>
      </c>
      <c r="AM5" s="104"/>
      <c r="AN5" s="104"/>
      <c r="AO5" s="104"/>
      <c r="AP5" s="105"/>
    </row>
    <row r="6" spans="1:44" s="14" customFormat="1" ht="35.25" customHeight="1" x14ac:dyDescent="0.4">
      <c r="A6" s="11">
        <v>17</v>
      </c>
      <c r="B6" s="11">
        <v>201</v>
      </c>
      <c r="C6" s="11" t="s">
        <v>79</v>
      </c>
      <c r="D6" s="13" t="s">
        <v>2236</v>
      </c>
      <c r="E6" s="33" t="s">
        <v>18</v>
      </c>
      <c r="F6" s="45" t="s">
        <v>2237</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531</v>
      </c>
      <c r="Z6" s="40"/>
      <c r="AA6" s="40" t="s">
        <v>39</v>
      </c>
      <c r="AB6" s="12" t="s">
        <v>88</v>
      </c>
      <c r="AC6" s="11" t="s">
        <v>45</v>
      </c>
      <c r="AD6" s="11" t="s">
        <v>23</v>
      </c>
      <c r="AE6" s="11" t="s">
        <v>50</v>
      </c>
      <c r="AF6" s="11" t="s">
        <v>50</v>
      </c>
      <c r="AG6" s="13" t="s">
        <v>60</v>
      </c>
      <c r="AH6" s="13" t="s">
        <v>62</v>
      </c>
      <c r="AI6" s="13" t="s">
        <v>45</v>
      </c>
      <c r="AJ6" s="13" t="s">
        <v>45</v>
      </c>
      <c r="AK6" s="13" t="s">
        <v>45</v>
      </c>
      <c r="AL6" s="94" t="s">
        <v>2238</v>
      </c>
      <c r="AM6" s="95"/>
      <c r="AN6" s="95"/>
      <c r="AO6" s="95"/>
      <c r="AP6" s="96"/>
    </row>
    <row r="7" spans="1:44" s="10" customFormat="1" ht="15" customHeight="1" x14ac:dyDescent="0.4">
      <c r="A7" s="6">
        <v>17</v>
      </c>
      <c r="B7" s="6">
        <v>301</v>
      </c>
      <c r="C7" s="6" t="s">
        <v>79</v>
      </c>
      <c r="D7" s="18" t="s">
        <v>2239</v>
      </c>
      <c r="E7" s="34" t="s">
        <v>18</v>
      </c>
      <c r="F7" s="6" t="s">
        <v>2240</v>
      </c>
      <c r="G7" s="6" t="s">
        <v>43</v>
      </c>
      <c r="H7" s="6" t="s">
        <v>52</v>
      </c>
      <c r="I7" s="6" t="s">
        <v>84</v>
      </c>
      <c r="J7" s="6" t="s">
        <v>85</v>
      </c>
      <c r="K7" s="6" t="s">
        <v>60</v>
      </c>
      <c r="L7" s="6" t="s">
        <v>92</v>
      </c>
      <c r="M7" s="6" t="s">
        <v>45</v>
      </c>
      <c r="N7" s="6" t="s">
        <v>45</v>
      </c>
      <c r="O7" s="6" t="s">
        <v>23</v>
      </c>
      <c r="P7" s="6" t="s">
        <v>34</v>
      </c>
      <c r="Q7" s="6" t="s">
        <v>86</v>
      </c>
      <c r="R7" s="6">
        <v>750</v>
      </c>
      <c r="S7" s="6" t="s">
        <v>39</v>
      </c>
      <c r="T7" s="6">
        <v>900</v>
      </c>
      <c r="U7" s="6" t="s">
        <v>45</v>
      </c>
      <c r="V7" s="6" t="s">
        <v>84</v>
      </c>
      <c r="W7" s="6" t="s">
        <v>86</v>
      </c>
      <c r="X7" s="6" t="s">
        <v>60</v>
      </c>
      <c r="Y7" s="6" t="s">
        <v>344</v>
      </c>
      <c r="Z7" s="6"/>
      <c r="AA7" s="6" t="s">
        <v>39</v>
      </c>
      <c r="AB7" s="15" t="s">
        <v>19</v>
      </c>
      <c r="AC7" s="16" t="s">
        <v>45</v>
      </c>
      <c r="AD7" s="16" t="s">
        <v>45</v>
      </c>
      <c r="AE7" s="16" t="s">
        <v>50</v>
      </c>
      <c r="AF7" s="16" t="s">
        <v>50</v>
      </c>
      <c r="AG7" s="17" t="s">
        <v>60</v>
      </c>
      <c r="AH7" s="17" t="s">
        <v>62</v>
      </c>
      <c r="AI7" s="17" t="s">
        <v>45</v>
      </c>
      <c r="AJ7" s="17" t="s">
        <v>23</v>
      </c>
      <c r="AK7" s="17" t="s">
        <v>45</v>
      </c>
      <c r="AL7" s="78" t="s">
        <v>2241</v>
      </c>
      <c r="AM7" s="79"/>
      <c r="AN7" s="79"/>
      <c r="AO7" s="79"/>
      <c r="AP7" s="80"/>
    </row>
    <row r="8" spans="1:44" s="14" customFormat="1" ht="15" customHeight="1" x14ac:dyDescent="0.4">
      <c r="A8" s="11">
        <v>17</v>
      </c>
      <c r="B8" s="11">
        <v>401</v>
      </c>
      <c r="C8" s="11" t="s">
        <v>79</v>
      </c>
      <c r="D8" s="13" t="s">
        <v>2696</v>
      </c>
      <c r="E8" s="33" t="s">
        <v>18</v>
      </c>
      <c r="F8" s="11" t="s">
        <v>2696</v>
      </c>
      <c r="G8" s="11" t="s">
        <v>40</v>
      </c>
      <c r="H8" s="11" t="s">
        <v>52</v>
      </c>
      <c r="I8" s="11" t="s">
        <v>84</v>
      </c>
      <c r="J8" s="11" t="s">
        <v>85</v>
      </c>
      <c r="K8" s="11" t="s">
        <v>60</v>
      </c>
      <c r="L8" s="11" t="s">
        <v>92</v>
      </c>
      <c r="M8" s="11" t="s">
        <v>45</v>
      </c>
      <c r="N8" s="11" t="s">
        <v>45</v>
      </c>
      <c r="O8" s="11" t="s">
        <v>23</v>
      </c>
      <c r="P8" s="11" t="s">
        <v>84</v>
      </c>
      <c r="Q8" s="11" t="s">
        <v>86</v>
      </c>
      <c r="R8" s="11">
        <v>750</v>
      </c>
      <c r="S8" s="40" t="s">
        <v>39</v>
      </c>
      <c r="T8" s="11">
        <v>640</v>
      </c>
      <c r="U8" s="11" t="s">
        <v>45</v>
      </c>
      <c r="V8" s="11" t="s">
        <v>84</v>
      </c>
      <c r="W8" s="11" t="s">
        <v>86</v>
      </c>
      <c r="X8" s="40" t="s">
        <v>60</v>
      </c>
      <c r="Y8" s="40" t="s">
        <v>531</v>
      </c>
      <c r="Z8" s="40"/>
      <c r="AA8" s="40" t="s">
        <v>39</v>
      </c>
      <c r="AB8" s="12" t="s">
        <v>19</v>
      </c>
      <c r="AC8" s="11" t="s">
        <v>45</v>
      </c>
      <c r="AD8" s="11" t="s">
        <v>45</v>
      </c>
      <c r="AE8" s="11" t="s">
        <v>50</v>
      </c>
      <c r="AF8" s="11" t="s">
        <v>50</v>
      </c>
      <c r="AG8" s="13" t="s">
        <v>60</v>
      </c>
      <c r="AH8" s="13" t="s">
        <v>62</v>
      </c>
      <c r="AI8" s="13" t="s">
        <v>45</v>
      </c>
      <c r="AJ8" s="13" t="s">
        <v>45</v>
      </c>
      <c r="AK8" s="13" t="s">
        <v>45</v>
      </c>
      <c r="AL8" s="94" t="s">
        <v>2697</v>
      </c>
      <c r="AM8" s="95"/>
      <c r="AN8" s="95"/>
      <c r="AO8" s="95"/>
      <c r="AP8" s="96"/>
    </row>
    <row r="9" spans="1:44" s="10" customFormat="1" ht="15" customHeight="1" x14ac:dyDescent="0.4">
      <c r="A9" s="6">
        <v>17</v>
      </c>
      <c r="B9" s="6">
        <v>501</v>
      </c>
      <c r="C9" s="6" t="s">
        <v>79</v>
      </c>
      <c r="D9" s="18" t="s">
        <v>2225</v>
      </c>
      <c r="E9" s="34" t="s">
        <v>18</v>
      </c>
      <c r="F9" s="6" t="s">
        <v>2226</v>
      </c>
      <c r="G9" s="6" t="s">
        <v>43</v>
      </c>
      <c r="H9" s="6" t="s">
        <v>52</v>
      </c>
      <c r="I9" s="6" t="s">
        <v>84</v>
      </c>
      <c r="J9" s="6" t="s">
        <v>85</v>
      </c>
      <c r="K9" s="6" t="s">
        <v>60</v>
      </c>
      <c r="L9" s="6" t="s">
        <v>92</v>
      </c>
      <c r="M9" s="6" t="s">
        <v>45</v>
      </c>
      <c r="N9" s="6" t="s">
        <v>45</v>
      </c>
      <c r="O9" s="6" t="s">
        <v>45</v>
      </c>
      <c r="P9" s="6" t="s">
        <v>84</v>
      </c>
      <c r="Q9" s="6" t="s">
        <v>86</v>
      </c>
      <c r="R9" s="6">
        <v>750</v>
      </c>
      <c r="S9" s="6" t="s">
        <v>39</v>
      </c>
      <c r="T9" s="6">
        <v>900</v>
      </c>
      <c r="U9" s="6" t="s">
        <v>45</v>
      </c>
      <c r="V9" s="6" t="s">
        <v>84</v>
      </c>
      <c r="W9" s="6" t="s">
        <v>86</v>
      </c>
      <c r="X9" s="6" t="s">
        <v>60</v>
      </c>
      <c r="Y9" s="6" t="s">
        <v>141</v>
      </c>
      <c r="Z9" s="6"/>
      <c r="AA9" s="6" t="s">
        <v>39</v>
      </c>
      <c r="AB9" s="15" t="s">
        <v>88</v>
      </c>
      <c r="AC9" s="16" t="s">
        <v>45</v>
      </c>
      <c r="AD9" s="16" t="s">
        <v>45</v>
      </c>
      <c r="AE9" s="16" t="s">
        <v>50</v>
      </c>
      <c r="AF9" s="16" t="s">
        <v>50</v>
      </c>
      <c r="AG9" s="17" t="s">
        <v>60</v>
      </c>
      <c r="AH9" s="17" t="s">
        <v>62</v>
      </c>
      <c r="AI9" s="17" t="s">
        <v>241</v>
      </c>
      <c r="AJ9" s="17" t="s">
        <v>23</v>
      </c>
      <c r="AK9" s="17" t="s">
        <v>45</v>
      </c>
      <c r="AL9" s="78" t="s">
        <v>2227</v>
      </c>
      <c r="AM9" s="79"/>
      <c r="AN9" s="79"/>
      <c r="AO9" s="79"/>
      <c r="AP9" s="80"/>
    </row>
    <row r="10" spans="1:44" s="14" customFormat="1" ht="15" customHeight="1" x14ac:dyDescent="0.4">
      <c r="A10" s="11">
        <v>17</v>
      </c>
      <c r="B10" s="11">
        <v>102</v>
      </c>
      <c r="C10" s="11" t="s">
        <v>79</v>
      </c>
      <c r="D10" s="13" t="s">
        <v>1334</v>
      </c>
      <c r="E10" s="33" t="s">
        <v>18</v>
      </c>
      <c r="F10" s="11" t="s">
        <v>1335</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640</v>
      </c>
      <c r="U10" s="11" t="s">
        <v>45</v>
      </c>
      <c r="V10" s="11" t="s">
        <v>84</v>
      </c>
      <c r="W10" s="11" t="s">
        <v>86</v>
      </c>
      <c r="X10" s="40" t="s">
        <v>60</v>
      </c>
      <c r="Y10" s="40" t="s">
        <v>87</v>
      </c>
      <c r="Z10" s="40" t="s">
        <v>1336</v>
      </c>
      <c r="AA10" s="40" t="s">
        <v>39</v>
      </c>
      <c r="AB10" s="12" t="s">
        <v>19</v>
      </c>
      <c r="AC10" s="11" t="s">
        <v>45</v>
      </c>
      <c r="AD10" s="11" t="s">
        <v>23</v>
      </c>
      <c r="AE10" s="11" t="s">
        <v>50</v>
      </c>
      <c r="AF10" s="11" t="s">
        <v>50</v>
      </c>
      <c r="AG10" s="13" t="s">
        <v>60</v>
      </c>
      <c r="AH10" s="13" t="s">
        <v>62</v>
      </c>
      <c r="AI10" s="13" t="s">
        <v>45</v>
      </c>
      <c r="AJ10" s="13" t="s">
        <v>45</v>
      </c>
      <c r="AK10" s="13" t="s">
        <v>45</v>
      </c>
      <c r="AL10" s="94" t="s">
        <v>1337</v>
      </c>
      <c r="AM10" s="95"/>
      <c r="AN10" s="95"/>
      <c r="AO10" s="95"/>
      <c r="AP10" s="96"/>
    </row>
    <row r="11" spans="1:44" s="10" customFormat="1" ht="45" customHeight="1" x14ac:dyDescent="0.4">
      <c r="A11" s="6">
        <v>17</v>
      </c>
      <c r="B11" s="6">
        <v>202</v>
      </c>
      <c r="C11" s="6" t="s">
        <v>79</v>
      </c>
      <c r="D11" s="18" t="s">
        <v>1662</v>
      </c>
      <c r="E11" s="34" t="s">
        <v>18</v>
      </c>
      <c r="F11" s="6" t="s">
        <v>1663</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19</v>
      </c>
      <c r="Y11" s="6"/>
      <c r="Z11" s="6"/>
      <c r="AA11" s="6" t="s">
        <v>65</v>
      </c>
      <c r="AB11" s="15" t="s">
        <v>88</v>
      </c>
      <c r="AC11" s="16" t="s">
        <v>45</v>
      </c>
      <c r="AD11" s="16" t="s">
        <v>45</v>
      </c>
      <c r="AE11" s="16" t="s">
        <v>50</v>
      </c>
      <c r="AF11" s="16" t="s">
        <v>50</v>
      </c>
      <c r="AG11" s="17" t="s">
        <v>60</v>
      </c>
      <c r="AH11" s="17" t="s">
        <v>62</v>
      </c>
      <c r="AI11" s="17" t="s">
        <v>45</v>
      </c>
      <c r="AJ11" s="17" t="s">
        <v>45</v>
      </c>
      <c r="AK11" s="17" t="s">
        <v>45</v>
      </c>
      <c r="AL11" s="106" t="s">
        <v>1664</v>
      </c>
      <c r="AM11" s="107"/>
      <c r="AN11" s="107"/>
      <c r="AO11" s="107"/>
      <c r="AP11" s="108"/>
    </row>
    <row r="12" spans="1:44" s="14" customFormat="1" ht="15" customHeight="1" x14ac:dyDescent="0.4">
      <c r="A12" s="11">
        <v>17</v>
      </c>
      <c r="B12" s="11">
        <v>302</v>
      </c>
      <c r="C12" s="11" t="s">
        <v>79</v>
      </c>
      <c r="D12" s="13" t="s">
        <v>1798</v>
      </c>
      <c r="E12" s="33" t="s">
        <v>18</v>
      </c>
      <c r="F12" s="11" t="s">
        <v>1799</v>
      </c>
      <c r="G12" s="11" t="s">
        <v>43</v>
      </c>
      <c r="H12" s="11" t="s">
        <v>52</v>
      </c>
      <c r="I12" s="11" t="s">
        <v>84</v>
      </c>
      <c r="J12" s="11" t="s">
        <v>85</v>
      </c>
      <c r="K12" s="11" t="s">
        <v>60</v>
      </c>
      <c r="L12" s="11" t="s">
        <v>92</v>
      </c>
      <c r="M12" s="11" t="s">
        <v>45</v>
      </c>
      <c r="N12" s="11" t="s">
        <v>23</v>
      </c>
      <c r="O12" s="11" t="s">
        <v>23</v>
      </c>
      <c r="P12" s="11" t="s">
        <v>84</v>
      </c>
      <c r="Q12" s="11" t="s">
        <v>86</v>
      </c>
      <c r="R12" s="11">
        <v>750</v>
      </c>
      <c r="S12" s="40" t="s">
        <v>39</v>
      </c>
      <c r="T12" s="11">
        <v>900</v>
      </c>
      <c r="U12" s="11" t="s">
        <v>45</v>
      </c>
      <c r="V12" s="11" t="s">
        <v>84</v>
      </c>
      <c r="W12" s="11" t="s">
        <v>86</v>
      </c>
      <c r="X12" s="40" t="s">
        <v>19</v>
      </c>
      <c r="Y12" s="40"/>
      <c r="Z12" s="40"/>
      <c r="AA12" s="40" t="s">
        <v>65</v>
      </c>
      <c r="AB12" s="12" t="s">
        <v>88</v>
      </c>
      <c r="AC12" s="11" t="s">
        <v>45</v>
      </c>
      <c r="AD12" s="11" t="s">
        <v>45</v>
      </c>
      <c r="AE12" s="11" t="s">
        <v>50</v>
      </c>
      <c r="AF12" s="11" t="s">
        <v>50</v>
      </c>
      <c r="AG12" s="13" t="s">
        <v>60</v>
      </c>
      <c r="AH12" s="13" t="s">
        <v>62</v>
      </c>
      <c r="AI12" s="13" t="s">
        <v>45</v>
      </c>
      <c r="AJ12" s="13" t="s">
        <v>23</v>
      </c>
      <c r="AK12" s="13" t="s">
        <v>45</v>
      </c>
      <c r="AL12" s="133" t="s">
        <v>1800</v>
      </c>
      <c r="AM12" s="134"/>
      <c r="AN12" s="134"/>
      <c r="AO12" s="134"/>
      <c r="AP12" s="135"/>
    </row>
    <row r="13" spans="1:44" s="10" customFormat="1" ht="72.75" customHeight="1" x14ac:dyDescent="0.4">
      <c r="A13" s="6">
        <v>17</v>
      </c>
      <c r="B13" s="6">
        <v>402</v>
      </c>
      <c r="C13" s="6" t="s">
        <v>79</v>
      </c>
      <c r="D13" s="18" t="s">
        <v>1531</v>
      </c>
      <c r="E13" s="34" t="s">
        <v>18</v>
      </c>
      <c r="F13" s="46" t="s">
        <v>1532</v>
      </c>
      <c r="G13" s="6" t="s">
        <v>43</v>
      </c>
      <c r="H13" s="6" t="s">
        <v>52</v>
      </c>
      <c r="I13" s="6" t="s">
        <v>84</v>
      </c>
      <c r="J13" s="6" t="s">
        <v>85</v>
      </c>
      <c r="K13" s="6" t="s">
        <v>60</v>
      </c>
      <c r="L13" s="6" t="s">
        <v>92</v>
      </c>
      <c r="M13" s="6" t="s">
        <v>45</v>
      </c>
      <c r="N13" s="6" t="s">
        <v>45</v>
      </c>
      <c r="O13" s="6" t="s">
        <v>23</v>
      </c>
      <c r="P13" s="6" t="s">
        <v>84</v>
      </c>
      <c r="Q13" s="6" t="s">
        <v>86</v>
      </c>
      <c r="R13" s="6">
        <v>750</v>
      </c>
      <c r="S13" s="6" t="s">
        <v>39</v>
      </c>
      <c r="T13" s="6">
        <v>900</v>
      </c>
      <c r="U13" s="6" t="s">
        <v>45</v>
      </c>
      <c r="V13" s="6" t="s">
        <v>84</v>
      </c>
      <c r="W13" s="6" t="s">
        <v>86</v>
      </c>
      <c r="X13" s="6" t="s">
        <v>60</v>
      </c>
      <c r="Y13" s="6" t="s">
        <v>141</v>
      </c>
      <c r="Z13" s="6"/>
      <c r="AA13" s="6" t="s">
        <v>65</v>
      </c>
      <c r="AB13" s="15" t="s">
        <v>88</v>
      </c>
      <c r="AC13" s="16" t="s">
        <v>45</v>
      </c>
      <c r="AD13" s="16" t="s">
        <v>23</v>
      </c>
      <c r="AE13" s="16" t="s">
        <v>116</v>
      </c>
      <c r="AF13" s="16" t="s">
        <v>50</v>
      </c>
      <c r="AG13" s="17" t="s">
        <v>60</v>
      </c>
      <c r="AH13" s="17" t="s">
        <v>62</v>
      </c>
      <c r="AI13" s="17" t="s">
        <v>45</v>
      </c>
      <c r="AJ13" s="17" t="s">
        <v>23</v>
      </c>
      <c r="AK13" s="17" t="s">
        <v>23</v>
      </c>
      <c r="AL13" s="106" t="s">
        <v>1533</v>
      </c>
      <c r="AM13" s="107"/>
      <c r="AN13" s="107"/>
      <c r="AO13" s="107"/>
      <c r="AP13" s="108"/>
    </row>
    <row r="14" spans="1:44" s="14" customFormat="1" ht="15" customHeight="1" x14ac:dyDescent="0.4">
      <c r="A14" s="11">
        <v>17</v>
      </c>
      <c r="B14" s="11">
        <v>502</v>
      </c>
      <c r="C14" s="11" t="s">
        <v>79</v>
      </c>
      <c r="D14" s="13" t="s">
        <v>1801</v>
      </c>
      <c r="E14" s="33" t="s">
        <v>18</v>
      </c>
      <c r="F14" s="11" t="s">
        <v>1802</v>
      </c>
      <c r="G14" s="11" t="s">
        <v>43</v>
      </c>
      <c r="H14" s="11" t="s">
        <v>52</v>
      </c>
      <c r="I14" s="11" t="s">
        <v>84</v>
      </c>
      <c r="J14" s="11" t="s">
        <v>85</v>
      </c>
      <c r="K14" s="11" t="s">
        <v>60</v>
      </c>
      <c r="L14" s="11" t="s">
        <v>92</v>
      </c>
      <c r="M14" s="11" t="s">
        <v>45</v>
      </c>
      <c r="N14" s="11" t="s">
        <v>45</v>
      </c>
      <c r="O14" s="11" t="s">
        <v>45</v>
      </c>
      <c r="P14" s="11" t="s">
        <v>84</v>
      </c>
      <c r="Q14" s="11" t="s">
        <v>1803</v>
      </c>
      <c r="R14" s="11">
        <v>750</v>
      </c>
      <c r="S14" s="40" t="s">
        <v>39</v>
      </c>
      <c r="T14" s="11">
        <v>640</v>
      </c>
      <c r="U14" s="11" t="s">
        <v>45</v>
      </c>
      <c r="V14" s="11" t="s">
        <v>84</v>
      </c>
      <c r="W14" s="11" t="s">
        <v>86</v>
      </c>
      <c r="X14" s="40" t="s">
        <v>60</v>
      </c>
      <c r="Y14" s="40" t="s">
        <v>1805</v>
      </c>
      <c r="Z14" s="40" t="s">
        <v>1806</v>
      </c>
      <c r="AA14" s="40" t="s">
        <v>65</v>
      </c>
      <c r="AB14" s="12" t="s">
        <v>88</v>
      </c>
      <c r="AC14" s="11" t="s">
        <v>45</v>
      </c>
      <c r="AD14" s="11" t="s">
        <v>23</v>
      </c>
      <c r="AE14" s="11" t="s">
        <v>50</v>
      </c>
      <c r="AF14" s="11" t="s">
        <v>50</v>
      </c>
      <c r="AG14" s="13" t="s">
        <v>60</v>
      </c>
      <c r="AH14" s="13" t="s">
        <v>96</v>
      </c>
      <c r="AI14" s="13" t="s">
        <v>45</v>
      </c>
      <c r="AJ14" s="13" t="s">
        <v>45</v>
      </c>
      <c r="AK14" s="13" t="s">
        <v>23</v>
      </c>
      <c r="AL14" s="94" t="s">
        <v>2653</v>
      </c>
      <c r="AM14" s="95"/>
      <c r="AN14" s="95"/>
      <c r="AO14" s="95"/>
      <c r="AP14" s="96"/>
    </row>
    <row r="15" spans="1:44" s="10" customFormat="1" ht="33" customHeight="1" x14ac:dyDescent="0.4">
      <c r="A15" s="6">
        <v>17</v>
      </c>
      <c r="B15" s="6">
        <v>103</v>
      </c>
      <c r="C15" s="6" t="s">
        <v>79</v>
      </c>
      <c r="D15" s="18" t="s">
        <v>2264</v>
      </c>
      <c r="E15" s="34" t="s">
        <v>18</v>
      </c>
      <c r="F15" s="6" t="s">
        <v>2265</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2266</v>
      </c>
      <c r="AA15" s="6" t="s">
        <v>39</v>
      </c>
      <c r="AB15" s="15" t="s">
        <v>88</v>
      </c>
      <c r="AC15" s="16" t="s">
        <v>45</v>
      </c>
      <c r="AD15" s="16" t="s">
        <v>23</v>
      </c>
      <c r="AE15" s="16" t="s">
        <v>50</v>
      </c>
      <c r="AF15" s="16" t="s">
        <v>50</v>
      </c>
      <c r="AG15" s="17" t="s">
        <v>60</v>
      </c>
      <c r="AH15" s="17" t="s">
        <v>62</v>
      </c>
      <c r="AI15" s="17" t="s">
        <v>23</v>
      </c>
      <c r="AJ15" s="17" t="s">
        <v>45</v>
      </c>
      <c r="AK15" s="17" t="s">
        <v>45</v>
      </c>
      <c r="AL15" s="106" t="s">
        <v>2267</v>
      </c>
      <c r="AM15" s="107"/>
      <c r="AN15" s="107"/>
      <c r="AO15" s="107"/>
      <c r="AP15" s="108"/>
    </row>
    <row r="16" spans="1:44" s="14" customFormat="1" ht="38.25" customHeight="1" x14ac:dyDescent="0.4">
      <c r="A16" s="11">
        <v>17</v>
      </c>
      <c r="B16" s="11">
        <v>203</v>
      </c>
      <c r="C16" s="11" t="s">
        <v>79</v>
      </c>
      <c r="D16" s="13" t="s">
        <v>2260</v>
      </c>
      <c r="E16" s="33" t="s">
        <v>18</v>
      </c>
      <c r="F16" s="11" t="s">
        <v>2261</v>
      </c>
      <c r="G16" s="11" t="s">
        <v>43</v>
      </c>
      <c r="H16" s="11" t="s">
        <v>52</v>
      </c>
      <c r="I16" s="11" t="s">
        <v>84</v>
      </c>
      <c r="J16" s="11" t="s">
        <v>85</v>
      </c>
      <c r="K16" s="11" t="s">
        <v>60</v>
      </c>
      <c r="L16" s="11" t="s">
        <v>92</v>
      </c>
      <c r="M16" s="11" t="s">
        <v>45</v>
      </c>
      <c r="N16" s="11" t="s">
        <v>45</v>
      </c>
      <c r="O16" s="11" t="s">
        <v>23</v>
      </c>
      <c r="P16" s="11" t="s">
        <v>84</v>
      </c>
      <c r="Q16" s="11" t="s">
        <v>86</v>
      </c>
      <c r="R16" s="11">
        <v>740</v>
      </c>
      <c r="S16" s="40" t="s">
        <v>39</v>
      </c>
      <c r="T16" s="11">
        <v>900</v>
      </c>
      <c r="U16" s="11" t="s">
        <v>45</v>
      </c>
      <c r="V16" s="11" t="s">
        <v>84</v>
      </c>
      <c r="W16" s="11" t="s">
        <v>86</v>
      </c>
      <c r="X16" s="40" t="s">
        <v>60</v>
      </c>
      <c r="Y16" s="40" t="s">
        <v>87</v>
      </c>
      <c r="Z16" s="40" t="s">
        <v>2262</v>
      </c>
      <c r="AA16" s="40" t="s">
        <v>65</v>
      </c>
      <c r="AB16" s="12" t="s">
        <v>88</v>
      </c>
      <c r="AC16" s="11" t="s">
        <v>45</v>
      </c>
      <c r="AD16" s="11" t="s">
        <v>45</v>
      </c>
      <c r="AE16" s="11" t="s">
        <v>50</v>
      </c>
      <c r="AF16" s="11" t="s">
        <v>50</v>
      </c>
      <c r="AG16" s="13" t="s">
        <v>60</v>
      </c>
      <c r="AH16" s="13" t="s">
        <v>62</v>
      </c>
      <c r="AI16" s="13" t="s">
        <v>23</v>
      </c>
      <c r="AJ16" s="13" t="s">
        <v>45</v>
      </c>
      <c r="AK16" s="13" t="s">
        <v>23</v>
      </c>
      <c r="AL16" s="133" t="s">
        <v>2263</v>
      </c>
      <c r="AM16" s="134"/>
      <c r="AN16" s="134"/>
      <c r="AO16" s="134"/>
      <c r="AP16" s="135"/>
    </row>
    <row r="17" spans="1:43" s="10" customFormat="1" ht="48" customHeight="1" x14ac:dyDescent="0.4">
      <c r="A17" s="6">
        <v>17</v>
      </c>
      <c r="B17" s="6">
        <v>303</v>
      </c>
      <c r="C17" s="6" t="s">
        <v>79</v>
      </c>
      <c r="D17" s="18" t="s">
        <v>2257</v>
      </c>
      <c r="E17" s="34" t="s">
        <v>18</v>
      </c>
      <c r="F17" s="6" t="s">
        <v>2258</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84</v>
      </c>
      <c r="W17" s="6" t="s">
        <v>86</v>
      </c>
      <c r="X17" s="6" t="s">
        <v>60</v>
      </c>
      <c r="Y17" s="6" t="s">
        <v>531</v>
      </c>
      <c r="Z17" s="6"/>
      <c r="AA17" s="6" t="s">
        <v>65</v>
      </c>
      <c r="AB17" s="15" t="s">
        <v>88</v>
      </c>
      <c r="AC17" s="16" t="s">
        <v>45</v>
      </c>
      <c r="AD17" s="16" t="s">
        <v>45</v>
      </c>
      <c r="AE17" s="16" t="s">
        <v>50</v>
      </c>
      <c r="AF17" s="16" t="s">
        <v>50</v>
      </c>
      <c r="AG17" s="17" t="s">
        <v>60</v>
      </c>
      <c r="AH17" s="17" t="s">
        <v>62</v>
      </c>
      <c r="AI17" s="17" t="s">
        <v>45</v>
      </c>
      <c r="AJ17" s="17" t="s">
        <v>23</v>
      </c>
      <c r="AK17" s="17" t="s">
        <v>45</v>
      </c>
      <c r="AL17" s="106" t="s">
        <v>2259</v>
      </c>
      <c r="AM17" s="107"/>
      <c r="AN17" s="107"/>
      <c r="AO17" s="107"/>
      <c r="AP17" s="108"/>
    </row>
    <row r="18" spans="1:43" s="14" customFormat="1" ht="59.25" customHeight="1" x14ac:dyDescent="0.4">
      <c r="A18" s="11">
        <v>17</v>
      </c>
      <c r="B18" s="11">
        <v>403</v>
      </c>
      <c r="C18" s="11" t="s">
        <v>79</v>
      </c>
      <c r="D18" s="13" t="s">
        <v>2210</v>
      </c>
      <c r="E18" s="33" t="s">
        <v>18</v>
      </c>
      <c r="F18" s="45" t="s">
        <v>2211</v>
      </c>
      <c r="G18" s="11" t="s">
        <v>43</v>
      </c>
      <c r="H18" s="11" t="s">
        <v>52</v>
      </c>
      <c r="I18" s="11" t="s">
        <v>84</v>
      </c>
      <c r="J18" s="11" t="s">
        <v>85</v>
      </c>
      <c r="K18" s="11" t="s">
        <v>19</v>
      </c>
      <c r="L18" s="11" t="s">
        <v>92</v>
      </c>
      <c r="M18" s="11" t="s">
        <v>45</v>
      </c>
      <c r="N18" s="11" t="s">
        <v>45</v>
      </c>
      <c r="O18" s="11" t="s">
        <v>23</v>
      </c>
      <c r="P18" s="11" t="s">
        <v>84</v>
      </c>
      <c r="Q18" s="11" t="s">
        <v>86</v>
      </c>
      <c r="R18" s="11">
        <v>750</v>
      </c>
      <c r="S18" s="40" t="s">
        <v>39</v>
      </c>
      <c r="T18" s="11">
        <v>900</v>
      </c>
      <c r="U18" s="11" t="s">
        <v>45</v>
      </c>
      <c r="V18" s="11" t="s">
        <v>84</v>
      </c>
      <c r="W18" s="11" t="s">
        <v>86</v>
      </c>
      <c r="X18" s="40" t="s">
        <v>19</v>
      </c>
      <c r="Y18" s="40"/>
      <c r="Z18" s="40"/>
      <c r="AA18" s="40" t="s">
        <v>65</v>
      </c>
      <c r="AB18" s="12" t="s">
        <v>19</v>
      </c>
      <c r="AC18" s="11" t="s">
        <v>45</v>
      </c>
      <c r="AD18" s="11" t="s">
        <v>45</v>
      </c>
      <c r="AE18" s="11" t="s">
        <v>116</v>
      </c>
      <c r="AF18" s="11" t="s">
        <v>50</v>
      </c>
      <c r="AG18" s="13" t="s">
        <v>60</v>
      </c>
      <c r="AH18" s="13" t="s">
        <v>62</v>
      </c>
      <c r="AI18" s="13" t="s">
        <v>23</v>
      </c>
      <c r="AJ18" s="13" t="s">
        <v>23</v>
      </c>
      <c r="AK18" s="13" t="s">
        <v>23</v>
      </c>
      <c r="AL18" s="133" t="s">
        <v>2751</v>
      </c>
      <c r="AM18" s="134"/>
      <c r="AN18" s="134"/>
      <c r="AO18" s="134"/>
      <c r="AP18" s="135"/>
    </row>
    <row r="19" spans="1:43" s="10" customFormat="1" ht="15" customHeight="1" x14ac:dyDescent="0.4">
      <c r="A19" s="6">
        <v>17</v>
      </c>
      <c r="B19" s="6">
        <v>503</v>
      </c>
      <c r="C19" s="6" t="s">
        <v>79</v>
      </c>
      <c r="D19" s="18" t="s">
        <v>2253</v>
      </c>
      <c r="E19" s="34" t="s">
        <v>18</v>
      </c>
      <c r="F19" s="6" t="s">
        <v>2254</v>
      </c>
      <c r="G19" s="6" t="s">
        <v>43</v>
      </c>
      <c r="H19" s="6" t="s">
        <v>52</v>
      </c>
      <c r="I19" s="6" t="s">
        <v>84</v>
      </c>
      <c r="J19" s="6" t="s">
        <v>85</v>
      </c>
      <c r="K19" s="6" t="s">
        <v>37</v>
      </c>
      <c r="L19" s="6" t="s">
        <v>20</v>
      </c>
      <c r="M19" s="6" t="s">
        <v>45</v>
      </c>
      <c r="N19" s="6" t="s">
        <v>45</v>
      </c>
      <c r="O19" s="6" t="s">
        <v>45</v>
      </c>
      <c r="P19" s="6" t="s">
        <v>84</v>
      </c>
      <c r="Q19" s="6" t="s">
        <v>86</v>
      </c>
      <c r="R19" s="6" t="s">
        <v>2256</v>
      </c>
      <c r="S19" s="6" t="s">
        <v>39</v>
      </c>
      <c r="T19" s="6">
        <v>900</v>
      </c>
      <c r="U19" s="6" t="s">
        <v>45</v>
      </c>
      <c r="V19" s="6" t="s">
        <v>84</v>
      </c>
      <c r="W19" s="6" t="s">
        <v>86</v>
      </c>
      <c r="X19" s="6" t="s">
        <v>60</v>
      </c>
      <c r="Y19" s="6" t="s">
        <v>141</v>
      </c>
      <c r="Z19" s="6"/>
      <c r="AA19" s="6" t="s">
        <v>65</v>
      </c>
      <c r="AB19" s="15" t="s">
        <v>88</v>
      </c>
      <c r="AC19" s="16" t="s">
        <v>23</v>
      </c>
      <c r="AD19" s="16" t="s">
        <v>23</v>
      </c>
      <c r="AE19" s="16" t="s">
        <v>50</v>
      </c>
      <c r="AF19" s="16" t="s">
        <v>50</v>
      </c>
      <c r="AG19" s="17" t="s">
        <v>60</v>
      </c>
      <c r="AH19" s="17" t="s">
        <v>62</v>
      </c>
      <c r="AI19" s="17" t="s">
        <v>23</v>
      </c>
      <c r="AJ19" s="17" t="s">
        <v>45</v>
      </c>
      <c r="AK19" s="17" t="s">
        <v>45</v>
      </c>
      <c r="AL19" s="106" t="s">
        <v>2255</v>
      </c>
      <c r="AM19" s="107"/>
      <c r="AN19" s="107"/>
      <c r="AO19" s="107"/>
      <c r="AP19" s="108"/>
    </row>
    <row r="20" spans="1:43" s="14" customFormat="1" ht="15" customHeight="1" x14ac:dyDescent="0.4">
      <c r="A20" s="11">
        <v>17</v>
      </c>
      <c r="B20" s="11">
        <v>104</v>
      </c>
      <c r="C20" s="11" t="s">
        <v>79</v>
      </c>
      <c r="D20" s="13" t="s">
        <v>2268</v>
      </c>
      <c r="E20" s="33" t="s">
        <v>18</v>
      </c>
      <c r="F20" s="11" t="s">
        <v>2269</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19</v>
      </c>
      <c r="Y20" s="40"/>
      <c r="Z20" s="40"/>
      <c r="AA20" s="40" t="s">
        <v>65</v>
      </c>
      <c r="AB20" s="12" t="s">
        <v>19</v>
      </c>
      <c r="AC20" s="11" t="s">
        <v>45</v>
      </c>
      <c r="AD20" s="11" t="s">
        <v>45</v>
      </c>
      <c r="AE20" s="11" t="s">
        <v>50</v>
      </c>
      <c r="AF20" s="11" t="s">
        <v>50</v>
      </c>
      <c r="AG20" s="13" t="s">
        <v>60</v>
      </c>
      <c r="AH20" s="13" t="s">
        <v>62</v>
      </c>
      <c r="AI20" s="13" t="s">
        <v>45</v>
      </c>
      <c r="AJ20" s="13" t="s">
        <v>45</v>
      </c>
      <c r="AK20" s="13" t="s">
        <v>45</v>
      </c>
      <c r="AL20" s="133" t="s">
        <v>2270</v>
      </c>
      <c r="AM20" s="134"/>
      <c r="AN20" s="134"/>
      <c r="AO20" s="134"/>
      <c r="AP20" s="135"/>
    </row>
    <row r="21" spans="1:43" s="10" customFormat="1" ht="44.25" customHeight="1" x14ac:dyDescent="0.4">
      <c r="A21" s="6">
        <v>17</v>
      </c>
      <c r="B21" s="6">
        <v>204</v>
      </c>
      <c r="C21" s="6" t="s">
        <v>79</v>
      </c>
      <c r="D21" s="18" t="s">
        <v>2271</v>
      </c>
      <c r="E21" s="34" t="s">
        <v>18</v>
      </c>
      <c r="F21" s="6" t="s">
        <v>2272</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2273</v>
      </c>
      <c r="AA21" s="6" t="s">
        <v>39</v>
      </c>
      <c r="AB21" s="15" t="s">
        <v>88</v>
      </c>
      <c r="AC21" s="16" t="s">
        <v>45</v>
      </c>
      <c r="AD21" s="16" t="s">
        <v>23</v>
      </c>
      <c r="AE21" s="16" t="s">
        <v>50</v>
      </c>
      <c r="AF21" s="16" t="s">
        <v>50</v>
      </c>
      <c r="AG21" s="17" t="s">
        <v>60</v>
      </c>
      <c r="AH21" s="17" t="s">
        <v>62</v>
      </c>
      <c r="AI21" s="17" t="s">
        <v>23</v>
      </c>
      <c r="AJ21" s="17" t="s">
        <v>23</v>
      </c>
      <c r="AK21" s="17" t="s">
        <v>45</v>
      </c>
      <c r="AL21" s="106" t="s">
        <v>2274</v>
      </c>
      <c r="AM21" s="107"/>
      <c r="AN21" s="107"/>
      <c r="AO21" s="107"/>
      <c r="AP21" s="108"/>
    </row>
    <row r="22" spans="1:43" s="14" customFormat="1" ht="15" customHeight="1" x14ac:dyDescent="0.4">
      <c r="A22" s="11">
        <v>17</v>
      </c>
      <c r="B22" s="11">
        <v>304</v>
      </c>
      <c r="C22" s="11" t="s">
        <v>79</v>
      </c>
      <c r="D22" s="13" t="s">
        <v>2317</v>
      </c>
      <c r="E22" s="33" t="s">
        <v>18</v>
      </c>
      <c r="F22" s="11" t="s">
        <v>2318</v>
      </c>
      <c r="G22" s="11" t="s">
        <v>43</v>
      </c>
      <c r="H22" s="11" t="s">
        <v>52</v>
      </c>
      <c r="I22" s="11" t="s">
        <v>84</v>
      </c>
      <c r="J22" s="11" t="s">
        <v>85</v>
      </c>
      <c r="K22" s="11" t="s">
        <v>60</v>
      </c>
      <c r="L22" s="11" t="s">
        <v>92</v>
      </c>
      <c r="M22" s="11" t="s">
        <v>45</v>
      </c>
      <c r="N22" s="11" t="s">
        <v>23</v>
      </c>
      <c r="O22" s="11" t="s">
        <v>23</v>
      </c>
      <c r="P22" s="11" t="s">
        <v>84</v>
      </c>
      <c r="Q22" s="11" t="s">
        <v>86</v>
      </c>
      <c r="R22" s="11">
        <v>750</v>
      </c>
      <c r="S22" s="40" t="s">
        <v>39</v>
      </c>
      <c r="T22" s="11">
        <v>900</v>
      </c>
      <c r="U22" s="11" t="s">
        <v>45</v>
      </c>
      <c r="V22" s="11" t="s">
        <v>84</v>
      </c>
      <c r="W22" s="11" t="s">
        <v>86</v>
      </c>
      <c r="X22" s="40" t="s">
        <v>60</v>
      </c>
      <c r="Y22" s="40" t="s">
        <v>87</v>
      </c>
      <c r="Z22" s="40" t="s">
        <v>2319</v>
      </c>
      <c r="AA22" s="40" t="s">
        <v>39</v>
      </c>
      <c r="AB22" s="12" t="s">
        <v>88</v>
      </c>
      <c r="AC22" s="11" t="s">
        <v>45</v>
      </c>
      <c r="AD22" s="11" t="s">
        <v>23</v>
      </c>
      <c r="AE22" s="11" t="s">
        <v>50</v>
      </c>
      <c r="AF22" s="11" t="s">
        <v>50</v>
      </c>
      <c r="AG22" s="13" t="s">
        <v>60</v>
      </c>
      <c r="AH22" s="13" t="s">
        <v>62</v>
      </c>
      <c r="AI22" s="13" t="s">
        <v>23</v>
      </c>
      <c r="AJ22" s="13" t="s">
        <v>45</v>
      </c>
      <c r="AK22" s="13" t="s">
        <v>45</v>
      </c>
      <c r="AL22" s="133" t="s">
        <v>2320</v>
      </c>
      <c r="AM22" s="134"/>
      <c r="AN22" s="134"/>
      <c r="AO22" s="134"/>
      <c r="AP22" s="135"/>
    </row>
    <row r="23" spans="1:43" s="10" customFormat="1" ht="39.75" customHeight="1" x14ac:dyDescent="0.4">
      <c r="A23" s="6">
        <v>17</v>
      </c>
      <c r="B23" s="6">
        <v>404</v>
      </c>
      <c r="C23" s="6" t="s">
        <v>79</v>
      </c>
      <c r="D23" s="18" t="s">
        <v>2242</v>
      </c>
      <c r="E23" s="34" t="s">
        <v>18</v>
      </c>
      <c r="F23" s="6" t="s">
        <v>2243</v>
      </c>
      <c r="G23" s="6" t="s">
        <v>22</v>
      </c>
      <c r="H23" s="6" t="s">
        <v>52</v>
      </c>
      <c r="I23" s="6" t="s">
        <v>84</v>
      </c>
      <c r="J23" s="6" t="s">
        <v>85</v>
      </c>
      <c r="K23" s="6" t="s">
        <v>60</v>
      </c>
      <c r="L23" s="6" t="s">
        <v>92</v>
      </c>
      <c r="M23" s="6" t="s">
        <v>45</v>
      </c>
      <c r="N23" s="6" t="s">
        <v>45</v>
      </c>
      <c r="O23" s="6" t="s">
        <v>45</v>
      </c>
      <c r="P23" s="6" t="s">
        <v>84</v>
      </c>
      <c r="Q23" s="6" t="s">
        <v>86</v>
      </c>
      <c r="R23" s="6">
        <v>750</v>
      </c>
      <c r="S23" s="6" t="s">
        <v>39</v>
      </c>
      <c r="T23" s="6">
        <v>900</v>
      </c>
      <c r="U23" s="6" t="s">
        <v>45</v>
      </c>
      <c r="V23" s="6" t="s">
        <v>84</v>
      </c>
      <c r="W23" s="6" t="s">
        <v>86</v>
      </c>
      <c r="X23" s="6" t="s">
        <v>60</v>
      </c>
      <c r="Y23" s="6" t="s">
        <v>87</v>
      </c>
      <c r="Z23" s="6" t="s">
        <v>2244</v>
      </c>
      <c r="AA23" s="6" t="s">
        <v>39</v>
      </c>
      <c r="AB23" s="15" t="s">
        <v>19</v>
      </c>
      <c r="AC23" s="16" t="s">
        <v>45</v>
      </c>
      <c r="AD23" s="16" t="s">
        <v>45</v>
      </c>
      <c r="AE23" s="16" t="s">
        <v>50</v>
      </c>
      <c r="AF23" s="16" t="s">
        <v>50</v>
      </c>
      <c r="AG23" s="17" t="s">
        <v>60</v>
      </c>
      <c r="AH23" s="17" t="s">
        <v>62</v>
      </c>
      <c r="AI23" s="17" t="s">
        <v>45</v>
      </c>
      <c r="AJ23" s="17" t="s">
        <v>23</v>
      </c>
      <c r="AK23" s="17" t="s">
        <v>45</v>
      </c>
      <c r="AL23" s="106" t="s">
        <v>2296</v>
      </c>
      <c r="AM23" s="107"/>
      <c r="AN23" s="107"/>
      <c r="AO23" s="107"/>
      <c r="AP23" s="108"/>
    </row>
    <row r="24" spans="1:43" s="14" customFormat="1" ht="37.5" customHeight="1" x14ac:dyDescent="0.4">
      <c r="A24" s="11">
        <v>17</v>
      </c>
      <c r="B24" s="11">
        <v>504</v>
      </c>
      <c r="C24" s="11" t="s">
        <v>79</v>
      </c>
      <c r="D24" s="13" t="s">
        <v>2349</v>
      </c>
      <c r="E24" s="33" t="s">
        <v>18</v>
      </c>
      <c r="F24" s="11" t="s">
        <v>2350</v>
      </c>
      <c r="G24" s="11" t="s">
        <v>43</v>
      </c>
      <c r="H24" s="11" t="s">
        <v>52</v>
      </c>
      <c r="I24" s="11" t="s">
        <v>84</v>
      </c>
      <c r="J24" s="11" t="s">
        <v>85</v>
      </c>
      <c r="K24" s="11" t="s">
        <v>19</v>
      </c>
      <c r="L24" s="11" t="s">
        <v>92</v>
      </c>
      <c r="M24" s="11" t="s">
        <v>45</v>
      </c>
      <c r="N24" s="11" t="s">
        <v>45</v>
      </c>
      <c r="O24" s="11" t="s">
        <v>23</v>
      </c>
      <c r="P24" s="11" t="s">
        <v>84</v>
      </c>
      <c r="Q24" s="11" t="s">
        <v>86</v>
      </c>
      <c r="R24" s="11">
        <v>750</v>
      </c>
      <c r="S24" s="40" t="s">
        <v>39</v>
      </c>
      <c r="T24" s="11">
        <v>900</v>
      </c>
      <c r="U24" s="11" t="s">
        <v>45</v>
      </c>
      <c r="V24" s="11" t="s">
        <v>84</v>
      </c>
      <c r="W24" s="11" t="s">
        <v>86</v>
      </c>
      <c r="X24" s="40" t="s">
        <v>19</v>
      </c>
      <c r="Y24" s="40"/>
      <c r="Z24" s="40"/>
      <c r="AA24" s="40" t="s">
        <v>65</v>
      </c>
      <c r="AB24" s="12" t="s">
        <v>19</v>
      </c>
      <c r="AC24" s="11" t="s">
        <v>45</v>
      </c>
      <c r="AD24" s="11" t="s">
        <v>45</v>
      </c>
      <c r="AE24" s="11" t="s">
        <v>50</v>
      </c>
      <c r="AF24" s="11" t="s">
        <v>50</v>
      </c>
      <c r="AG24" s="13" t="s">
        <v>60</v>
      </c>
      <c r="AH24" s="13" t="s">
        <v>62</v>
      </c>
      <c r="AI24" s="13" t="s">
        <v>45</v>
      </c>
      <c r="AJ24" s="13" t="s">
        <v>45</v>
      </c>
      <c r="AK24" s="13" t="s">
        <v>23</v>
      </c>
      <c r="AL24" s="133" t="s">
        <v>2351</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所有→18戸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既存→2戸</v>
      </c>
      <c r="L25" s="20" t="str">
        <f>"普通便座→"&amp;COUNTIF(L5:L24,"普通便座")&amp;"戸"</f>
        <v>普通便座→0戸</v>
      </c>
      <c r="M25" s="20" t="str">
        <f>"有→"&amp;COUNTIF(M5:M24,"有")&amp;"戸"</f>
        <v>有→0戸</v>
      </c>
      <c r="N25" s="20" t="str">
        <f>"有→"&amp;COUNTIF(N5:N24,"有")&amp;"戸"</f>
        <v>有→3戸</v>
      </c>
      <c r="O25" s="20" t="str">
        <f>"有→"&amp;COUNTIF(O5:O24,"有")&amp;"戸"</f>
        <v>有→15戸</v>
      </c>
      <c r="P25" s="20" t="str">
        <f>"クロス→"&amp;COUNTIF(P5:P24,"クロス")&amp;"戸"</f>
        <v>クロス→19戸</v>
      </c>
      <c r="Q25" s="20" t="str">
        <f>"CF→"&amp;COUNTIF(Q5:Q24,"CF")&amp;"戸"</f>
        <v>CF→19戸</v>
      </c>
      <c r="R25" s="20" t="str">
        <f>"1000→"&amp;COUNTIF(R5:R24,"1000")&amp;"戸"</f>
        <v>1000→0戸</v>
      </c>
      <c r="S25" s="20" t="str">
        <f>"可→"&amp;COUNTIF(S5:S24,"可")&amp;"戸"</f>
        <v>可→20戸</v>
      </c>
      <c r="T25" s="20" t="str">
        <f>"900→"&amp;COUNTIF(T5:T24,"900")&amp;"戸"</f>
        <v>900→17戸</v>
      </c>
      <c r="U25" s="20" t="str">
        <f>"有→"&amp;COUNTIF(U5:U24,"有")&amp;"戸"</f>
        <v>有→0戸</v>
      </c>
      <c r="V25" s="20" t="str">
        <f>"クロス→"&amp;COUNTIF(V5:V24,"クロス")&amp;"戸"</f>
        <v>クロス→20戸</v>
      </c>
      <c r="W25" s="20" t="str">
        <f>"CF→"&amp;COUNTIF(W5:W24,"CF")&amp;"戸"</f>
        <v>CF→20戸</v>
      </c>
      <c r="X25" s="20" t="str">
        <f>"既存→"&amp;COUNTIF(X5:X24,"既存")&amp;"戸"</f>
        <v>既存→5戸</v>
      </c>
      <c r="Y25" s="20" t="str">
        <f>"TOTO→"&amp;COUNTIF(Y5:Y24,"TOTO")&amp;"戸"</f>
        <v>TOTO→7戸</v>
      </c>
      <c r="Z25" s="130">
        <f>-COUNTA(Z5:Z24)</f>
        <v>-8</v>
      </c>
      <c r="AA25" s="20" t="str">
        <f>"可→"&amp;COUNTIF(AA5:AA24,"可")&amp;"戸"</f>
        <v>可→10戸</v>
      </c>
      <c r="AB25" s="20" t="str">
        <f>"既存→"&amp;COUNTIF(AB5:AB24,"既存")&amp;"戸"</f>
        <v>既存→7戸</v>
      </c>
      <c r="AC25" s="130">
        <f>COUNTIF(AC5:AC24,"有")</f>
        <v>2</v>
      </c>
      <c r="AD25" s="130">
        <f>COUNTIF(AD5:AD24,"有")</f>
        <v>9</v>
      </c>
      <c r="AE25" s="20" t="str">
        <f>"ポリ板→"&amp;COUNTIF(AE5:AE24,"ポリ板")&amp;"戸"</f>
        <v>ポリ板→18戸</v>
      </c>
      <c r="AF25" s="20" t="str">
        <f>"ポリ板→"&amp;COUNTIF(AF5:AF24,"ポリ板")&amp;"戸"</f>
        <v>ポリ板→20戸</v>
      </c>
      <c r="AG25" s="20" t="str">
        <f>"既存→"&amp;COUNTIF(AG5:AG24,"既存")&amp;"戸"</f>
        <v>既存→0戸</v>
      </c>
      <c r="AH25" s="20" t="str">
        <f>"洗面所→"&amp;COUNTIF(AH5:AH24,"洗面所")&amp;"戸"</f>
        <v>洗面所→19戸</v>
      </c>
      <c r="AI25" s="130">
        <f>COUNTIF(AI5:AI24,"有")</f>
        <v>7</v>
      </c>
      <c r="AJ25" s="130">
        <f>COUNTIF(AJ5:AJ24,"有")</f>
        <v>8</v>
      </c>
      <c r="AK25" s="130">
        <f>COUNTIF(AK5:AK24,"有")</f>
        <v>5</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賃貸→1戸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暖房便座→1戸</v>
      </c>
      <c r="M26" s="35" t="str">
        <f>"無→"&amp;COUNTIF(M5:M24,"無")&amp;"戸"</f>
        <v>無→20戸</v>
      </c>
      <c r="N26" s="35" t="str">
        <f>"無→"&amp;COUNTIF(N5:N24,"無")&amp;"戸"</f>
        <v>無→17戸</v>
      </c>
      <c r="O26" s="35" t="str">
        <f>"無→"&amp;COUNTIF(O5:O24,"無")&amp;"戸"</f>
        <v>無→5戸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リフォーム済み→15戸</v>
      </c>
      <c r="Y26" s="35" t="str">
        <f>"LIXIL→"&amp;COUNTIF(Y5:Y24,"LIXIL")&amp;"戸"</f>
        <v>LIXIL→1戸</v>
      </c>
      <c r="Z26" s="131"/>
      <c r="AA26" s="35" t="str">
        <f>"不可→"&amp;COUNTIF(AA5:AA24,"不可")&amp;"戸"</f>
        <v>不可→10戸</v>
      </c>
      <c r="AB26" s="36" t="str">
        <f>"システム→"&amp;COUNTIF(AB5:AB24,"システム")&amp;"戸"</f>
        <v>システム→13戸</v>
      </c>
      <c r="AC26" s="131"/>
      <c r="AD26" s="131"/>
      <c r="AE26" s="35" t="str">
        <f>"SUS→"&amp;COUNTIF(AE5:AE24,"SUS")&amp;"戸"</f>
        <v>SUS→2戸</v>
      </c>
      <c r="AF26" s="35" t="str">
        <f>"SUS→"&amp;COUNTIF(AF5:AF24,"SUS")&amp;"戸"</f>
        <v>SUS→0戸</v>
      </c>
      <c r="AG26" s="35" t="str">
        <f>"リフォーム済み→"&amp;COUNTIF(AG5:AG24,"リフォーム済み")&amp;"戸"</f>
        <v>リフォーム済み→20戸</v>
      </c>
      <c r="AH26" s="35" t="str">
        <f>"ベランダ→"&amp;COUNTIF(AH5:AH24,"ベランダ")&amp;"戸"</f>
        <v>ベランダ→1戸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塗装→1戸</v>
      </c>
      <c r="Q27" s="35" t="str">
        <f>"フローリング→"&amp;COUNTIF(Q5:Q24,"フローリング")&amp;"戸"</f>
        <v>フローリング→0戸</v>
      </c>
      <c r="R27" s="35" t="str">
        <f>"750→"&amp;COUNTIF(R5:R24,"750")&amp;"戸"</f>
        <v>750→18戸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Panasonic→1戸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空家→1戸</v>
      </c>
      <c r="H28" s="39"/>
      <c r="I28" s="28"/>
      <c r="J28" s="27"/>
      <c r="K28" s="35" t="str">
        <f>"一体型→"&amp;COUNTIF(K5:K24,"一体型")&amp;"戸"</f>
        <v>一体型→1戸</v>
      </c>
      <c r="L28" s="28"/>
      <c r="M28" s="28"/>
      <c r="N28" s="28"/>
      <c r="O28" s="28"/>
      <c r="P28" s="28"/>
      <c r="Q28" s="28"/>
      <c r="R28" s="35" t="str">
        <f>"740→"&amp;COUNTIF(R5:R24,"740")&amp;"戸"</f>
        <v>740→1戸</v>
      </c>
      <c r="S28" s="27"/>
      <c r="T28" s="35" t="str">
        <f>"640→"&amp;COUNTIF(T5:T24,"640")&amp;"戸"</f>
        <v>640→3戸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114C464C-6A81-4331-8713-6A79694E6168}"/>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30311471-8B1D-4213-B1FA-03EDFF36496C}"/>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27" man="1"/>
  </colBreaks>
  <extLst>
    <ext xmlns:x14="http://schemas.microsoft.com/office/spreadsheetml/2009/9/main" uri="{CCE6A557-97BC-4b89-ADB6-D9C93CAAB3DF}">
      <x14:dataValidations xmlns:xm="http://schemas.microsoft.com/office/excel/2006/main" count="20">
        <x14:dataValidation type="list" allowBlank="1" showInputMessage="1" showErrorMessage="1" xr:uid="{7E8D71E9-10F4-4324-840B-5A078EE3297F}">
          <x14:formula1>
            <xm:f>Sheet1!$C$9:$C$11</xm:f>
          </x14:formula1>
          <xm:sqref>Q15:Q24 W5:W24 Q5:Q13</xm:sqref>
        </x14:dataValidation>
        <x14:dataValidation type="list" allowBlank="1" showInputMessage="1" showErrorMessage="1" xr:uid="{BC0CA6D6-C5EE-4C5E-B7A6-3F54C985784A}">
          <x14:formula1>
            <xm:f>Sheet1!$A$1:$A$4</xm:f>
          </x14:formula1>
          <xm:sqref>G5:G24</xm:sqref>
        </x14:dataValidation>
        <x14:dataValidation type="list" allowBlank="1" showInputMessage="1" showErrorMessage="1" xr:uid="{C00A8043-80FE-44E6-97E2-31665068876B}">
          <x14:formula1>
            <xm:f>Sheet1!$A$6:$A$7</xm:f>
          </x14:formula1>
          <xm:sqref>H5:H24</xm:sqref>
        </x14:dataValidation>
        <x14:dataValidation type="list" allowBlank="1" showInputMessage="1" showErrorMessage="1" xr:uid="{454F4A98-C33F-4F89-B65E-3B85903AA037}">
          <x14:formula1>
            <xm:f>Sheet1!$A$9:$A$11</xm:f>
          </x14:formula1>
          <xm:sqref>V5:V24 P5:P24 I5:I24</xm:sqref>
        </x14:dataValidation>
        <x14:dataValidation type="list" allowBlank="1" showInputMessage="1" showErrorMessage="1" xr:uid="{85A7A5FD-F4A9-4BFB-9A0E-0D73652AD391}">
          <x14:formula1>
            <xm:f>Sheet1!$D$1:$D$3</xm:f>
          </x14:formula1>
          <xm:sqref>J5:J24</xm:sqref>
        </x14:dataValidation>
        <x14:dataValidation type="list" allowBlank="1" showInputMessage="1" showErrorMessage="1" xr:uid="{96C696EA-7D33-491B-A8A1-D0366C3E3D62}">
          <x14:formula1>
            <xm:f>Sheet1!$G$9:$G$12</xm:f>
          </x14:formula1>
          <xm:sqref>K20:K24 K5:K18</xm:sqref>
        </x14:dataValidation>
        <x14:dataValidation type="list" allowBlank="1" showInputMessage="1" showErrorMessage="1" xr:uid="{B973B836-23F1-4A63-BC32-9DE19CC4EB2A}">
          <x14:formula1>
            <xm:f>Sheet1!$E$9:$E$11</xm:f>
          </x14:formula1>
          <xm:sqref>L5:L24</xm:sqref>
        </x14:dataValidation>
        <x14:dataValidation type="list" allowBlank="1" showInputMessage="1" showErrorMessage="1" xr:uid="{811FF597-4122-4470-9903-8443FF6C9C60}">
          <x14:formula1>
            <xm:f>Sheet1!$C$6:$C$7</xm:f>
          </x14:formula1>
          <xm:sqref>U5:U24 AC5:AD24 M5:O24 AJ5:AK5 AJ7:AK7 AJ9:AK24</xm:sqref>
        </x14:dataValidation>
        <x14:dataValidation type="list" allowBlank="1" showInputMessage="1" showErrorMessage="1" xr:uid="{C55DC638-6B7E-47F6-A4E1-746859E497CF}">
          <x14:formula1>
            <xm:f>Sheet1!$A$17:$A$20</xm:f>
          </x14:formula1>
          <xm:sqref>R20:R24 R5:R15 R17:R18</xm:sqref>
        </x14:dataValidation>
        <x14:dataValidation type="list" allowBlank="1" showInputMessage="1" showErrorMessage="1" xr:uid="{34C39CD2-1FC8-4CE8-AB30-F75FFC06E64E}">
          <x14:formula1>
            <xm:f>Sheet1!$C$17:$C$20</xm:f>
          </x14:formula1>
          <xm:sqref>T5:T24</xm:sqref>
        </x14:dataValidation>
        <x14:dataValidation type="list" allowBlank="1" showInputMessage="1" showErrorMessage="1" xr:uid="{F55C6317-797A-4351-8E1F-2D3D3CB6132E}">
          <x14:formula1>
            <xm:f>Sheet1!$A$13:$A$15</xm:f>
          </x14:formula1>
          <xm:sqref>AB5:AB24</xm:sqref>
        </x14:dataValidation>
        <x14:dataValidation type="list" allowBlank="1" showInputMessage="1" showErrorMessage="1" xr:uid="{8ADC3A2A-BF88-4525-85F5-57830ADFEBA4}">
          <x14:formula1>
            <xm:f>Sheet1!$G$1:$G$4</xm:f>
          </x14:formula1>
          <xm:sqref>AE5:AF24</xm:sqref>
        </x14:dataValidation>
        <x14:dataValidation type="list" allowBlank="1" showInputMessage="1" showErrorMessage="1" xr:uid="{15147496-FF3F-4F89-8089-D2D158142F42}">
          <x14:formula1>
            <xm:f>Sheet1!$E$17:$E$18</xm:f>
          </x14:formula1>
          <xm:sqref>AG5:AG24</xm:sqref>
        </x14:dataValidation>
        <x14:dataValidation type="list" allowBlank="1" showInputMessage="1" showErrorMessage="1" xr:uid="{E49BC03F-AA8E-4C98-927D-7AC8D52BD7DE}">
          <x14:formula1>
            <xm:f>Sheet1!$G$17:$G$18</xm:f>
          </x14:formula1>
          <xm:sqref>AH5:AH24</xm:sqref>
        </x14:dataValidation>
        <x14:dataValidation type="list" allowBlank="1" showInputMessage="1" showErrorMessage="1" xr:uid="{30B2E647-B941-4FD6-9C83-0DDD6A1A4F21}">
          <x14:formula1>
            <xm:f>Sheet1!$I$1:$I$2</xm:f>
          </x14:formula1>
          <xm:sqref>X5:X24</xm:sqref>
        </x14:dataValidation>
        <x14:dataValidation type="list" allowBlank="1" showInputMessage="1" showErrorMessage="1" xr:uid="{953A5670-B493-49A5-B571-5950E4E9CC3E}">
          <x14:formula1>
            <xm:f>Sheet1!$G$6:$G$7</xm:f>
          </x14:formula1>
          <xm:sqref>S5:S24 AA5:AA24</xm:sqref>
        </x14:dataValidation>
        <x14:dataValidation type="list" allowBlank="1" showInputMessage="1" showErrorMessage="1" xr:uid="{ADCDDFF4-B4CC-462F-A65A-562AB465D3DD}">
          <x14:formula1>
            <xm:f>Sheet1!$C$6:$C$8</xm:f>
          </x14:formula1>
          <xm:sqref>AI5:AI24 AJ6:AK6 AJ8:AK8</xm:sqref>
        </x14:dataValidation>
        <x14:dataValidation type="list" allowBlank="1" showInputMessage="1" showErrorMessage="1" xr:uid="{50EA644D-3794-437A-ABC1-5875EC37C8FA}">
          <x14:formula1>
            <xm:f>Sheet1!$I$9:$I$13</xm:f>
          </x14:formula1>
          <xm:sqref>Y5:Y13 Y15:Y24</xm:sqref>
        </x14:dataValidation>
        <x14:dataValidation type="list" allowBlank="1" showInputMessage="1" showErrorMessage="1" xr:uid="{43AADF0D-51C8-482D-83E9-F57CDDF0780A}">
          <x14:formula1>
            <xm:f>Sheet1!$C$9:$C$12</xm:f>
          </x14:formula1>
          <xm:sqref>Q14</xm:sqref>
        </x14:dataValidation>
        <x14:dataValidation type="list" allowBlank="1" showInputMessage="1" showErrorMessage="1" xr:uid="{07AE9B51-F166-4BE3-977E-1D2F73E82C31}">
          <x14:formula1>
            <xm:f>Sheet1!$G$9:$G$13</xm:f>
          </x14:formula1>
          <xm:sqref>K19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382D-AEB9-4CFF-9A48-E98D5F76B26A}">
  <sheetPr codeName="Sheet18">
    <tabColor rgb="FF92D050"/>
  </sheetPr>
  <dimension ref="A1:AR29"/>
  <sheetViews>
    <sheetView view="pageBreakPreview" zoomScaleNormal="40" zoomScaleSheetLayoutView="70" workbookViewId="0">
      <pane xSplit="5" ySplit="4" topLeftCell="AI8" activePane="bottomRight" state="frozen"/>
      <selection activeCell="N11" sqref="N11"/>
      <selection pane="topRight" activeCell="N11" sqref="N11"/>
      <selection pane="bottomLeft" activeCell="N11" sqref="N11"/>
      <selection pane="bottomRight" activeCell="AI10" sqref="AI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5.62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70.5" customHeight="1" x14ac:dyDescent="0.4">
      <c r="A5" s="6">
        <v>18</v>
      </c>
      <c r="B5" s="6">
        <v>101</v>
      </c>
      <c r="C5" s="6" t="s">
        <v>79</v>
      </c>
      <c r="D5" s="18" t="s">
        <v>2176</v>
      </c>
      <c r="E5" s="32" t="s">
        <v>18</v>
      </c>
      <c r="F5" s="6" t="s">
        <v>2177</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84</v>
      </c>
      <c r="W5" s="6" t="s">
        <v>86</v>
      </c>
      <c r="X5" s="16" t="s">
        <v>60</v>
      </c>
      <c r="Y5" s="16" t="s">
        <v>87</v>
      </c>
      <c r="Z5" s="16" t="s">
        <v>2178</v>
      </c>
      <c r="AA5" s="16" t="s">
        <v>39</v>
      </c>
      <c r="AB5" s="7" t="s">
        <v>88</v>
      </c>
      <c r="AC5" s="8" t="s">
        <v>45</v>
      </c>
      <c r="AD5" s="8" t="s">
        <v>23</v>
      </c>
      <c r="AE5" s="8" t="s">
        <v>50</v>
      </c>
      <c r="AF5" s="16" t="s">
        <v>50</v>
      </c>
      <c r="AG5" s="17" t="s">
        <v>60</v>
      </c>
      <c r="AH5" s="17" t="s">
        <v>62</v>
      </c>
      <c r="AI5" s="17" t="s">
        <v>45</v>
      </c>
      <c r="AJ5" s="17" t="s">
        <v>45</v>
      </c>
      <c r="AK5" s="9" t="s">
        <v>23</v>
      </c>
      <c r="AL5" s="140" t="s">
        <v>2179</v>
      </c>
      <c r="AM5" s="141"/>
      <c r="AN5" s="141"/>
      <c r="AO5" s="141"/>
      <c r="AP5" s="142"/>
    </row>
    <row r="6" spans="1:44" s="14" customFormat="1" ht="42" customHeight="1" x14ac:dyDescent="0.4">
      <c r="A6" s="11">
        <v>18</v>
      </c>
      <c r="B6" s="11">
        <v>201</v>
      </c>
      <c r="C6" s="11" t="s">
        <v>79</v>
      </c>
      <c r="D6" s="13" t="s">
        <v>2173</v>
      </c>
      <c r="E6" s="33" t="s">
        <v>18</v>
      </c>
      <c r="F6" s="11" t="s">
        <v>2174</v>
      </c>
      <c r="G6" s="11" t="s">
        <v>43</v>
      </c>
      <c r="H6" s="11" t="s">
        <v>52</v>
      </c>
      <c r="I6" s="11" t="s">
        <v>84</v>
      </c>
      <c r="J6" s="11" t="s">
        <v>85</v>
      </c>
      <c r="K6" s="11" t="s">
        <v>60</v>
      </c>
      <c r="L6" s="11" t="s">
        <v>92</v>
      </c>
      <c r="M6" s="11" t="s">
        <v>45</v>
      </c>
      <c r="N6" s="11" t="s">
        <v>45</v>
      </c>
      <c r="O6" s="11" t="s">
        <v>23</v>
      </c>
      <c r="P6" s="11" t="s">
        <v>84</v>
      </c>
      <c r="Q6" s="11" t="s">
        <v>86</v>
      </c>
      <c r="R6" s="11">
        <v>730</v>
      </c>
      <c r="S6" s="40" t="s">
        <v>39</v>
      </c>
      <c r="T6" s="11">
        <v>900</v>
      </c>
      <c r="U6" s="11" t="s">
        <v>45</v>
      </c>
      <c r="V6" s="11" t="s">
        <v>84</v>
      </c>
      <c r="W6" s="11" t="s">
        <v>86</v>
      </c>
      <c r="X6" s="40" t="s">
        <v>60</v>
      </c>
      <c r="Y6" s="40" t="s">
        <v>87</v>
      </c>
      <c r="Z6" s="40" t="s">
        <v>2175</v>
      </c>
      <c r="AA6" s="40" t="s">
        <v>39</v>
      </c>
      <c r="AB6" s="12" t="s">
        <v>88</v>
      </c>
      <c r="AC6" s="11" t="s">
        <v>45</v>
      </c>
      <c r="AD6" s="11" t="s">
        <v>23</v>
      </c>
      <c r="AE6" s="11" t="s">
        <v>50</v>
      </c>
      <c r="AF6" s="11" t="s">
        <v>50</v>
      </c>
      <c r="AG6" s="13" t="s">
        <v>60</v>
      </c>
      <c r="AH6" s="13" t="s">
        <v>62</v>
      </c>
      <c r="AI6" s="13" t="s">
        <v>241</v>
      </c>
      <c r="AJ6" s="13" t="s">
        <v>45</v>
      </c>
      <c r="AK6" s="13" t="s">
        <v>45</v>
      </c>
      <c r="AL6" s="133" t="s">
        <v>2752</v>
      </c>
      <c r="AM6" s="134"/>
      <c r="AN6" s="134"/>
      <c r="AO6" s="134"/>
      <c r="AP6" s="135"/>
    </row>
    <row r="7" spans="1:44" s="10" customFormat="1" ht="40.5" customHeight="1" x14ac:dyDescent="0.4">
      <c r="A7" s="6">
        <v>18</v>
      </c>
      <c r="B7" s="6">
        <v>301</v>
      </c>
      <c r="C7" s="6" t="s">
        <v>2169</v>
      </c>
      <c r="D7" s="18" t="s">
        <v>2168</v>
      </c>
      <c r="E7" s="34" t="s">
        <v>18</v>
      </c>
      <c r="F7" s="6" t="s">
        <v>2170</v>
      </c>
      <c r="G7" s="6" t="s">
        <v>43</v>
      </c>
      <c r="H7" s="6" t="s">
        <v>52</v>
      </c>
      <c r="I7" s="6" t="s">
        <v>84</v>
      </c>
      <c r="J7" s="6" t="s">
        <v>85</v>
      </c>
      <c r="K7" s="6" t="s">
        <v>60</v>
      </c>
      <c r="L7" s="6" t="s">
        <v>92</v>
      </c>
      <c r="M7" s="6" t="s">
        <v>45</v>
      </c>
      <c r="N7" s="6" t="s">
        <v>23</v>
      </c>
      <c r="O7" s="6" t="s">
        <v>23</v>
      </c>
      <c r="P7" s="6" t="s">
        <v>84</v>
      </c>
      <c r="Q7" s="6" t="s">
        <v>86</v>
      </c>
      <c r="R7" s="6">
        <v>740</v>
      </c>
      <c r="S7" s="6" t="s">
        <v>39</v>
      </c>
      <c r="T7" s="6">
        <v>900</v>
      </c>
      <c r="U7" s="6" t="s">
        <v>45</v>
      </c>
      <c r="V7" s="6" t="s">
        <v>84</v>
      </c>
      <c r="W7" s="6" t="s">
        <v>86</v>
      </c>
      <c r="X7" s="6" t="s">
        <v>60</v>
      </c>
      <c r="Y7" s="6" t="s">
        <v>87</v>
      </c>
      <c r="Z7" s="6" t="s">
        <v>2171</v>
      </c>
      <c r="AA7" s="6" t="s">
        <v>39</v>
      </c>
      <c r="AB7" s="15" t="s">
        <v>88</v>
      </c>
      <c r="AC7" s="16" t="s">
        <v>45</v>
      </c>
      <c r="AD7" s="16" t="s">
        <v>23</v>
      </c>
      <c r="AE7" s="16" t="s">
        <v>50</v>
      </c>
      <c r="AF7" s="16" t="s">
        <v>50</v>
      </c>
      <c r="AG7" s="17" t="s">
        <v>60</v>
      </c>
      <c r="AH7" s="17" t="s">
        <v>62</v>
      </c>
      <c r="AI7" s="17" t="s">
        <v>45</v>
      </c>
      <c r="AJ7" s="17" t="s">
        <v>45</v>
      </c>
      <c r="AK7" s="17" t="s">
        <v>45</v>
      </c>
      <c r="AL7" s="106" t="s">
        <v>2172</v>
      </c>
      <c r="AM7" s="107"/>
      <c r="AN7" s="107"/>
      <c r="AO7" s="107"/>
      <c r="AP7" s="108"/>
    </row>
    <row r="8" spans="1:44" s="14" customFormat="1" ht="40.5" customHeight="1" x14ac:dyDescent="0.4">
      <c r="A8" s="11">
        <v>18</v>
      </c>
      <c r="B8" s="11">
        <v>401</v>
      </c>
      <c r="C8" s="11" t="s">
        <v>79</v>
      </c>
      <c r="D8" s="13" t="s">
        <v>2145</v>
      </c>
      <c r="E8" s="33" t="s">
        <v>18</v>
      </c>
      <c r="F8" s="11" t="s">
        <v>2146</v>
      </c>
      <c r="G8" s="11" t="s">
        <v>43</v>
      </c>
      <c r="H8" s="11" t="s">
        <v>52</v>
      </c>
      <c r="I8" s="11" t="s">
        <v>84</v>
      </c>
      <c r="J8" s="11" t="s">
        <v>85</v>
      </c>
      <c r="K8" s="11" t="s">
        <v>60</v>
      </c>
      <c r="L8" s="11" t="s">
        <v>92</v>
      </c>
      <c r="M8" s="11" t="s">
        <v>45</v>
      </c>
      <c r="N8" s="11" t="s">
        <v>45</v>
      </c>
      <c r="O8" s="11" t="s">
        <v>23</v>
      </c>
      <c r="P8" s="11" t="s">
        <v>84</v>
      </c>
      <c r="Q8" s="11" t="s">
        <v>86</v>
      </c>
      <c r="R8" s="11">
        <v>740</v>
      </c>
      <c r="S8" s="40" t="s">
        <v>39</v>
      </c>
      <c r="T8" s="11">
        <v>900</v>
      </c>
      <c r="U8" s="11" t="s">
        <v>45</v>
      </c>
      <c r="V8" s="11" t="s">
        <v>84</v>
      </c>
      <c r="W8" s="11" t="s">
        <v>86</v>
      </c>
      <c r="X8" s="40" t="s">
        <v>60</v>
      </c>
      <c r="Y8" s="40" t="s">
        <v>141</v>
      </c>
      <c r="Z8" s="40"/>
      <c r="AA8" s="40" t="s">
        <v>39</v>
      </c>
      <c r="AB8" s="12" t="s">
        <v>88</v>
      </c>
      <c r="AC8" s="11" t="s">
        <v>45</v>
      </c>
      <c r="AD8" s="11" t="s">
        <v>23</v>
      </c>
      <c r="AE8" s="11" t="s">
        <v>50</v>
      </c>
      <c r="AF8" s="11" t="s">
        <v>50</v>
      </c>
      <c r="AG8" s="13" t="s">
        <v>60</v>
      </c>
      <c r="AH8" s="13" t="s">
        <v>62</v>
      </c>
      <c r="AI8" s="13" t="s">
        <v>23</v>
      </c>
      <c r="AJ8" s="13" t="s">
        <v>45</v>
      </c>
      <c r="AK8" s="13" t="s">
        <v>45</v>
      </c>
      <c r="AL8" s="133" t="s">
        <v>2163</v>
      </c>
      <c r="AM8" s="134"/>
      <c r="AN8" s="134"/>
      <c r="AO8" s="134"/>
      <c r="AP8" s="135"/>
    </row>
    <row r="9" spans="1:44" s="10" customFormat="1" ht="42.75" customHeight="1" x14ac:dyDescent="0.4">
      <c r="A9" s="6">
        <v>18</v>
      </c>
      <c r="B9" s="6">
        <v>501</v>
      </c>
      <c r="C9" s="6" t="s">
        <v>79</v>
      </c>
      <c r="D9" s="18" t="s">
        <v>2142</v>
      </c>
      <c r="E9" s="34" t="s">
        <v>18</v>
      </c>
      <c r="F9" s="6" t="s">
        <v>2143</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19</v>
      </c>
      <c r="Y9" s="6"/>
      <c r="Z9" s="6"/>
      <c r="AA9" s="6" t="s">
        <v>65</v>
      </c>
      <c r="AB9" s="15" t="s">
        <v>19</v>
      </c>
      <c r="AC9" s="16" t="s">
        <v>45</v>
      </c>
      <c r="AD9" s="16" t="s">
        <v>45</v>
      </c>
      <c r="AE9" s="16" t="s">
        <v>50</v>
      </c>
      <c r="AF9" s="16" t="s">
        <v>50</v>
      </c>
      <c r="AG9" s="17" t="s">
        <v>60</v>
      </c>
      <c r="AH9" s="17" t="s">
        <v>62</v>
      </c>
      <c r="AI9" s="17" t="s">
        <v>45</v>
      </c>
      <c r="AJ9" s="17" t="s">
        <v>23</v>
      </c>
      <c r="AK9" s="17" t="s">
        <v>45</v>
      </c>
      <c r="AL9" s="106" t="s">
        <v>2144</v>
      </c>
      <c r="AM9" s="107"/>
      <c r="AN9" s="107"/>
      <c r="AO9" s="107"/>
      <c r="AP9" s="108"/>
    </row>
    <row r="10" spans="1:44" s="14" customFormat="1" ht="15" customHeight="1" x14ac:dyDescent="0.4">
      <c r="A10" s="11">
        <v>18</v>
      </c>
      <c r="B10" s="11">
        <v>102</v>
      </c>
      <c r="C10" s="11" t="s">
        <v>79</v>
      </c>
      <c r="D10" s="13" t="s">
        <v>2151</v>
      </c>
      <c r="E10" s="33" t="s">
        <v>18</v>
      </c>
      <c r="F10" s="11" t="s">
        <v>2152</v>
      </c>
      <c r="G10" s="11" t="s">
        <v>43</v>
      </c>
      <c r="H10" s="11" t="s">
        <v>52</v>
      </c>
      <c r="I10" s="11" t="s">
        <v>84</v>
      </c>
      <c r="J10" s="11" t="s">
        <v>85</v>
      </c>
      <c r="K10" s="11" t="s">
        <v>60</v>
      </c>
      <c r="L10" s="11" t="s">
        <v>92</v>
      </c>
      <c r="M10" s="11" t="s">
        <v>45</v>
      </c>
      <c r="N10" s="11" t="s">
        <v>23</v>
      </c>
      <c r="O10" s="11" t="s">
        <v>23</v>
      </c>
      <c r="P10" s="11" t="s">
        <v>84</v>
      </c>
      <c r="Q10" s="11" t="s">
        <v>86</v>
      </c>
      <c r="R10" s="11">
        <v>750</v>
      </c>
      <c r="S10" s="40" t="s">
        <v>39</v>
      </c>
      <c r="T10" s="11">
        <v>900</v>
      </c>
      <c r="U10" s="11" t="s">
        <v>45</v>
      </c>
      <c r="V10" s="11" t="s">
        <v>84</v>
      </c>
      <c r="W10" s="11" t="s">
        <v>86</v>
      </c>
      <c r="X10" s="40" t="s">
        <v>60</v>
      </c>
      <c r="Y10" s="40" t="s">
        <v>87</v>
      </c>
      <c r="Z10" s="40" t="s">
        <v>2153</v>
      </c>
      <c r="AA10" s="40" t="s">
        <v>39</v>
      </c>
      <c r="AB10" s="12" t="s">
        <v>88</v>
      </c>
      <c r="AC10" s="11" t="s">
        <v>45</v>
      </c>
      <c r="AD10" s="11" t="s">
        <v>23</v>
      </c>
      <c r="AE10" s="11" t="s">
        <v>50</v>
      </c>
      <c r="AF10" s="11" t="s">
        <v>50</v>
      </c>
      <c r="AG10" s="13" t="s">
        <v>60</v>
      </c>
      <c r="AH10" s="13" t="s">
        <v>62</v>
      </c>
      <c r="AI10" s="13" t="s">
        <v>45</v>
      </c>
      <c r="AJ10" s="13" t="s">
        <v>45</v>
      </c>
      <c r="AK10" s="13" t="s">
        <v>45</v>
      </c>
      <c r="AL10" s="133" t="s">
        <v>2154</v>
      </c>
      <c r="AM10" s="134"/>
      <c r="AN10" s="134"/>
      <c r="AO10" s="134"/>
      <c r="AP10" s="135"/>
    </row>
    <row r="11" spans="1:44" s="10" customFormat="1" ht="39.75" customHeight="1" x14ac:dyDescent="0.4">
      <c r="A11" s="6">
        <v>18</v>
      </c>
      <c r="B11" s="6">
        <v>202</v>
      </c>
      <c r="C11" s="6" t="s">
        <v>79</v>
      </c>
      <c r="D11" s="18" t="s">
        <v>2155</v>
      </c>
      <c r="E11" s="34" t="s">
        <v>18</v>
      </c>
      <c r="F11" s="6" t="s">
        <v>2156</v>
      </c>
      <c r="G11" s="6" t="s">
        <v>43</v>
      </c>
      <c r="H11" s="6" t="s">
        <v>52</v>
      </c>
      <c r="I11" s="6" t="s">
        <v>84</v>
      </c>
      <c r="J11" s="6" t="s">
        <v>85</v>
      </c>
      <c r="K11" s="6" t="s">
        <v>489</v>
      </c>
      <c r="L11" s="6" t="s">
        <v>92</v>
      </c>
      <c r="M11" s="6" t="s">
        <v>45</v>
      </c>
      <c r="N11" s="6" t="s">
        <v>45</v>
      </c>
      <c r="O11" s="6" t="s">
        <v>23</v>
      </c>
      <c r="P11" s="6" t="s">
        <v>84</v>
      </c>
      <c r="Q11" s="6" t="s">
        <v>86</v>
      </c>
      <c r="R11" s="6">
        <v>750</v>
      </c>
      <c r="S11" s="6" t="s">
        <v>39</v>
      </c>
      <c r="T11" s="6">
        <v>900</v>
      </c>
      <c r="U11" s="6" t="s">
        <v>45</v>
      </c>
      <c r="V11" s="6" t="s">
        <v>84</v>
      </c>
      <c r="W11" s="6" t="s">
        <v>86</v>
      </c>
      <c r="X11" s="6" t="s">
        <v>60</v>
      </c>
      <c r="Y11" s="6" t="s">
        <v>87</v>
      </c>
      <c r="Z11" s="6" t="s">
        <v>2157</v>
      </c>
      <c r="AA11" s="6" t="s">
        <v>39</v>
      </c>
      <c r="AB11" s="15" t="s">
        <v>88</v>
      </c>
      <c r="AC11" s="16" t="s">
        <v>45</v>
      </c>
      <c r="AD11" s="16" t="s">
        <v>23</v>
      </c>
      <c r="AE11" s="16" t="s">
        <v>50</v>
      </c>
      <c r="AF11" s="16" t="s">
        <v>50</v>
      </c>
      <c r="AG11" s="17" t="s">
        <v>60</v>
      </c>
      <c r="AH11" s="17" t="s">
        <v>62</v>
      </c>
      <c r="AI11" s="17" t="s">
        <v>45</v>
      </c>
      <c r="AJ11" s="17" t="s">
        <v>23</v>
      </c>
      <c r="AK11" s="17" t="s">
        <v>45</v>
      </c>
      <c r="AL11" s="106" t="s">
        <v>2158</v>
      </c>
      <c r="AM11" s="107"/>
      <c r="AN11" s="107"/>
      <c r="AO11" s="107"/>
      <c r="AP11" s="108"/>
    </row>
    <row r="12" spans="1:44" s="14" customFormat="1" ht="43.5" customHeight="1" x14ac:dyDescent="0.4">
      <c r="A12" s="11">
        <v>18</v>
      </c>
      <c r="B12" s="11">
        <v>302</v>
      </c>
      <c r="C12" s="11" t="s">
        <v>79</v>
      </c>
      <c r="D12" s="13" t="s">
        <v>2159</v>
      </c>
      <c r="E12" s="33" t="s">
        <v>18</v>
      </c>
      <c r="F12" s="45" t="s">
        <v>2160</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900</v>
      </c>
      <c r="U12" s="11" t="s">
        <v>45</v>
      </c>
      <c r="V12" s="11" t="s">
        <v>84</v>
      </c>
      <c r="W12" s="11" t="s">
        <v>86</v>
      </c>
      <c r="X12" s="40" t="s">
        <v>60</v>
      </c>
      <c r="Y12" s="40" t="s">
        <v>344</v>
      </c>
      <c r="Z12" s="53" t="s">
        <v>2161</v>
      </c>
      <c r="AA12" s="40" t="s">
        <v>39</v>
      </c>
      <c r="AB12" s="12" t="s">
        <v>88</v>
      </c>
      <c r="AC12" s="11" t="s">
        <v>45</v>
      </c>
      <c r="AD12" s="11" t="s">
        <v>23</v>
      </c>
      <c r="AE12" s="11" t="s">
        <v>50</v>
      </c>
      <c r="AF12" s="11" t="s">
        <v>50</v>
      </c>
      <c r="AG12" s="13" t="s">
        <v>60</v>
      </c>
      <c r="AH12" s="13" t="s">
        <v>62</v>
      </c>
      <c r="AI12" s="13" t="s">
        <v>45</v>
      </c>
      <c r="AJ12" s="13" t="s">
        <v>45</v>
      </c>
      <c r="AK12" s="13" t="s">
        <v>45</v>
      </c>
      <c r="AL12" s="133" t="s">
        <v>2162</v>
      </c>
      <c r="AM12" s="134"/>
      <c r="AN12" s="134"/>
      <c r="AO12" s="134"/>
      <c r="AP12" s="135"/>
    </row>
    <row r="13" spans="1:44" s="10" customFormat="1" ht="46.5" customHeight="1" x14ac:dyDescent="0.4">
      <c r="A13" s="6">
        <v>18</v>
      </c>
      <c r="B13" s="6">
        <v>402</v>
      </c>
      <c r="C13" s="6" t="s">
        <v>79</v>
      </c>
      <c r="D13" s="18" t="s">
        <v>2654</v>
      </c>
      <c r="E13" s="34" t="s">
        <v>18</v>
      </c>
      <c r="F13" s="6" t="s">
        <v>2655</v>
      </c>
      <c r="G13" s="6" t="s">
        <v>43</v>
      </c>
      <c r="H13" s="6" t="s">
        <v>52</v>
      </c>
      <c r="I13" s="6" t="s">
        <v>84</v>
      </c>
      <c r="J13" s="6" t="s">
        <v>85</v>
      </c>
      <c r="K13" s="6" t="s">
        <v>60</v>
      </c>
      <c r="L13" s="6" t="s">
        <v>92</v>
      </c>
      <c r="M13" s="6" t="s">
        <v>45</v>
      </c>
      <c r="N13" s="6" t="s">
        <v>45</v>
      </c>
      <c r="O13" s="6" t="s">
        <v>45</v>
      </c>
      <c r="P13" s="6" t="s">
        <v>84</v>
      </c>
      <c r="Q13" s="6" t="s">
        <v>86</v>
      </c>
      <c r="R13" s="6">
        <v>750</v>
      </c>
      <c r="S13" s="6" t="s">
        <v>39</v>
      </c>
      <c r="T13" s="6">
        <v>900</v>
      </c>
      <c r="U13" s="6" t="s">
        <v>45</v>
      </c>
      <c r="V13" s="6" t="s">
        <v>84</v>
      </c>
      <c r="W13" s="6" t="s">
        <v>86</v>
      </c>
      <c r="X13" s="6" t="s">
        <v>60</v>
      </c>
      <c r="Y13" s="6" t="s">
        <v>531</v>
      </c>
      <c r="Z13" s="6"/>
      <c r="AA13" s="6" t="s">
        <v>65</v>
      </c>
      <c r="AB13" s="15" t="s">
        <v>88</v>
      </c>
      <c r="AC13" s="16" t="s">
        <v>23</v>
      </c>
      <c r="AD13" s="16" t="s">
        <v>23</v>
      </c>
      <c r="AE13" s="16" t="s">
        <v>50</v>
      </c>
      <c r="AF13" s="16" t="s">
        <v>50</v>
      </c>
      <c r="AG13" s="17" t="s">
        <v>60</v>
      </c>
      <c r="AH13" s="17" t="s">
        <v>62</v>
      </c>
      <c r="AI13" s="17" t="s">
        <v>45</v>
      </c>
      <c r="AJ13" s="17" t="s">
        <v>23</v>
      </c>
      <c r="AK13" s="17" t="s">
        <v>23</v>
      </c>
      <c r="AL13" s="106" t="s">
        <v>2656</v>
      </c>
      <c r="AM13" s="107"/>
      <c r="AN13" s="107"/>
      <c r="AO13" s="107"/>
      <c r="AP13" s="108"/>
    </row>
    <row r="14" spans="1:44" s="14" customFormat="1" ht="36.75" customHeight="1" x14ac:dyDescent="0.4">
      <c r="A14" s="11">
        <v>18</v>
      </c>
      <c r="B14" s="11">
        <v>502</v>
      </c>
      <c r="C14" s="11" t="s">
        <v>79</v>
      </c>
      <c r="D14" s="13" t="s">
        <v>2554</v>
      </c>
      <c r="E14" s="33" t="s">
        <v>2209</v>
      </c>
      <c r="F14" s="45" t="s">
        <v>2555</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60</v>
      </c>
      <c r="Y14" s="40" t="s">
        <v>104</v>
      </c>
      <c r="Z14" s="53" t="s">
        <v>2556</v>
      </c>
      <c r="AA14" s="40" t="s">
        <v>39</v>
      </c>
      <c r="AB14" s="12" t="s">
        <v>88</v>
      </c>
      <c r="AC14" s="11" t="s">
        <v>45</v>
      </c>
      <c r="AD14" s="11" t="s">
        <v>45</v>
      </c>
      <c r="AE14" s="11" t="s">
        <v>50</v>
      </c>
      <c r="AF14" s="11" t="s">
        <v>50</v>
      </c>
      <c r="AG14" s="13" t="s">
        <v>60</v>
      </c>
      <c r="AH14" s="13" t="s">
        <v>62</v>
      </c>
      <c r="AI14" s="13" t="s">
        <v>45</v>
      </c>
      <c r="AJ14" s="13" t="s">
        <v>45</v>
      </c>
      <c r="AK14" s="13" t="s">
        <v>45</v>
      </c>
      <c r="AL14" s="133" t="s">
        <v>2557</v>
      </c>
      <c r="AM14" s="134"/>
      <c r="AN14" s="134"/>
      <c r="AO14" s="134"/>
      <c r="AP14" s="135"/>
    </row>
    <row r="15" spans="1:44" s="10" customFormat="1" ht="15" customHeight="1" x14ac:dyDescent="0.4">
      <c r="A15" s="6">
        <v>18</v>
      </c>
      <c r="B15" s="6">
        <v>103</v>
      </c>
      <c r="C15" s="6" t="s">
        <v>79</v>
      </c>
      <c r="D15" s="18" t="s">
        <v>2197</v>
      </c>
      <c r="E15" s="34" t="s">
        <v>18</v>
      </c>
      <c r="F15" s="6" t="s">
        <v>2198</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2199</v>
      </c>
      <c r="AA15" s="6" t="s">
        <v>39</v>
      </c>
      <c r="AB15" s="15" t="s">
        <v>19</v>
      </c>
      <c r="AC15" s="16" t="s">
        <v>45</v>
      </c>
      <c r="AD15" s="16" t="s">
        <v>45</v>
      </c>
      <c r="AE15" s="16" t="s">
        <v>50</v>
      </c>
      <c r="AF15" s="16" t="s">
        <v>50</v>
      </c>
      <c r="AG15" s="17" t="s">
        <v>60</v>
      </c>
      <c r="AH15" s="17" t="s">
        <v>62</v>
      </c>
      <c r="AI15" s="17" t="s">
        <v>241</v>
      </c>
      <c r="AJ15" s="17" t="s">
        <v>45</v>
      </c>
      <c r="AK15" s="17" t="s">
        <v>45</v>
      </c>
      <c r="AL15" s="106" t="s">
        <v>2200</v>
      </c>
      <c r="AM15" s="107"/>
      <c r="AN15" s="107"/>
      <c r="AO15" s="107"/>
      <c r="AP15" s="108"/>
    </row>
    <row r="16" spans="1:44" s="14" customFormat="1" ht="42" customHeight="1" x14ac:dyDescent="0.4">
      <c r="A16" s="11">
        <v>18</v>
      </c>
      <c r="B16" s="11">
        <v>203</v>
      </c>
      <c r="C16" s="11" t="s">
        <v>79</v>
      </c>
      <c r="D16" s="13" t="s">
        <v>2201</v>
      </c>
      <c r="E16" s="33" t="s">
        <v>18</v>
      </c>
      <c r="F16" s="45" t="s">
        <v>2202</v>
      </c>
      <c r="G16" s="11" t="s">
        <v>43</v>
      </c>
      <c r="H16" s="11" t="s">
        <v>52</v>
      </c>
      <c r="I16" s="11" t="s">
        <v>84</v>
      </c>
      <c r="J16" s="11" t="s">
        <v>85</v>
      </c>
      <c r="K16" s="11" t="s">
        <v>60</v>
      </c>
      <c r="L16" s="11" t="s">
        <v>92</v>
      </c>
      <c r="M16" s="11" t="s">
        <v>45</v>
      </c>
      <c r="N16" s="11" t="s">
        <v>45</v>
      </c>
      <c r="O16" s="11" t="s">
        <v>45</v>
      </c>
      <c r="P16" s="11" t="s">
        <v>84</v>
      </c>
      <c r="Q16" s="11" t="s">
        <v>86</v>
      </c>
      <c r="R16" s="11">
        <v>750</v>
      </c>
      <c r="S16" s="40" t="s">
        <v>39</v>
      </c>
      <c r="T16" s="11">
        <v>900</v>
      </c>
      <c r="U16" s="11" t="s">
        <v>45</v>
      </c>
      <c r="V16" s="11" t="s">
        <v>84</v>
      </c>
      <c r="W16" s="11" t="s">
        <v>86</v>
      </c>
      <c r="X16" s="40" t="s">
        <v>60</v>
      </c>
      <c r="Y16" s="40" t="s">
        <v>2203</v>
      </c>
      <c r="Z16" s="40"/>
      <c r="AA16" s="40" t="s">
        <v>39</v>
      </c>
      <c r="AB16" s="12" t="s">
        <v>88</v>
      </c>
      <c r="AC16" s="11" t="s">
        <v>45</v>
      </c>
      <c r="AD16" s="11" t="s">
        <v>45</v>
      </c>
      <c r="AE16" s="11" t="s">
        <v>50</v>
      </c>
      <c r="AF16" s="11" t="s">
        <v>50</v>
      </c>
      <c r="AG16" s="13" t="s">
        <v>60</v>
      </c>
      <c r="AH16" s="13" t="s">
        <v>62</v>
      </c>
      <c r="AI16" s="13" t="s">
        <v>45</v>
      </c>
      <c r="AJ16" s="13" t="s">
        <v>45</v>
      </c>
      <c r="AK16" s="13" t="s">
        <v>23</v>
      </c>
      <c r="AL16" s="133" t="s">
        <v>2204</v>
      </c>
      <c r="AM16" s="134"/>
      <c r="AN16" s="134"/>
      <c r="AO16" s="134"/>
      <c r="AP16" s="135"/>
    </row>
    <row r="17" spans="1:43" s="10" customFormat="1" ht="15" customHeight="1" x14ac:dyDescent="0.4">
      <c r="A17" s="6">
        <v>18</v>
      </c>
      <c r="B17" s="6">
        <v>303</v>
      </c>
      <c r="C17" s="6" t="s">
        <v>79</v>
      </c>
      <c r="D17" s="18" t="s">
        <v>2164</v>
      </c>
      <c r="E17" s="34" t="s">
        <v>18</v>
      </c>
      <c r="F17" s="6" t="s">
        <v>2165</v>
      </c>
      <c r="G17" s="6" t="s">
        <v>43</v>
      </c>
      <c r="H17" s="6" t="s">
        <v>52</v>
      </c>
      <c r="I17" s="6" t="s">
        <v>84</v>
      </c>
      <c r="J17" s="6" t="s">
        <v>85</v>
      </c>
      <c r="K17" s="6" t="s">
        <v>19</v>
      </c>
      <c r="L17" s="6" t="s">
        <v>24</v>
      </c>
      <c r="M17" s="6" t="s">
        <v>45</v>
      </c>
      <c r="N17" s="6" t="s">
        <v>45</v>
      </c>
      <c r="O17" s="6" t="s">
        <v>23</v>
      </c>
      <c r="P17" s="6" t="s">
        <v>84</v>
      </c>
      <c r="Q17" s="6" t="s">
        <v>86</v>
      </c>
      <c r="R17" s="6">
        <v>750</v>
      </c>
      <c r="S17" s="6" t="s">
        <v>39</v>
      </c>
      <c r="T17" s="6">
        <v>900</v>
      </c>
      <c r="U17" s="6" t="s">
        <v>45</v>
      </c>
      <c r="V17" s="6" t="s">
        <v>84</v>
      </c>
      <c r="W17" s="6" t="s">
        <v>86</v>
      </c>
      <c r="X17" s="6" t="s">
        <v>60</v>
      </c>
      <c r="Y17" s="6" t="s">
        <v>87</v>
      </c>
      <c r="Z17" s="6" t="s">
        <v>2166</v>
      </c>
      <c r="AA17" s="6" t="s">
        <v>39</v>
      </c>
      <c r="AB17" s="15" t="s">
        <v>19</v>
      </c>
      <c r="AC17" s="16" t="s">
        <v>45</v>
      </c>
      <c r="AD17" s="16" t="s">
        <v>45</v>
      </c>
      <c r="AE17" s="16" t="s">
        <v>116</v>
      </c>
      <c r="AF17" s="16" t="s">
        <v>50</v>
      </c>
      <c r="AG17" s="17" t="s">
        <v>60</v>
      </c>
      <c r="AH17" s="17" t="s">
        <v>62</v>
      </c>
      <c r="AI17" s="17" t="s">
        <v>45</v>
      </c>
      <c r="AJ17" s="17" t="s">
        <v>45</v>
      </c>
      <c r="AK17" s="17" t="s">
        <v>45</v>
      </c>
      <c r="AL17" s="106" t="s">
        <v>2167</v>
      </c>
      <c r="AM17" s="107"/>
      <c r="AN17" s="107"/>
      <c r="AO17" s="107"/>
      <c r="AP17" s="108"/>
    </row>
    <row r="18" spans="1:43" s="14" customFormat="1" ht="39.75" customHeight="1" x14ac:dyDescent="0.4">
      <c r="A18" s="11">
        <v>18</v>
      </c>
      <c r="B18" s="11">
        <v>403</v>
      </c>
      <c r="C18" s="11" t="s">
        <v>79</v>
      </c>
      <c r="D18" s="13" t="s">
        <v>2180</v>
      </c>
      <c r="E18" s="33" t="s">
        <v>18</v>
      </c>
      <c r="F18" s="11" t="s">
        <v>2181</v>
      </c>
      <c r="G18" s="11" t="s">
        <v>43</v>
      </c>
      <c r="H18" s="11" t="s">
        <v>52</v>
      </c>
      <c r="I18" s="11" t="s">
        <v>84</v>
      </c>
      <c r="J18" s="11" t="s">
        <v>85</v>
      </c>
      <c r="K18" s="11" t="s">
        <v>19</v>
      </c>
      <c r="L18" s="11" t="s">
        <v>24</v>
      </c>
      <c r="M18" s="11" t="s">
        <v>45</v>
      </c>
      <c r="N18" s="11" t="s">
        <v>45</v>
      </c>
      <c r="O18" s="11" t="s">
        <v>23</v>
      </c>
      <c r="P18" s="11" t="s">
        <v>84</v>
      </c>
      <c r="Q18" s="11" t="s">
        <v>86</v>
      </c>
      <c r="R18" s="11">
        <v>750</v>
      </c>
      <c r="S18" s="40" t="s">
        <v>39</v>
      </c>
      <c r="T18" s="11">
        <v>900</v>
      </c>
      <c r="U18" s="11" t="s">
        <v>45</v>
      </c>
      <c r="V18" s="11" t="s">
        <v>84</v>
      </c>
      <c r="W18" s="11" t="s">
        <v>86</v>
      </c>
      <c r="X18" s="40" t="s">
        <v>60</v>
      </c>
      <c r="Y18" s="40" t="s">
        <v>344</v>
      </c>
      <c r="Z18" s="40"/>
      <c r="AA18" s="40" t="s">
        <v>39</v>
      </c>
      <c r="AB18" s="12" t="s">
        <v>88</v>
      </c>
      <c r="AC18" s="11" t="s">
        <v>45</v>
      </c>
      <c r="AD18" s="11" t="s">
        <v>45</v>
      </c>
      <c r="AE18" s="11" t="s">
        <v>116</v>
      </c>
      <c r="AF18" s="11" t="s">
        <v>50</v>
      </c>
      <c r="AG18" s="13" t="s">
        <v>60</v>
      </c>
      <c r="AH18" s="13" t="s">
        <v>62</v>
      </c>
      <c r="AI18" s="13" t="s">
        <v>23</v>
      </c>
      <c r="AJ18" s="13" t="s">
        <v>45</v>
      </c>
      <c r="AK18" s="13" t="s">
        <v>45</v>
      </c>
      <c r="AL18" s="133" t="s">
        <v>2182</v>
      </c>
      <c r="AM18" s="134"/>
      <c r="AN18" s="134"/>
      <c r="AO18" s="134"/>
      <c r="AP18" s="135"/>
    </row>
    <row r="19" spans="1:43" s="10" customFormat="1" ht="38.25" customHeight="1" x14ac:dyDescent="0.4">
      <c r="A19" s="6">
        <v>18</v>
      </c>
      <c r="B19" s="6">
        <v>503</v>
      </c>
      <c r="C19" s="6" t="s">
        <v>79</v>
      </c>
      <c r="D19" s="18" t="s">
        <v>2183</v>
      </c>
      <c r="E19" s="34" t="s">
        <v>18</v>
      </c>
      <c r="F19" s="46" t="s">
        <v>2184</v>
      </c>
      <c r="G19" s="6" t="s">
        <v>22</v>
      </c>
      <c r="H19" s="6" t="s">
        <v>52</v>
      </c>
      <c r="I19" s="6" t="s">
        <v>84</v>
      </c>
      <c r="J19" s="6" t="s">
        <v>85</v>
      </c>
      <c r="K19" s="6" t="s">
        <v>19</v>
      </c>
      <c r="L19" s="6" t="s">
        <v>24</v>
      </c>
      <c r="M19" s="6" t="s">
        <v>45</v>
      </c>
      <c r="N19" s="6" t="s">
        <v>45</v>
      </c>
      <c r="O19" s="6" t="s">
        <v>23</v>
      </c>
      <c r="P19" s="6" t="s">
        <v>84</v>
      </c>
      <c r="Q19" s="6" t="s">
        <v>86</v>
      </c>
      <c r="R19" s="6">
        <v>750</v>
      </c>
      <c r="S19" s="6" t="s">
        <v>39</v>
      </c>
      <c r="T19" s="6">
        <v>900</v>
      </c>
      <c r="U19" s="6" t="s">
        <v>45</v>
      </c>
      <c r="V19" s="6" t="s">
        <v>84</v>
      </c>
      <c r="W19" s="6" t="s">
        <v>86</v>
      </c>
      <c r="X19" s="6" t="s">
        <v>19</v>
      </c>
      <c r="Y19" s="6"/>
      <c r="Z19" s="6"/>
      <c r="AA19" s="6" t="s">
        <v>65</v>
      </c>
      <c r="AB19" s="15" t="s">
        <v>88</v>
      </c>
      <c r="AC19" s="16" t="s">
        <v>45</v>
      </c>
      <c r="AD19" s="16" t="s">
        <v>45</v>
      </c>
      <c r="AE19" s="16" t="s">
        <v>50</v>
      </c>
      <c r="AF19" s="16" t="s">
        <v>50</v>
      </c>
      <c r="AG19" s="17" t="s">
        <v>60</v>
      </c>
      <c r="AH19" s="17" t="s">
        <v>62</v>
      </c>
      <c r="AI19" s="17" t="s">
        <v>45</v>
      </c>
      <c r="AJ19" s="17" t="s">
        <v>45</v>
      </c>
      <c r="AK19" s="17" t="s">
        <v>45</v>
      </c>
      <c r="AL19" s="106" t="s">
        <v>2185</v>
      </c>
      <c r="AM19" s="107"/>
      <c r="AN19" s="107"/>
      <c r="AO19" s="107"/>
      <c r="AP19" s="108"/>
    </row>
    <row r="20" spans="1:43" s="14" customFormat="1" ht="42.75" customHeight="1" x14ac:dyDescent="0.4">
      <c r="A20" s="11">
        <v>18</v>
      </c>
      <c r="B20" s="11">
        <v>104</v>
      </c>
      <c r="C20" s="11" t="s">
        <v>79</v>
      </c>
      <c r="D20" s="13" t="s">
        <v>2216</v>
      </c>
      <c r="E20" s="33" t="s">
        <v>18</v>
      </c>
      <c r="F20" s="45" t="s">
        <v>2217</v>
      </c>
      <c r="G20" s="11" t="s">
        <v>43</v>
      </c>
      <c r="H20" s="11" t="s">
        <v>52</v>
      </c>
      <c r="I20" s="11" t="s">
        <v>84</v>
      </c>
      <c r="J20" s="11" t="s">
        <v>85</v>
      </c>
      <c r="K20" s="11" t="s">
        <v>60</v>
      </c>
      <c r="L20" s="11" t="s">
        <v>92</v>
      </c>
      <c r="M20" s="11" t="s">
        <v>45</v>
      </c>
      <c r="N20" s="11" t="s">
        <v>45</v>
      </c>
      <c r="O20" s="11" t="s">
        <v>23</v>
      </c>
      <c r="P20" s="11" t="s">
        <v>84</v>
      </c>
      <c r="Q20" s="11" t="s">
        <v>86</v>
      </c>
      <c r="R20" s="11">
        <v>590</v>
      </c>
      <c r="S20" s="40" t="s">
        <v>39</v>
      </c>
      <c r="T20" s="11">
        <v>900</v>
      </c>
      <c r="U20" s="11" t="s">
        <v>45</v>
      </c>
      <c r="V20" s="11" t="s">
        <v>84</v>
      </c>
      <c r="W20" s="11" t="s">
        <v>86</v>
      </c>
      <c r="X20" s="40" t="s">
        <v>60</v>
      </c>
      <c r="Y20" s="40" t="s">
        <v>87</v>
      </c>
      <c r="Z20" s="40" t="s">
        <v>2218</v>
      </c>
      <c r="AA20" s="40" t="s">
        <v>39</v>
      </c>
      <c r="AB20" s="12" t="s">
        <v>88</v>
      </c>
      <c r="AC20" s="11" t="s">
        <v>45</v>
      </c>
      <c r="AD20" s="11" t="s">
        <v>23</v>
      </c>
      <c r="AE20" s="11" t="s">
        <v>50</v>
      </c>
      <c r="AF20" s="11" t="s">
        <v>50</v>
      </c>
      <c r="AG20" s="13" t="s">
        <v>60</v>
      </c>
      <c r="AH20" s="13" t="s">
        <v>62</v>
      </c>
      <c r="AI20" s="13" t="s">
        <v>45</v>
      </c>
      <c r="AJ20" s="13" t="s">
        <v>45</v>
      </c>
      <c r="AK20" s="13" t="s">
        <v>45</v>
      </c>
      <c r="AL20" s="133" t="s">
        <v>2219</v>
      </c>
      <c r="AM20" s="134"/>
      <c r="AN20" s="134"/>
      <c r="AO20" s="134"/>
      <c r="AP20" s="135"/>
    </row>
    <row r="21" spans="1:43" s="10" customFormat="1" ht="42" customHeight="1" x14ac:dyDescent="0.4">
      <c r="A21" s="6">
        <v>18</v>
      </c>
      <c r="B21" s="6">
        <v>204</v>
      </c>
      <c r="C21" s="6" t="s">
        <v>79</v>
      </c>
      <c r="D21" s="18" t="s">
        <v>2212</v>
      </c>
      <c r="E21" s="34" t="s">
        <v>18</v>
      </c>
      <c r="F21" s="46" t="s">
        <v>2213</v>
      </c>
      <c r="G21" s="6" t="s">
        <v>43</v>
      </c>
      <c r="H21" s="6" t="s">
        <v>52</v>
      </c>
      <c r="I21" s="6" t="s">
        <v>84</v>
      </c>
      <c r="J21" s="6" t="s">
        <v>85</v>
      </c>
      <c r="K21" s="6" t="s">
        <v>60</v>
      </c>
      <c r="L21" s="6" t="s">
        <v>92</v>
      </c>
      <c r="M21" s="6" t="s">
        <v>45</v>
      </c>
      <c r="N21" s="6" t="s">
        <v>45</v>
      </c>
      <c r="O21" s="6" t="s">
        <v>45</v>
      </c>
      <c r="P21" s="6" t="s">
        <v>84</v>
      </c>
      <c r="Q21" s="6" t="s">
        <v>86</v>
      </c>
      <c r="R21" s="6">
        <v>750</v>
      </c>
      <c r="S21" s="6" t="s">
        <v>39</v>
      </c>
      <c r="T21" s="6">
        <v>900</v>
      </c>
      <c r="U21" s="6" t="s">
        <v>45</v>
      </c>
      <c r="V21" s="6" t="s">
        <v>84</v>
      </c>
      <c r="W21" s="6" t="s">
        <v>86</v>
      </c>
      <c r="X21" s="6" t="s">
        <v>60</v>
      </c>
      <c r="Y21" s="6" t="s">
        <v>87</v>
      </c>
      <c r="Z21" s="6" t="s">
        <v>2214</v>
      </c>
      <c r="AA21" s="6" t="s">
        <v>39</v>
      </c>
      <c r="AB21" s="15" t="s">
        <v>88</v>
      </c>
      <c r="AC21" s="16" t="s">
        <v>45</v>
      </c>
      <c r="AD21" s="16" t="s">
        <v>45</v>
      </c>
      <c r="AE21" s="16" t="s">
        <v>116</v>
      </c>
      <c r="AF21" s="16" t="s">
        <v>50</v>
      </c>
      <c r="AG21" s="17" t="s">
        <v>60</v>
      </c>
      <c r="AH21" s="17" t="s">
        <v>62</v>
      </c>
      <c r="AI21" s="17" t="s">
        <v>45</v>
      </c>
      <c r="AJ21" s="17" t="s">
        <v>45</v>
      </c>
      <c r="AK21" s="17" t="s">
        <v>45</v>
      </c>
      <c r="AL21" s="106" t="s">
        <v>2215</v>
      </c>
      <c r="AM21" s="107"/>
      <c r="AN21" s="107"/>
      <c r="AO21" s="107"/>
      <c r="AP21" s="108"/>
    </row>
    <row r="22" spans="1:43" s="14" customFormat="1" ht="44.25" customHeight="1" x14ac:dyDescent="0.4">
      <c r="A22" s="11">
        <v>18</v>
      </c>
      <c r="B22" s="11">
        <v>304</v>
      </c>
      <c r="C22" s="11" t="s">
        <v>79</v>
      </c>
      <c r="D22" s="13" t="s">
        <v>2186</v>
      </c>
      <c r="E22" s="33" t="s">
        <v>18</v>
      </c>
      <c r="F22" s="11" t="s">
        <v>2187</v>
      </c>
      <c r="G22" s="11" t="s">
        <v>43</v>
      </c>
      <c r="H22" s="11" t="s">
        <v>52</v>
      </c>
      <c r="I22" s="11" t="s">
        <v>84</v>
      </c>
      <c r="J22" s="11" t="s">
        <v>85</v>
      </c>
      <c r="K22" s="11" t="s">
        <v>60</v>
      </c>
      <c r="L22" s="11" t="s">
        <v>92</v>
      </c>
      <c r="M22" s="11" t="s">
        <v>45</v>
      </c>
      <c r="N22" s="11" t="s">
        <v>45</v>
      </c>
      <c r="O22" s="11" t="s">
        <v>23</v>
      </c>
      <c r="P22" s="11" t="s">
        <v>84</v>
      </c>
      <c r="Q22" s="11" t="s">
        <v>86</v>
      </c>
      <c r="R22" s="11" t="s">
        <v>2188</v>
      </c>
      <c r="S22" s="40" t="s">
        <v>39</v>
      </c>
      <c r="T22" s="11">
        <v>900</v>
      </c>
      <c r="U22" s="11" t="s">
        <v>45</v>
      </c>
      <c r="V22" s="11" t="s">
        <v>84</v>
      </c>
      <c r="W22" s="11" t="s">
        <v>86</v>
      </c>
      <c r="X22" s="40" t="s">
        <v>60</v>
      </c>
      <c r="Y22" s="40" t="s">
        <v>141</v>
      </c>
      <c r="Z22" s="40"/>
      <c r="AA22" s="40" t="s">
        <v>39</v>
      </c>
      <c r="AB22" s="12" t="s">
        <v>88</v>
      </c>
      <c r="AC22" s="11" t="s">
        <v>45</v>
      </c>
      <c r="AD22" s="11" t="s">
        <v>23</v>
      </c>
      <c r="AE22" s="11" t="s">
        <v>116</v>
      </c>
      <c r="AF22" s="11" t="s">
        <v>116</v>
      </c>
      <c r="AG22" s="13" t="s">
        <v>60</v>
      </c>
      <c r="AH22" s="13" t="s">
        <v>62</v>
      </c>
      <c r="AI22" s="13" t="s">
        <v>23</v>
      </c>
      <c r="AJ22" s="13" t="s">
        <v>45</v>
      </c>
      <c r="AK22" s="13" t="s">
        <v>23</v>
      </c>
      <c r="AL22" s="133" t="s">
        <v>2189</v>
      </c>
      <c r="AM22" s="134"/>
      <c r="AN22" s="134"/>
      <c r="AO22" s="134"/>
      <c r="AP22" s="135"/>
    </row>
    <row r="23" spans="1:43" s="10" customFormat="1" ht="36.75" customHeight="1" x14ac:dyDescent="0.4">
      <c r="A23" s="6">
        <v>18</v>
      </c>
      <c r="B23" s="6">
        <v>404</v>
      </c>
      <c r="C23" s="6" t="s">
        <v>79</v>
      </c>
      <c r="D23" s="18" t="s">
        <v>2190</v>
      </c>
      <c r="E23" s="34" t="s">
        <v>18</v>
      </c>
      <c r="F23" s="6" t="s">
        <v>2191</v>
      </c>
      <c r="G23" s="6" t="s">
        <v>43</v>
      </c>
      <c r="H23" s="6" t="s">
        <v>52</v>
      </c>
      <c r="I23" s="6" t="s">
        <v>84</v>
      </c>
      <c r="J23" s="6" t="s">
        <v>85</v>
      </c>
      <c r="K23" s="6" t="s">
        <v>60</v>
      </c>
      <c r="L23" s="6" t="s">
        <v>92</v>
      </c>
      <c r="M23" s="6" t="s">
        <v>45</v>
      </c>
      <c r="N23" s="6" t="s">
        <v>45</v>
      </c>
      <c r="O23" s="6" t="s">
        <v>23</v>
      </c>
      <c r="P23" s="6" t="s">
        <v>84</v>
      </c>
      <c r="Q23" s="6" t="s">
        <v>86</v>
      </c>
      <c r="R23" s="6">
        <v>740</v>
      </c>
      <c r="S23" s="6" t="s">
        <v>39</v>
      </c>
      <c r="T23" s="6">
        <v>900</v>
      </c>
      <c r="U23" s="6" t="s">
        <v>45</v>
      </c>
      <c r="V23" s="6" t="s">
        <v>84</v>
      </c>
      <c r="W23" s="6" t="s">
        <v>86</v>
      </c>
      <c r="X23" s="6" t="s">
        <v>60</v>
      </c>
      <c r="Y23" s="6" t="s">
        <v>141</v>
      </c>
      <c r="Z23" s="6"/>
      <c r="AA23" s="6" t="s">
        <v>39</v>
      </c>
      <c r="AB23" s="15" t="s">
        <v>88</v>
      </c>
      <c r="AC23" s="16" t="s">
        <v>23</v>
      </c>
      <c r="AD23" s="16" t="s">
        <v>23</v>
      </c>
      <c r="AE23" s="16" t="s">
        <v>50</v>
      </c>
      <c r="AF23" s="16" t="s">
        <v>50</v>
      </c>
      <c r="AG23" s="17" t="s">
        <v>60</v>
      </c>
      <c r="AH23" s="17" t="s">
        <v>62</v>
      </c>
      <c r="AI23" s="17" t="s">
        <v>45</v>
      </c>
      <c r="AJ23" s="17" t="s">
        <v>45</v>
      </c>
      <c r="AK23" s="17" t="s">
        <v>45</v>
      </c>
      <c r="AL23" s="106" t="s">
        <v>2192</v>
      </c>
      <c r="AM23" s="107"/>
      <c r="AN23" s="107"/>
      <c r="AO23" s="107"/>
      <c r="AP23" s="108"/>
    </row>
    <row r="24" spans="1:43" s="14" customFormat="1" ht="42.75" customHeight="1" x14ac:dyDescent="0.4">
      <c r="A24" s="11">
        <v>18</v>
      </c>
      <c r="B24" s="11">
        <v>504</v>
      </c>
      <c r="C24" s="11" t="s">
        <v>79</v>
      </c>
      <c r="D24" s="13" t="s">
        <v>2193</v>
      </c>
      <c r="E24" s="33" t="s">
        <v>18</v>
      </c>
      <c r="F24" s="11" t="s">
        <v>2194</v>
      </c>
      <c r="G24" s="11" t="s">
        <v>43</v>
      </c>
      <c r="H24" s="11" t="s">
        <v>52</v>
      </c>
      <c r="I24" s="11" t="s">
        <v>84</v>
      </c>
      <c r="J24" s="11" t="s">
        <v>85</v>
      </c>
      <c r="K24" s="11" t="s">
        <v>60</v>
      </c>
      <c r="L24" s="11" t="s">
        <v>92</v>
      </c>
      <c r="M24" s="11" t="s">
        <v>45</v>
      </c>
      <c r="N24" s="11" t="s">
        <v>23</v>
      </c>
      <c r="O24" s="11" t="s">
        <v>45</v>
      </c>
      <c r="P24" s="11" t="s">
        <v>84</v>
      </c>
      <c r="Q24" s="11" t="s">
        <v>86</v>
      </c>
      <c r="R24" s="11">
        <v>750</v>
      </c>
      <c r="S24" s="40" t="s">
        <v>39</v>
      </c>
      <c r="T24" s="11">
        <v>900</v>
      </c>
      <c r="U24" s="11" t="s">
        <v>45</v>
      </c>
      <c r="V24" s="11" t="s">
        <v>84</v>
      </c>
      <c r="W24" s="11" t="s">
        <v>86</v>
      </c>
      <c r="X24" s="40" t="s">
        <v>60</v>
      </c>
      <c r="Y24" s="40" t="s">
        <v>87</v>
      </c>
      <c r="Z24" s="40" t="s">
        <v>2195</v>
      </c>
      <c r="AA24" s="40" t="s">
        <v>39</v>
      </c>
      <c r="AB24" s="12" t="s">
        <v>88</v>
      </c>
      <c r="AC24" s="11" t="s">
        <v>23</v>
      </c>
      <c r="AD24" s="11" t="s">
        <v>23</v>
      </c>
      <c r="AE24" s="11" t="s">
        <v>50</v>
      </c>
      <c r="AF24" s="11" t="s">
        <v>50</v>
      </c>
      <c r="AG24" s="13" t="s">
        <v>60</v>
      </c>
      <c r="AH24" s="13" t="s">
        <v>62</v>
      </c>
      <c r="AI24" s="13" t="s">
        <v>45</v>
      </c>
      <c r="AJ24" s="13" t="s">
        <v>23</v>
      </c>
      <c r="AK24" s="13" t="s">
        <v>45</v>
      </c>
      <c r="AL24" s="133" t="s">
        <v>2196</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所有→19戸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既存→3戸</v>
      </c>
      <c r="L25" s="20" t="str">
        <f>"普通便座→"&amp;COUNTIF(L5:L24,"普通便座")&amp;"戸"</f>
        <v>普通便座→3戸</v>
      </c>
      <c r="M25" s="20" t="str">
        <f>"有→"&amp;COUNTIF(M5:M24,"有")&amp;"戸"</f>
        <v>有→0戸</v>
      </c>
      <c r="N25" s="20" t="str">
        <f>"有→"&amp;COUNTIF(N5:N24,"有")&amp;"戸"</f>
        <v>有→3戸</v>
      </c>
      <c r="O25" s="20" t="str">
        <f>"有→"&amp;COUNTIF(O5:O24,"有")&amp;"戸"</f>
        <v>有→15戸</v>
      </c>
      <c r="P25" s="20" t="str">
        <f>"クロス→"&amp;COUNTIF(P5:P24,"クロス")&amp;"戸"</f>
        <v>クロス→20戸</v>
      </c>
      <c r="Q25" s="20" t="str">
        <f>"CF→"&amp;COUNTIF(Q5:Q24,"CF")&amp;"戸"</f>
        <v>CF→20戸</v>
      </c>
      <c r="R25" s="20" t="str">
        <f>"1000→"&amp;COUNTIF(R5:R24,"1000")&amp;"戸"</f>
        <v>1000→0戸</v>
      </c>
      <c r="S25" s="20" t="str">
        <f>"可→"&amp;COUNTIF(S5:S24,"可")&amp;"戸"</f>
        <v>可→20戸</v>
      </c>
      <c r="T25" s="20" t="str">
        <f>"900→"&amp;COUNTIF(T5:T24,"900")&amp;"戸"</f>
        <v>900→20戸</v>
      </c>
      <c r="U25" s="20" t="str">
        <f>"有→"&amp;COUNTIF(U5:U24,"有")&amp;"戸"</f>
        <v>有→0戸</v>
      </c>
      <c r="V25" s="20" t="str">
        <f>"クロス→"&amp;COUNTIF(V5:V24,"クロス")&amp;"戸"</f>
        <v>クロス→20戸</v>
      </c>
      <c r="W25" s="20" t="str">
        <f>"CF→"&amp;COUNTIF(W5:W24,"CF")&amp;"戸"</f>
        <v>CF→20戸</v>
      </c>
      <c r="X25" s="20" t="str">
        <f>"既存→"&amp;COUNTIF(X5:X24,"既存")&amp;"戸"</f>
        <v>既存→2戸</v>
      </c>
      <c r="Y25" s="20" t="str">
        <f>"TOTO→"&amp;COUNTIF(Y5:Y24,"TOTO")&amp;"戸"</f>
        <v>TOTO→10戸</v>
      </c>
      <c r="Z25" s="130">
        <f>-COUNTA(Z5:Z24)</f>
        <v>-12</v>
      </c>
      <c r="AA25" s="20" t="str">
        <f>"可→"&amp;COUNTIF(AA5:AA24,"可")&amp;"戸"</f>
        <v>可→17戸</v>
      </c>
      <c r="AB25" s="20" t="str">
        <f>"既存→"&amp;COUNTIF(AB5:AB24,"既存")&amp;"戸"</f>
        <v>既存→3戸</v>
      </c>
      <c r="AC25" s="130">
        <f>COUNTIF(AC5:AC24,"有")</f>
        <v>3</v>
      </c>
      <c r="AD25" s="130">
        <f>COUNTIF(AD5:AD24,"有")</f>
        <v>12</v>
      </c>
      <c r="AE25" s="20" t="str">
        <f>"ポリ板→"&amp;COUNTIF(AE5:AE24,"ポリ板")&amp;"戸"</f>
        <v>ポリ板→16戸</v>
      </c>
      <c r="AF25" s="20" t="str">
        <f>"ポリ板→"&amp;COUNTIF(AF5:AF24,"ポリ板")&amp;"戸"</f>
        <v>ポリ板→19戸</v>
      </c>
      <c r="AG25" s="20" t="str">
        <f>"既存→"&amp;COUNTIF(AG5:AG24,"既存")&amp;"戸"</f>
        <v>既存→0戸</v>
      </c>
      <c r="AH25" s="20" t="str">
        <f>"洗面所→"&amp;COUNTIF(AH5:AH24,"洗面所")&amp;"戸"</f>
        <v>洗面所→20戸</v>
      </c>
      <c r="AI25" s="130">
        <f>COUNTIF(AI5:AI24,"有")</f>
        <v>3</v>
      </c>
      <c r="AJ25" s="130">
        <f>COUNTIF(AJ5:AJ24,"有")</f>
        <v>4</v>
      </c>
      <c r="AK25" s="130">
        <f>COUNTIF(AK5:AK24,"有")</f>
        <v>4</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賃貸→1戸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無→20戸</v>
      </c>
      <c r="N26" s="35" t="str">
        <f>"無→"&amp;COUNTIF(N5:N24,"無")&amp;"戸"</f>
        <v>無→17戸</v>
      </c>
      <c r="O26" s="35" t="str">
        <f>"無→"&amp;COUNTIF(O5:O24,"無")&amp;"戸"</f>
        <v>無→5戸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不可→0戸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リフォーム済み→18戸</v>
      </c>
      <c r="Y26" s="35" t="str">
        <f>"LIXIL→"&amp;COUNTIF(Y5:Y24,"LIXIL")&amp;"戸"</f>
        <v>LIXIL→2戸</v>
      </c>
      <c r="Z26" s="131"/>
      <c r="AA26" s="35" t="str">
        <f>"不可→"&amp;COUNTIF(AA5:AA24,"不可")&amp;"戸"</f>
        <v>不可→3戸</v>
      </c>
      <c r="AB26" s="36" t="str">
        <f>"システム→"&amp;COUNTIF(AB5:AB24,"システム")&amp;"戸"</f>
        <v>システム→17戸</v>
      </c>
      <c r="AC26" s="131"/>
      <c r="AD26" s="131"/>
      <c r="AE26" s="35" t="str">
        <f>"SUS→"&amp;COUNTIF(AE5:AE24,"SUS")&amp;"戸"</f>
        <v>SUS→4戸</v>
      </c>
      <c r="AF26" s="35" t="str">
        <f>"SUS→"&amp;COUNTIF(AF5:AF24,"SUS")&amp;"戸"</f>
        <v>SUS→1戸</v>
      </c>
      <c r="AG26" s="35" t="str">
        <f>"リフォーム済み→"&amp;COUNTIF(AG5:AG24,"リフォーム済み")&amp;"戸"</f>
        <v>リフォーム済み→20戸</v>
      </c>
      <c r="AH26" s="35" t="str">
        <f>"ベランダ→"&amp;COUNTIF(AH5:AH24,"ベランダ")&amp;"戸"</f>
        <v>ベランダ→0戸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レストパル→1戸</v>
      </c>
      <c r="L27" s="35" t="str">
        <f>"WL→"&amp;COUNTIF(L5:L24,"WL")&amp;"戸"</f>
        <v>WL→17戸</v>
      </c>
      <c r="M27" s="23"/>
      <c r="N27" s="23"/>
      <c r="O27" s="23"/>
      <c r="P27" s="35" t="str">
        <f>"塗装→"&amp;COUNTIF(P5:P24,"塗装")&amp;"戸"</f>
        <v>塗装→0戸</v>
      </c>
      <c r="Q27" s="35" t="str">
        <f>"フローリング→"&amp;COUNTIF(Q5:Q24,"フローリング")&amp;"戸"</f>
        <v>フローリング→0戸</v>
      </c>
      <c r="R27" s="35" t="str">
        <f>"750→"&amp;COUNTIF(R5:R24,"750")&amp;"戸"</f>
        <v>750→14戸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空家→0戸</v>
      </c>
      <c r="H28" s="39"/>
      <c r="I28" s="28"/>
      <c r="J28" s="27"/>
      <c r="K28" s="35" t="str">
        <f>"一体型→"&amp;COUNTIF(K5:K24,"一体型")&amp;"戸"</f>
        <v>一体型→0戸</v>
      </c>
      <c r="L28" s="28"/>
      <c r="M28" s="28"/>
      <c r="N28" s="28"/>
      <c r="O28" s="28"/>
      <c r="P28" s="28"/>
      <c r="Q28" s="28"/>
      <c r="R28" s="35" t="str">
        <f>"740→"&amp;COUNTIF(R5:R24,"740")&amp;"戸"</f>
        <v>740→3戸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B1A7382D-AEB9-4CFF-9A48-E98D5F76B26A}"/>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C225407D-43A6-4AD1-8A6B-F2D79CF1F9E5}"/>
  </dataValidations>
  <printOptions horizontalCentered="1" verticalCentered="1"/>
  <pageMargins left="0.11811023622047245" right="0.11811023622047245" top="0.55118110236220474" bottom="0.19685039370078741" header="0.31496062992125984" footer="0.31496062992125984"/>
  <pageSetup paperSize="8" scale="46" orientation="landscape" r:id="rId1"/>
  <colBreaks count="1" manualBreakCount="1">
    <brk id="42" max="2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C9D045C9-75DD-4796-A05D-BD5D940A81AC}">
          <x14:formula1>
            <xm:f>Sheet1!$G$6:$G$7</xm:f>
          </x14:formula1>
          <xm:sqref>S5:S24 AA5:AA24</xm:sqref>
        </x14:dataValidation>
        <x14:dataValidation type="list" allowBlank="1" showInputMessage="1" showErrorMessage="1" xr:uid="{8CE153EA-EA4C-4947-90A1-C52323D912A5}">
          <x14:formula1>
            <xm:f>Sheet1!$I$1:$I$2</xm:f>
          </x14:formula1>
          <xm:sqref>X5:X24</xm:sqref>
        </x14:dataValidation>
        <x14:dataValidation type="list" allowBlank="1" showInputMessage="1" showErrorMessage="1" xr:uid="{1A494B72-AB52-45A4-8BDE-488E3CE4AAE4}">
          <x14:formula1>
            <xm:f>Sheet1!$G$17:$G$18</xm:f>
          </x14:formula1>
          <xm:sqref>AH5:AH24</xm:sqref>
        </x14:dataValidation>
        <x14:dataValidation type="list" allowBlank="1" showInputMessage="1" showErrorMessage="1" xr:uid="{7446159D-F542-498A-84CB-01ED3D113DBC}">
          <x14:formula1>
            <xm:f>Sheet1!$E$17:$E$18</xm:f>
          </x14:formula1>
          <xm:sqref>AG5:AG24</xm:sqref>
        </x14:dataValidation>
        <x14:dataValidation type="list" allowBlank="1" showInputMessage="1" showErrorMessage="1" xr:uid="{F80EAA21-A31A-46DD-81CA-6E706EB5BAC1}">
          <x14:formula1>
            <xm:f>Sheet1!$G$1:$G$4</xm:f>
          </x14:formula1>
          <xm:sqref>AE5:AF24</xm:sqref>
        </x14:dataValidation>
        <x14:dataValidation type="list" allowBlank="1" showInputMessage="1" showErrorMessage="1" xr:uid="{A2BE1324-24C8-4996-BEC7-06C62E983CF5}">
          <x14:formula1>
            <xm:f>Sheet1!$A$13:$A$15</xm:f>
          </x14:formula1>
          <xm:sqref>AB5:AB24</xm:sqref>
        </x14:dataValidation>
        <x14:dataValidation type="list" allowBlank="1" showInputMessage="1" showErrorMessage="1" xr:uid="{32766630-9DD9-4877-800E-5AC0119A35F1}">
          <x14:formula1>
            <xm:f>Sheet1!$C$17:$C$20</xm:f>
          </x14:formula1>
          <xm:sqref>T5:T24</xm:sqref>
        </x14:dataValidation>
        <x14:dataValidation type="list" allowBlank="1" showInputMessage="1" showErrorMessage="1" xr:uid="{6EAD4FC8-80DA-44E0-B736-CAAB1179A3CE}">
          <x14:formula1>
            <xm:f>Sheet1!$A$17:$A$20</xm:f>
          </x14:formula1>
          <xm:sqref>R5 R24 R9:R19 R21</xm:sqref>
        </x14:dataValidation>
        <x14:dataValidation type="list" allowBlank="1" showInputMessage="1" showErrorMessage="1" xr:uid="{6537A040-A842-4C24-BCDE-DEF0E0A714DC}">
          <x14:formula1>
            <xm:f>Sheet1!$C$6:$C$7</xm:f>
          </x14:formula1>
          <xm:sqref>U5:U24 M5:O24 AC5:AD24 AJ5:AK6 AJ8:AK19 AJ21:AK24</xm:sqref>
        </x14:dataValidation>
        <x14:dataValidation type="list" allowBlank="1" showInputMessage="1" showErrorMessage="1" xr:uid="{0F631D47-7D2E-4247-984F-8217444F25C2}">
          <x14:formula1>
            <xm:f>Sheet1!$E$9:$E$11</xm:f>
          </x14:formula1>
          <xm:sqref>L5:L24</xm:sqref>
        </x14:dataValidation>
        <x14:dataValidation type="list" allowBlank="1" showInputMessage="1" showErrorMessage="1" xr:uid="{764D7AFE-F686-41DF-AF65-2E51671635F8}">
          <x14:formula1>
            <xm:f>Sheet1!$G$9:$G$12</xm:f>
          </x14:formula1>
          <xm:sqref>K5:K24</xm:sqref>
        </x14:dataValidation>
        <x14:dataValidation type="list" allowBlank="1" showInputMessage="1" showErrorMessage="1" xr:uid="{B7CF7D90-1AA8-4D01-B97E-6560B24E9C5B}">
          <x14:formula1>
            <xm:f>Sheet1!$D$1:$D$3</xm:f>
          </x14:formula1>
          <xm:sqref>J5:J24</xm:sqref>
        </x14:dataValidation>
        <x14:dataValidation type="list" allowBlank="1" showInputMessage="1" showErrorMessage="1" xr:uid="{30C33AFC-D6E8-477D-976D-B0B15DED7039}">
          <x14:formula1>
            <xm:f>Sheet1!$A$9:$A$11</xm:f>
          </x14:formula1>
          <xm:sqref>V5:V24 P5:P24 I5:I24</xm:sqref>
        </x14:dataValidation>
        <x14:dataValidation type="list" allowBlank="1" showInputMessage="1" showErrorMessage="1" xr:uid="{BC60064E-B6CD-4E1F-ADA5-79681020F7ED}">
          <x14:formula1>
            <xm:f>Sheet1!$A$6:$A$7</xm:f>
          </x14:formula1>
          <xm:sqref>H5:H24</xm:sqref>
        </x14:dataValidation>
        <x14:dataValidation type="list" allowBlank="1" showInputMessage="1" showErrorMessage="1" xr:uid="{A8E37189-EFC2-4A54-BD80-CA94518A6B32}">
          <x14:formula1>
            <xm:f>Sheet1!$A$1:$A$4</xm:f>
          </x14:formula1>
          <xm:sqref>G5:G24</xm:sqref>
        </x14:dataValidation>
        <x14:dataValidation type="list" allowBlank="1" showInputMessage="1" showErrorMessage="1" xr:uid="{60FF671B-8671-4E6B-A06F-2F3B937D757F}">
          <x14:formula1>
            <xm:f>Sheet1!$C$9:$C$11</xm:f>
          </x14:formula1>
          <xm:sqref>Q5:Q24 W5:W24</xm:sqref>
        </x14:dataValidation>
        <x14:dataValidation type="list" allowBlank="1" showInputMessage="1" showErrorMessage="1" xr:uid="{380E171F-7691-4389-B15F-92B6F3075DD2}">
          <x14:formula1>
            <xm:f>Sheet1!$C$6:$C$8</xm:f>
          </x14:formula1>
          <xm:sqref>AI5:AI24 AJ7:AK7 AJ20:AK20</xm:sqref>
        </x14:dataValidation>
        <x14:dataValidation type="list" allowBlank="1" showInputMessage="1" showErrorMessage="1" xr:uid="{340D2CE6-8B99-4DCA-817E-0ADB508B474D}">
          <x14:formula1>
            <xm:f>Sheet1!$I$9:$I$13</xm:f>
          </x14:formula1>
          <xm:sqref>Y5:Y15 Y17:Y24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3086-D3F7-4336-97B0-818DAF37120B}">
  <sheetPr codeName="Sheet19">
    <tabColor rgb="FF92D050"/>
  </sheetPr>
  <dimension ref="A1:AR29"/>
  <sheetViews>
    <sheetView tabSelected="1" view="pageBreakPreview" zoomScaleNormal="40" zoomScaleSheetLayoutView="70" workbookViewId="0">
      <pane xSplit="5" ySplit="4" topLeftCell="N13" activePane="bottomRight" state="frozen"/>
      <selection activeCell="N11" sqref="N11"/>
      <selection pane="topRight" activeCell="N11" sqref="N11"/>
      <selection pane="bottomLeft" activeCell="N11" sqref="N11"/>
      <selection pane="bottomRight" activeCell="P16" sqref="P1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20.75" style="2" customWidth="1"/>
    <col min="7" max="8" width="7.875" style="2" customWidth="1"/>
    <col min="9" max="9" width="9" style="2" customWidth="1"/>
    <col min="10" max="19" width="9.125" style="2" customWidth="1"/>
    <col min="20" max="21" width="9.25" style="2" customWidth="1"/>
    <col min="22" max="25" width="9.125" style="2" customWidth="1"/>
    <col min="26" max="26" width="13.2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61.5" customHeight="1" x14ac:dyDescent="0.4">
      <c r="A5" s="6">
        <v>19</v>
      </c>
      <c r="B5" s="6">
        <v>101</v>
      </c>
      <c r="C5" s="6" t="s">
        <v>79</v>
      </c>
      <c r="D5" s="18" t="s">
        <v>1844</v>
      </c>
      <c r="E5" s="32" t="s">
        <v>18</v>
      </c>
      <c r="F5" s="6" t="s">
        <v>1845</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1846</v>
      </c>
      <c r="W5" s="6" t="s">
        <v>86</v>
      </c>
      <c r="X5" s="16" t="s">
        <v>60</v>
      </c>
      <c r="Y5" s="6" t="s">
        <v>474</v>
      </c>
      <c r="Z5" s="16"/>
      <c r="AA5" s="16" t="s">
        <v>65</v>
      </c>
      <c r="AB5" s="7" t="s">
        <v>88</v>
      </c>
      <c r="AC5" s="8" t="s">
        <v>45</v>
      </c>
      <c r="AD5" s="8" t="s">
        <v>23</v>
      </c>
      <c r="AE5" s="8" t="s">
        <v>50</v>
      </c>
      <c r="AF5" s="16" t="s">
        <v>50</v>
      </c>
      <c r="AG5" s="17" t="s">
        <v>60</v>
      </c>
      <c r="AH5" s="17" t="s">
        <v>62</v>
      </c>
      <c r="AI5" s="17" t="s">
        <v>45</v>
      </c>
      <c r="AJ5" s="17" t="s">
        <v>45</v>
      </c>
      <c r="AK5" s="9" t="s">
        <v>45</v>
      </c>
      <c r="AL5" s="140" t="s">
        <v>1847</v>
      </c>
      <c r="AM5" s="141"/>
      <c r="AN5" s="141"/>
      <c r="AO5" s="141"/>
      <c r="AP5" s="142"/>
    </row>
    <row r="6" spans="1:44" s="14" customFormat="1" ht="33.75" customHeight="1" x14ac:dyDescent="0.4">
      <c r="A6" s="11">
        <v>19</v>
      </c>
      <c r="B6" s="11">
        <v>201</v>
      </c>
      <c r="C6" s="11" t="s">
        <v>79</v>
      </c>
      <c r="D6" s="13" t="s">
        <v>1855</v>
      </c>
      <c r="E6" s="33" t="s">
        <v>18</v>
      </c>
      <c r="F6" s="11" t="s">
        <v>1856</v>
      </c>
      <c r="G6" s="11" t="s">
        <v>40</v>
      </c>
      <c r="H6" s="11" t="s">
        <v>52</v>
      </c>
      <c r="I6" s="11" t="s">
        <v>84</v>
      </c>
      <c r="J6" s="11" t="s">
        <v>85</v>
      </c>
      <c r="K6" s="11" t="s">
        <v>60</v>
      </c>
      <c r="L6" s="11" t="s">
        <v>92</v>
      </c>
      <c r="M6" s="11" t="s">
        <v>45</v>
      </c>
      <c r="N6" s="11" t="s">
        <v>45</v>
      </c>
      <c r="O6" s="11" t="s">
        <v>45</v>
      </c>
      <c r="P6" s="11" t="s">
        <v>84</v>
      </c>
      <c r="Q6" s="11" t="s">
        <v>86</v>
      </c>
      <c r="R6" s="11">
        <v>750</v>
      </c>
      <c r="S6" s="40" t="s">
        <v>39</v>
      </c>
      <c r="T6" s="11">
        <v>640</v>
      </c>
      <c r="U6" s="11" t="s">
        <v>45</v>
      </c>
      <c r="V6" s="11" t="s">
        <v>84</v>
      </c>
      <c r="W6" s="11" t="s">
        <v>86</v>
      </c>
      <c r="X6" s="40" t="s">
        <v>60</v>
      </c>
      <c r="Y6" s="40" t="s">
        <v>87</v>
      </c>
      <c r="Z6" s="40" t="s">
        <v>1857</v>
      </c>
      <c r="AA6" s="40" t="s">
        <v>65</v>
      </c>
      <c r="AB6" s="12" t="s">
        <v>88</v>
      </c>
      <c r="AC6" s="11" t="s">
        <v>45</v>
      </c>
      <c r="AD6" s="11" t="s">
        <v>45</v>
      </c>
      <c r="AE6" s="11" t="s">
        <v>116</v>
      </c>
      <c r="AF6" s="11" t="s">
        <v>50</v>
      </c>
      <c r="AG6" s="13" t="s">
        <v>60</v>
      </c>
      <c r="AH6" s="13" t="s">
        <v>62</v>
      </c>
      <c r="AI6" s="13" t="s">
        <v>45</v>
      </c>
      <c r="AJ6" s="13" t="s">
        <v>23</v>
      </c>
      <c r="AK6" s="13" t="s">
        <v>45</v>
      </c>
      <c r="AL6" s="133" t="s">
        <v>1858</v>
      </c>
      <c r="AM6" s="134"/>
      <c r="AN6" s="134"/>
      <c r="AO6" s="134"/>
      <c r="AP6" s="135"/>
    </row>
    <row r="7" spans="1:44" s="10" customFormat="1" ht="38.25" customHeight="1" x14ac:dyDescent="0.4">
      <c r="A7" s="6">
        <v>19</v>
      </c>
      <c r="B7" s="6">
        <v>301</v>
      </c>
      <c r="C7" s="6" t="s">
        <v>79</v>
      </c>
      <c r="D7" s="18" t="s">
        <v>1838</v>
      </c>
      <c r="E7" s="34" t="s">
        <v>18</v>
      </c>
      <c r="F7" s="46" t="s">
        <v>1839</v>
      </c>
      <c r="G7" s="6" t="s">
        <v>43</v>
      </c>
      <c r="H7" s="6" t="s">
        <v>52</v>
      </c>
      <c r="I7" s="6" t="s">
        <v>84</v>
      </c>
      <c r="J7" s="6" t="s">
        <v>85</v>
      </c>
      <c r="K7" s="6" t="s">
        <v>60</v>
      </c>
      <c r="L7" s="6" t="s">
        <v>92</v>
      </c>
      <c r="M7" s="6" t="s">
        <v>45</v>
      </c>
      <c r="N7" s="6" t="s">
        <v>23</v>
      </c>
      <c r="O7" s="6" t="s">
        <v>23</v>
      </c>
      <c r="P7" s="6" t="s">
        <v>84</v>
      </c>
      <c r="Q7" s="6" t="s">
        <v>86</v>
      </c>
      <c r="R7" s="6">
        <v>750</v>
      </c>
      <c r="S7" s="6" t="s">
        <v>39</v>
      </c>
      <c r="T7" s="6">
        <v>900</v>
      </c>
      <c r="U7" s="6" t="s">
        <v>45</v>
      </c>
      <c r="V7" s="6" t="s">
        <v>84</v>
      </c>
      <c r="W7" s="6" t="s">
        <v>86</v>
      </c>
      <c r="X7" s="6" t="s">
        <v>60</v>
      </c>
      <c r="Y7" s="6" t="s">
        <v>474</v>
      </c>
      <c r="Z7" s="6"/>
      <c r="AA7" s="6" t="s">
        <v>65</v>
      </c>
      <c r="AB7" s="15" t="s">
        <v>88</v>
      </c>
      <c r="AC7" s="16" t="s">
        <v>45</v>
      </c>
      <c r="AD7" s="16" t="s">
        <v>23</v>
      </c>
      <c r="AE7" s="16" t="s">
        <v>878</v>
      </c>
      <c r="AF7" s="16" t="s">
        <v>878</v>
      </c>
      <c r="AG7" s="17" t="s">
        <v>60</v>
      </c>
      <c r="AH7" s="17" t="s">
        <v>62</v>
      </c>
      <c r="AI7" s="17" t="s">
        <v>23</v>
      </c>
      <c r="AJ7" s="17" t="s">
        <v>23</v>
      </c>
      <c r="AK7" s="17" t="s">
        <v>45</v>
      </c>
      <c r="AL7" s="106" t="s">
        <v>1840</v>
      </c>
      <c r="AM7" s="107"/>
      <c r="AN7" s="107"/>
      <c r="AO7" s="107"/>
      <c r="AP7" s="108"/>
    </row>
    <row r="8" spans="1:44" s="14" customFormat="1" ht="40.5" customHeight="1" x14ac:dyDescent="0.4">
      <c r="A8" s="11">
        <v>19</v>
      </c>
      <c r="B8" s="11">
        <v>401</v>
      </c>
      <c r="C8" s="11" t="s">
        <v>79</v>
      </c>
      <c r="D8" s="13" t="s">
        <v>1822</v>
      </c>
      <c r="E8" s="33" t="s">
        <v>18</v>
      </c>
      <c r="F8" s="11" t="s">
        <v>1823</v>
      </c>
      <c r="G8" s="11" t="s">
        <v>43</v>
      </c>
      <c r="H8" s="11" t="s">
        <v>52</v>
      </c>
      <c r="I8" s="11" t="s">
        <v>84</v>
      </c>
      <c r="J8" s="11" t="s">
        <v>85</v>
      </c>
      <c r="K8" s="11" t="s">
        <v>60</v>
      </c>
      <c r="L8" s="11" t="s">
        <v>92</v>
      </c>
      <c r="M8" s="11" t="s">
        <v>45</v>
      </c>
      <c r="N8" s="11" t="s">
        <v>45</v>
      </c>
      <c r="O8" s="11" t="s">
        <v>23</v>
      </c>
      <c r="P8" s="11" t="s">
        <v>84</v>
      </c>
      <c r="Q8" s="11" t="s">
        <v>86</v>
      </c>
      <c r="R8" s="11">
        <v>750</v>
      </c>
      <c r="S8" s="40" t="s">
        <v>39</v>
      </c>
      <c r="T8" s="11">
        <v>900</v>
      </c>
      <c r="U8" s="11" t="s">
        <v>45</v>
      </c>
      <c r="V8" s="11" t="s">
        <v>84</v>
      </c>
      <c r="W8" s="11" t="s">
        <v>86</v>
      </c>
      <c r="X8" s="40" t="s">
        <v>60</v>
      </c>
      <c r="Y8" s="40" t="s">
        <v>1824</v>
      </c>
      <c r="Z8" s="40"/>
      <c r="AA8" s="40" t="s">
        <v>65</v>
      </c>
      <c r="AB8" s="12" t="s">
        <v>19</v>
      </c>
      <c r="AC8" s="11" t="s">
        <v>45</v>
      </c>
      <c r="AD8" s="11" t="s">
        <v>45</v>
      </c>
      <c r="AE8" s="11" t="s">
        <v>116</v>
      </c>
      <c r="AF8" s="11" t="s">
        <v>50</v>
      </c>
      <c r="AG8" s="13" t="s">
        <v>60</v>
      </c>
      <c r="AH8" s="13" t="s">
        <v>62</v>
      </c>
      <c r="AI8" s="13" t="s">
        <v>45</v>
      </c>
      <c r="AJ8" s="13" t="s">
        <v>45</v>
      </c>
      <c r="AK8" s="13" t="s">
        <v>45</v>
      </c>
      <c r="AL8" s="133" t="s">
        <v>1825</v>
      </c>
      <c r="AM8" s="134"/>
      <c r="AN8" s="134"/>
      <c r="AO8" s="134"/>
      <c r="AP8" s="135"/>
    </row>
    <row r="9" spans="1:44" s="10" customFormat="1" ht="15" customHeight="1" x14ac:dyDescent="0.4">
      <c r="A9" s="6">
        <v>19</v>
      </c>
      <c r="B9" s="6">
        <v>501</v>
      </c>
      <c r="C9" s="6" t="s">
        <v>79</v>
      </c>
      <c r="D9" s="18" t="s">
        <v>1927</v>
      </c>
      <c r="E9" s="34" t="s">
        <v>18</v>
      </c>
      <c r="F9" s="6" t="s">
        <v>1928</v>
      </c>
      <c r="G9" s="6" t="s">
        <v>43</v>
      </c>
      <c r="H9" s="6" t="s">
        <v>52</v>
      </c>
      <c r="I9" s="6" t="s">
        <v>84</v>
      </c>
      <c r="J9" s="6" t="s">
        <v>85</v>
      </c>
      <c r="K9" s="6" t="s">
        <v>60</v>
      </c>
      <c r="L9" s="6" t="s">
        <v>92</v>
      </c>
      <c r="M9" s="6" t="s">
        <v>45</v>
      </c>
      <c r="N9" s="6" t="s">
        <v>45</v>
      </c>
      <c r="O9" s="6" t="s">
        <v>45</v>
      </c>
      <c r="P9" s="6" t="s">
        <v>84</v>
      </c>
      <c r="Q9" s="6" t="s">
        <v>86</v>
      </c>
      <c r="R9" s="6">
        <v>900</v>
      </c>
      <c r="S9" s="6" t="s">
        <v>39</v>
      </c>
      <c r="T9" s="6">
        <v>900</v>
      </c>
      <c r="U9" s="6" t="s">
        <v>45</v>
      </c>
      <c r="V9" s="6" t="s">
        <v>84</v>
      </c>
      <c r="W9" s="6" t="s">
        <v>86</v>
      </c>
      <c r="X9" s="6" t="s">
        <v>60</v>
      </c>
      <c r="Y9" s="6" t="s">
        <v>141</v>
      </c>
      <c r="Z9" s="6" t="s">
        <v>1929</v>
      </c>
      <c r="AA9" s="6" t="s">
        <v>65</v>
      </c>
      <c r="AB9" s="15" t="s">
        <v>88</v>
      </c>
      <c r="AC9" s="16" t="s">
        <v>45</v>
      </c>
      <c r="AD9" s="16" t="s">
        <v>45</v>
      </c>
      <c r="AE9" s="16" t="s">
        <v>116</v>
      </c>
      <c r="AF9" s="16" t="s">
        <v>50</v>
      </c>
      <c r="AG9" s="17" t="s">
        <v>60</v>
      </c>
      <c r="AH9" s="17" t="s">
        <v>62</v>
      </c>
      <c r="AI9" s="17" t="s">
        <v>45</v>
      </c>
      <c r="AJ9" s="17" t="s">
        <v>23</v>
      </c>
      <c r="AK9" s="17" t="s">
        <v>45</v>
      </c>
      <c r="AL9" s="106" t="s">
        <v>1930</v>
      </c>
      <c r="AM9" s="107"/>
      <c r="AN9" s="107"/>
      <c r="AO9" s="107"/>
      <c r="AP9" s="108"/>
    </row>
    <row r="10" spans="1:44" s="14" customFormat="1" ht="36.75" customHeight="1" x14ac:dyDescent="0.4">
      <c r="A10" s="11">
        <v>19</v>
      </c>
      <c r="B10" s="11">
        <v>102</v>
      </c>
      <c r="C10" s="11" t="s">
        <v>79</v>
      </c>
      <c r="D10" s="13" t="s">
        <v>1852</v>
      </c>
      <c r="E10" s="33" t="s">
        <v>18</v>
      </c>
      <c r="F10" s="45" t="s">
        <v>1853</v>
      </c>
      <c r="G10" s="11" t="s">
        <v>43</v>
      </c>
      <c r="H10" s="11" t="s">
        <v>52</v>
      </c>
      <c r="I10" s="11" t="s">
        <v>84</v>
      </c>
      <c r="J10" s="11" t="s">
        <v>85</v>
      </c>
      <c r="K10" s="11" t="s">
        <v>60</v>
      </c>
      <c r="L10" s="11" t="s">
        <v>92</v>
      </c>
      <c r="M10" s="11" t="s">
        <v>45</v>
      </c>
      <c r="N10" s="11" t="s">
        <v>45</v>
      </c>
      <c r="O10" s="11" t="s">
        <v>45</v>
      </c>
      <c r="P10" s="11" t="s">
        <v>84</v>
      </c>
      <c r="Q10" s="11" t="s">
        <v>86</v>
      </c>
      <c r="R10" s="11">
        <v>750</v>
      </c>
      <c r="S10" s="40" t="s">
        <v>39</v>
      </c>
      <c r="T10" s="11">
        <v>900</v>
      </c>
      <c r="U10" s="11" t="s">
        <v>45</v>
      </c>
      <c r="V10" s="11" t="s">
        <v>84</v>
      </c>
      <c r="W10" s="11" t="s">
        <v>86</v>
      </c>
      <c r="X10" s="40" t="s">
        <v>60</v>
      </c>
      <c r="Y10" s="40" t="s">
        <v>87</v>
      </c>
      <c r="Z10" s="40" t="s">
        <v>1854</v>
      </c>
      <c r="AA10" s="40" t="s">
        <v>65</v>
      </c>
      <c r="AB10" s="12" t="s">
        <v>88</v>
      </c>
      <c r="AC10" s="11" t="s">
        <v>23</v>
      </c>
      <c r="AD10" s="11" t="s">
        <v>23</v>
      </c>
      <c r="AE10" s="11" t="s">
        <v>50</v>
      </c>
      <c r="AF10" s="11" t="s">
        <v>50</v>
      </c>
      <c r="AG10" s="13" t="s">
        <v>60</v>
      </c>
      <c r="AH10" s="13" t="s">
        <v>62</v>
      </c>
      <c r="AI10" s="13" t="s">
        <v>45</v>
      </c>
      <c r="AJ10" s="13" t="s">
        <v>45</v>
      </c>
      <c r="AK10" s="13" t="s">
        <v>45</v>
      </c>
      <c r="AL10" s="133" t="s">
        <v>1880</v>
      </c>
      <c r="AM10" s="134"/>
      <c r="AN10" s="134"/>
      <c r="AO10" s="134"/>
      <c r="AP10" s="135"/>
    </row>
    <row r="11" spans="1:44" s="10" customFormat="1" ht="42" customHeight="1" x14ac:dyDescent="0.4">
      <c r="A11" s="6">
        <v>19</v>
      </c>
      <c r="B11" s="6">
        <v>202</v>
      </c>
      <c r="C11" s="6" t="s">
        <v>79</v>
      </c>
      <c r="D11" s="18" t="s">
        <v>2229</v>
      </c>
      <c r="E11" s="34" t="s">
        <v>2228</v>
      </c>
      <c r="F11" s="46" t="s">
        <v>2230</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87</v>
      </c>
      <c r="Z11" s="6" t="s">
        <v>2231</v>
      </c>
      <c r="AA11" s="6" t="s">
        <v>39</v>
      </c>
      <c r="AB11" s="15" t="s">
        <v>88</v>
      </c>
      <c r="AC11" s="16" t="s">
        <v>45</v>
      </c>
      <c r="AD11" s="16" t="s">
        <v>23</v>
      </c>
      <c r="AE11" s="16" t="s">
        <v>50</v>
      </c>
      <c r="AF11" s="16" t="s">
        <v>50</v>
      </c>
      <c r="AG11" s="17" t="s">
        <v>60</v>
      </c>
      <c r="AH11" s="17" t="s">
        <v>62</v>
      </c>
      <c r="AI11" s="17" t="s">
        <v>45</v>
      </c>
      <c r="AJ11" s="17" t="s">
        <v>45</v>
      </c>
      <c r="AK11" s="17" t="s">
        <v>45</v>
      </c>
      <c r="AL11" s="106" t="s">
        <v>2232</v>
      </c>
      <c r="AM11" s="107"/>
      <c r="AN11" s="107"/>
      <c r="AO11" s="107"/>
      <c r="AP11" s="108"/>
    </row>
    <row r="12" spans="1:44" s="14" customFormat="1" ht="36" customHeight="1" x14ac:dyDescent="0.4">
      <c r="A12" s="11">
        <v>19</v>
      </c>
      <c r="B12" s="11">
        <v>302</v>
      </c>
      <c r="C12" s="11" t="s">
        <v>79</v>
      </c>
      <c r="D12" s="13" t="s">
        <v>1848</v>
      </c>
      <c r="E12" s="33" t="s">
        <v>18</v>
      </c>
      <c r="F12" s="45" t="s">
        <v>1849</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1850</v>
      </c>
      <c r="AA12" s="40" t="s">
        <v>65</v>
      </c>
      <c r="AB12" s="12" t="s">
        <v>19</v>
      </c>
      <c r="AC12" s="11" t="s">
        <v>45</v>
      </c>
      <c r="AD12" s="11" t="s">
        <v>45</v>
      </c>
      <c r="AE12" s="11" t="s">
        <v>50</v>
      </c>
      <c r="AF12" s="11" t="s">
        <v>50</v>
      </c>
      <c r="AG12" s="13" t="s">
        <v>60</v>
      </c>
      <c r="AH12" s="13" t="s">
        <v>62</v>
      </c>
      <c r="AI12" s="13" t="s">
        <v>241</v>
      </c>
      <c r="AJ12" s="13" t="s">
        <v>45</v>
      </c>
      <c r="AK12" s="13" t="s">
        <v>45</v>
      </c>
      <c r="AL12" s="133" t="s">
        <v>1851</v>
      </c>
      <c r="AM12" s="134"/>
      <c r="AN12" s="134"/>
      <c r="AO12" s="134"/>
      <c r="AP12" s="135"/>
    </row>
    <row r="13" spans="1:44" s="10" customFormat="1" ht="69.75" customHeight="1" x14ac:dyDescent="0.4">
      <c r="A13" s="6">
        <v>19</v>
      </c>
      <c r="B13" s="6">
        <v>402</v>
      </c>
      <c r="C13" s="6" t="s">
        <v>79</v>
      </c>
      <c r="D13" s="18" t="s">
        <v>1862</v>
      </c>
      <c r="E13" s="34" t="s">
        <v>18</v>
      </c>
      <c r="F13" s="6" t="s">
        <v>1863</v>
      </c>
      <c r="G13" s="6" t="s">
        <v>43</v>
      </c>
      <c r="H13" s="6" t="s">
        <v>52</v>
      </c>
      <c r="I13" s="6" t="s">
        <v>84</v>
      </c>
      <c r="J13" s="6" t="s">
        <v>85</v>
      </c>
      <c r="K13" s="6" t="s">
        <v>60</v>
      </c>
      <c r="L13" s="6" t="s">
        <v>92</v>
      </c>
      <c r="M13" s="6" t="s">
        <v>45</v>
      </c>
      <c r="N13" s="6" t="s">
        <v>45</v>
      </c>
      <c r="O13" s="6" t="s">
        <v>23</v>
      </c>
      <c r="P13" s="6" t="s">
        <v>84</v>
      </c>
      <c r="Q13" s="6" t="s">
        <v>1864</v>
      </c>
      <c r="R13" s="6">
        <v>900</v>
      </c>
      <c r="S13" s="6" t="s">
        <v>39</v>
      </c>
      <c r="T13" s="6">
        <v>740</v>
      </c>
      <c r="U13" s="6" t="s">
        <v>45</v>
      </c>
      <c r="V13" s="6" t="s">
        <v>84</v>
      </c>
      <c r="W13" s="6" t="s">
        <v>1864</v>
      </c>
      <c r="X13" s="6" t="s">
        <v>60</v>
      </c>
      <c r="Y13" s="6" t="s">
        <v>1865</v>
      </c>
      <c r="Z13" s="6"/>
      <c r="AA13" s="6" t="s">
        <v>65</v>
      </c>
      <c r="AB13" s="15" t="s">
        <v>88</v>
      </c>
      <c r="AC13" s="16" t="s">
        <v>45</v>
      </c>
      <c r="AD13" s="16" t="s">
        <v>23</v>
      </c>
      <c r="AE13" s="16" t="s">
        <v>50</v>
      </c>
      <c r="AF13" s="16" t="s">
        <v>50</v>
      </c>
      <c r="AG13" s="17" t="s">
        <v>60</v>
      </c>
      <c r="AH13" s="17" t="s">
        <v>62</v>
      </c>
      <c r="AI13" s="17" t="s">
        <v>45</v>
      </c>
      <c r="AJ13" s="17" t="s">
        <v>45</v>
      </c>
      <c r="AK13" s="17" t="s">
        <v>45</v>
      </c>
      <c r="AL13" s="106" t="s">
        <v>1867</v>
      </c>
      <c r="AM13" s="107"/>
      <c r="AN13" s="107"/>
      <c r="AO13" s="107"/>
      <c r="AP13" s="108"/>
    </row>
    <row r="14" spans="1:44" s="14" customFormat="1" ht="34.5" customHeight="1" x14ac:dyDescent="0.4">
      <c r="A14" s="11">
        <v>19</v>
      </c>
      <c r="B14" s="11">
        <v>502</v>
      </c>
      <c r="C14" s="11" t="s">
        <v>79</v>
      </c>
      <c r="D14" s="13" t="s">
        <v>1815</v>
      </c>
      <c r="E14" s="33" t="s">
        <v>18</v>
      </c>
      <c r="F14" s="45" t="s">
        <v>1816</v>
      </c>
      <c r="G14" s="11" t="s">
        <v>43</v>
      </c>
      <c r="H14" s="11" t="s">
        <v>52</v>
      </c>
      <c r="I14" s="11" t="s">
        <v>84</v>
      </c>
      <c r="J14" s="11" t="s">
        <v>85</v>
      </c>
      <c r="K14" s="11" t="s">
        <v>60</v>
      </c>
      <c r="L14" s="11" t="s">
        <v>92</v>
      </c>
      <c r="M14" s="11" t="s">
        <v>45</v>
      </c>
      <c r="N14" s="11" t="s">
        <v>23</v>
      </c>
      <c r="O14" s="11" t="s">
        <v>23</v>
      </c>
      <c r="P14" s="11" t="s">
        <v>84</v>
      </c>
      <c r="Q14" s="11" t="s">
        <v>86</v>
      </c>
      <c r="R14" s="11">
        <v>750</v>
      </c>
      <c r="S14" s="40" t="s">
        <v>39</v>
      </c>
      <c r="T14" s="11">
        <v>740</v>
      </c>
      <c r="U14" s="11" t="s">
        <v>45</v>
      </c>
      <c r="V14" s="11" t="s">
        <v>84</v>
      </c>
      <c r="W14" s="11" t="s">
        <v>86</v>
      </c>
      <c r="X14" s="40" t="s">
        <v>60</v>
      </c>
      <c r="Y14" s="40" t="s">
        <v>87</v>
      </c>
      <c r="Z14" s="40" t="s">
        <v>1817</v>
      </c>
      <c r="AA14" s="40" t="s">
        <v>65</v>
      </c>
      <c r="AB14" s="12" t="s">
        <v>19</v>
      </c>
      <c r="AC14" s="11" t="s">
        <v>45</v>
      </c>
      <c r="AD14" s="11" t="s">
        <v>45</v>
      </c>
      <c r="AE14" s="11" t="s">
        <v>116</v>
      </c>
      <c r="AF14" s="11" t="s">
        <v>50</v>
      </c>
      <c r="AG14" s="13" t="s">
        <v>60</v>
      </c>
      <c r="AH14" s="13" t="s">
        <v>62</v>
      </c>
      <c r="AI14" s="13" t="s">
        <v>23</v>
      </c>
      <c r="AJ14" s="13" t="s">
        <v>45</v>
      </c>
      <c r="AK14" s="13" t="s">
        <v>45</v>
      </c>
      <c r="AL14" s="133" t="s">
        <v>1818</v>
      </c>
      <c r="AM14" s="134"/>
      <c r="AN14" s="134"/>
      <c r="AO14" s="134"/>
      <c r="AP14" s="135"/>
    </row>
    <row r="15" spans="1:44" s="10" customFormat="1" ht="33.75" customHeight="1" x14ac:dyDescent="0.4">
      <c r="A15" s="6">
        <v>19</v>
      </c>
      <c r="B15" s="6">
        <v>103</v>
      </c>
      <c r="C15" s="6" t="s">
        <v>79</v>
      </c>
      <c r="D15" s="18" t="s">
        <v>1881</v>
      </c>
      <c r="E15" s="34" t="s">
        <v>18</v>
      </c>
      <c r="F15" s="6" t="s">
        <v>1882</v>
      </c>
      <c r="G15" s="6" t="s">
        <v>43</v>
      </c>
      <c r="H15" s="6" t="s">
        <v>52</v>
      </c>
      <c r="I15" s="6" t="s">
        <v>84</v>
      </c>
      <c r="J15" s="6" t="s">
        <v>85</v>
      </c>
      <c r="K15" s="6" t="s">
        <v>60</v>
      </c>
      <c r="L15" s="6" t="s">
        <v>92</v>
      </c>
      <c r="M15" s="6" t="s">
        <v>45</v>
      </c>
      <c r="N15" s="6" t="s">
        <v>23</v>
      </c>
      <c r="O15" s="6" t="s">
        <v>45</v>
      </c>
      <c r="P15" s="6" t="s">
        <v>84</v>
      </c>
      <c r="Q15" s="6" t="s">
        <v>86</v>
      </c>
      <c r="R15" s="6">
        <v>750</v>
      </c>
      <c r="S15" s="6" t="s">
        <v>39</v>
      </c>
      <c r="T15" s="6">
        <v>900</v>
      </c>
      <c r="U15" s="6" t="s">
        <v>45</v>
      </c>
      <c r="V15" s="6" t="s">
        <v>84</v>
      </c>
      <c r="W15" s="6" t="s">
        <v>86</v>
      </c>
      <c r="X15" s="6" t="s">
        <v>60</v>
      </c>
      <c r="Y15" s="6" t="s">
        <v>87</v>
      </c>
      <c r="Z15" s="6" t="s">
        <v>1883</v>
      </c>
      <c r="AA15" s="6" t="s">
        <v>65</v>
      </c>
      <c r="AB15" s="15" t="s">
        <v>88</v>
      </c>
      <c r="AC15" s="16" t="s">
        <v>23</v>
      </c>
      <c r="AD15" s="16" t="s">
        <v>23</v>
      </c>
      <c r="AE15" s="16" t="s">
        <v>50</v>
      </c>
      <c r="AF15" s="16" t="s">
        <v>50</v>
      </c>
      <c r="AG15" s="17" t="s">
        <v>60</v>
      </c>
      <c r="AH15" s="17" t="s">
        <v>96</v>
      </c>
      <c r="AI15" s="17" t="s">
        <v>23</v>
      </c>
      <c r="AJ15" s="17" t="s">
        <v>45</v>
      </c>
      <c r="AK15" s="17" t="s">
        <v>45</v>
      </c>
      <c r="AL15" s="106" t="s">
        <v>1884</v>
      </c>
      <c r="AM15" s="107"/>
      <c r="AN15" s="107"/>
      <c r="AO15" s="107"/>
      <c r="AP15" s="108"/>
    </row>
    <row r="16" spans="1:44" s="14" customFormat="1" ht="45.75" customHeight="1" x14ac:dyDescent="0.4">
      <c r="A16" s="11">
        <v>19</v>
      </c>
      <c r="B16" s="11">
        <v>203</v>
      </c>
      <c r="C16" s="11" t="s">
        <v>79</v>
      </c>
      <c r="D16" s="61" t="s">
        <v>1885</v>
      </c>
      <c r="E16" s="33" t="s">
        <v>1886</v>
      </c>
      <c r="F16" s="45" t="s">
        <v>1887</v>
      </c>
      <c r="G16" s="11" t="s">
        <v>43</v>
      </c>
      <c r="H16" s="11" t="s">
        <v>52</v>
      </c>
      <c r="I16" s="11" t="s">
        <v>84</v>
      </c>
      <c r="J16" s="11" t="s">
        <v>85</v>
      </c>
      <c r="K16" s="11" t="s">
        <v>60</v>
      </c>
      <c r="L16" s="11" t="s">
        <v>92</v>
      </c>
      <c r="M16" s="11" t="s">
        <v>45</v>
      </c>
      <c r="N16" s="11" t="s">
        <v>45</v>
      </c>
      <c r="O16" s="11" t="s">
        <v>45</v>
      </c>
      <c r="P16" s="11" t="s">
        <v>84</v>
      </c>
      <c r="Q16" s="11" t="s">
        <v>86</v>
      </c>
      <c r="R16" s="11">
        <v>740</v>
      </c>
      <c r="S16" s="40" t="s">
        <v>39</v>
      </c>
      <c r="T16" s="11">
        <v>900</v>
      </c>
      <c r="U16" s="11" t="s">
        <v>45</v>
      </c>
      <c r="V16" s="11" t="s">
        <v>84</v>
      </c>
      <c r="W16" s="11" t="s">
        <v>86</v>
      </c>
      <c r="X16" s="40" t="s">
        <v>60</v>
      </c>
      <c r="Y16" s="40" t="s">
        <v>87</v>
      </c>
      <c r="Z16" s="40" t="s">
        <v>1888</v>
      </c>
      <c r="AA16" s="40" t="s">
        <v>65</v>
      </c>
      <c r="AB16" s="12" t="s">
        <v>88</v>
      </c>
      <c r="AC16" s="11" t="s">
        <v>45</v>
      </c>
      <c r="AD16" s="11" t="s">
        <v>23</v>
      </c>
      <c r="AE16" s="11" t="s">
        <v>50</v>
      </c>
      <c r="AF16" s="11" t="s">
        <v>50</v>
      </c>
      <c r="AG16" s="13" t="s">
        <v>60</v>
      </c>
      <c r="AH16" s="13" t="s">
        <v>62</v>
      </c>
      <c r="AI16" s="13" t="s">
        <v>45</v>
      </c>
      <c r="AJ16" s="13" t="s">
        <v>45</v>
      </c>
      <c r="AK16" s="13" t="s">
        <v>45</v>
      </c>
      <c r="AL16" s="133" t="s">
        <v>1889</v>
      </c>
      <c r="AM16" s="134"/>
      <c r="AN16" s="134"/>
      <c r="AO16" s="134"/>
      <c r="AP16" s="135"/>
    </row>
    <row r="17" spans="1:43" s="10" customFormat="1" ht="34.5" customHeight="1" x14ac:dyDescent="0.4">
      <c r="A17" s="6">
        <v>19</v>
      </c>
      <c r="B17" s="6">
        <v>303</v>
      </c>
      <c r="C17" s="6" t="s">
        <v>79</v>
      </c>
      <c r="D17" s="51" t="s">
        <v>1859</v>
      </c>
      <c r="E17" s="34" t="s">
        <v>18</v>
      </c>
      <c r="F17" s="46" t="s">
        <v>1860</v>
      </c>
      <c r="G17" s="6" t="s">
        <v>40</v>
      </c>
      <c r="H17" s="6" t="s">
        <v>52</v>
      </c>
      <c r="I17" s="6" t="s">
        <v>84</v>
      </c>
      <c r="J17" s="6" t="s">
        <v>85</v>
      </c>
      <c r="K17" s="6" t="s">
        <v>60</v>
      </c>
      <c r="L17" s="6" t="s">
        <v>92</v>
      </c>
      <c r="M17" s="6" t="s">
        <v>45</v>
      </c>
      <c r="N17" s="6" t="s">
        <v>45</v>
      </c>
      <c r="O17" s="6" t="s">
        <v>45</v>
      </c>
      <c r="P17" s="6" t="s">
        <v>84</v>
      </c>
      <c r="Q17" s="6" t="s">
        <v>86</v>
      </c>
      <c r="R17" s="6">
        <v>750</v>
      </c>
      <c r="S17" s="6" t="s">
        <v>39</v>
      </c>
      <c r="T17" s="6">
        <v>900</v>
      </c>
      <c r="U17" s="6" t="s">
        <v>45</v>
      </c>
      <c r="V17" s="6" t="s">
        <v>84</v>
      </c>
      <c r="W17" s="6" t="s">
        <v>86</v>
      </c>
      <c r="X17" s="6" t="s">
        <v>60</v>
      </c>
      <c r="Y17" s="6" t="s">
        <v>87</v>
      </c>
      <c r="Z17" s="6" t="s">
        <v>1861</v>
      </c>
      <c r="AA17" s="6" t="s">
        <v>65</v>
      </c>
      <c r="AB17" s="15" t="s">
        <v>88</v>
      </c>
      <c r="AC17" s="16" t="s">
        <v>23</v>
      </c>
      <c r="AD17" s="16" t="s">
        <v>23</v>
      </c>
      <c r="AE17" s="16" t="s">
        <v>50</v>
      </c>
      <c r="AF17" s="16" t="s">
        <v>50</v>
      </c>
      <c r="AG17" s="17" t="s">
        <v>60</v>
      </c>
      <c r="AH17" s="17" t="s">
        <v>62</v>
      </c>
      <c r="AI17" s="17" t="s">
        <v>45</v>
      </c>
      <c r="AJ17" s="17" t="s">
        <v>45</v>
      </c>
      <c r="AK17" s="17" t="s">
        <v>45</v>
      </c>
      <c r="AL17" s="106" t="s">
        <v>1866</v>
      </c>
      <c r="AM17" s="107"/>
      <c r="AN17" s="107"/>
      <c r="AO17" s="107"/>
      <c r="AP17" s="108"/>
    </row>
    <row r="18" spans="1:43" s="14" customFormat="1" ht="15" customHeight="1" x14ac:dyDescent="0.4">
      <c r="A18" s="11">
        <v>19</v>
      </c>
      <c r="B18" s="11">
        <v>403</v>
      </c>
      <c r="C18" s="11" t="s">
        <v>79</v>
      </c>
      <c r="D18" s="13" t="s">
        <v>1834</v>
      </c>
      <c r="E18" s="33" t="s">
        <v>18</v>
      </c>
      <c r="F18" s="11" t="s">
        <v>1835</v>
      </c>
      <c r="G18" s="11" t="s">
        <v>43</v>
      </c>
      <c r="H18" s="11" t="s">
        <v>52</v>
      </c>
      <c r="I18" s="11" t="s">
        <v>84</v>
      </c>
      <c r="J18" s="11" t="s">
        <v>85</v>
      </c>
      <c r="K18" s="11" t="s">
        <v>60</v>
      </c>
      <c r="L18" s="11" t="s">
        <v>92</v>
      </c>
      <c r="M18" s="11" t="s">
        <v>45</v>
      </c>
      <c r="N18" s="11" t="s">
        <v>23</v>
      </c>
      <c r="O18" s="11" t="s">
        <v>23</v>
      </c>
      <c r="P18" s="11" t="s">
        <v>84</v>
      </c>
      <c r="Q18" s="11" t="s">
        <v>86</v>
      </c>
      <c r="R18" s="11">
        <v>750</v>
      </c>
      <c r="S18" s="40" t="s">
        <v>39</v>
      </c>
      <c r="T18" s="11">
        <v>900</v>
      </c>
      <c r="U18" s="11" t="s">
        <v>45</v>
      </c>
      <c r="V18" s="11" t="s">
        <v>84</v>
      </c>
      <c r="W18" s="11" t="s">
        <v>86</v>
      </c>
      <c r="X18" s="40" t="s">
        <v>60</v>
      </c>
      <c r="Y18" s="40" t="s">
        <v>87</v>
      </c>
      <c r="Z18" s="40" t="s">
        <v>1836</v>
      </c>
      <c r="AA18" s="40" t="s">
        <v>39</v>
      </c>
      <c r="AB18" s="12" t="s">
        <v>88</v>
      </c>
      <c r="AC18" s="11" t="s">
        <v>45</v>
      </c>
      <c r="AD18" s="11" t="s">
        <v>23</v>
      </c>
      <c r="AE18" s="11" t="s">
        <v>50</v>
      </c>
      <c r="AF18" s="11" t="s">
        <v>50</v>
      </c>
      <c r="AG18" s="13" t="s">
        <v>60</v>
      </c>
      <c r="AH18" s="13" t="s">
        <v>62</v>
      </c>
      <c r="AI18" s="13" t="s">
        <v>45</v>
      </c>
      <c r="AJ18" s="13" t="s">
        <v>45</v>
      </c>
      <c r="AK18" s="13" t="s">
        <v>23</v>
      </c>
      <c r="AL18" s="133" t="s">
        <v>1837</v>
      </c>
      <c r="AM18" s="134"/>
      <c r="AN18" s="134"/>
      <c r="AO18" s="134"/>
      <c r="AP18" s="135"/>
    </row>
    <row r="19" spans="1:43" s="10" customFormat="1" ht="40.5" customHeight="1" x14ac:dyDescent="0.4">
      <c r="A19" s="6">
        <v>19</v>
      </c>
      <c r="B19" s="6">
        <v>503</v>
      </c>
      <c r="C19" s="6" t="s">
        <v>79</v>
      </c>
      <c r="D19" s="18" t="s">
        <v>1819</v>
      </c>
      <c r="E19" s="34" t="s">
        <v>18</v>
      </c>
      <c r="F19" s="46" t="s">
        <v>1820</v>
      </c>
      <c r="G19" s="6" t="s">
        <v>43</v>
      </c>
      <c r="H19" s="6" t="s">
        <v>52</v>
      </c>
      <c r="I19" s="6" t="s">
        <v>84</v>
      </c>
      <c r="J19" s="6" t="s">
        <v>85</v>
      </c>
      <c r="K19" s="6" t="s">
        <v>60</v>
      </c>
      <c r="L19" s="6" t="s">
        <v>20</v>
      </c>
      <c r="M19" s="6" t="s">
        <v>45</v>
      </c>
      <c r="N19" s="6" t="s">
        <v>45</v>
      </c>
      <c r="O19" s="6" t="s">
        <v>45</v>
      </c>
      <c r="P19" s="6" t="s">
        <v>84</v>
      </c>
      <c r="Q19" s="6" t="s">
        <v>86</v>
      </c>
      <c r="R19" s="6">
        <v>750</v>
      </c>
      <c r="S19" s="6" t="s">
        <v>39</v>
      </c>
      <c r="T19" s="6">
        <v>900</v>
      </c>
      <c r="U19" s="6" t="s">
        <v>45</v>
      </c>
      <c r="V19" s="6" t="s">
        <v>84</v>
      </c>
      <c r="W19" s="6" t="s">
        <v>86</v>
      </c>
      <c r="X19" s="6" t="s">
        <v>60</v>
      </c>
      <c r="Y19" s="6" t="s">
        <v>141</v>
      </c>
      <c r="Z19" s="6"/>
      <c r="AA19" s="6" t="s">
        <v>65</v>
      </c>
      <c r="AB19" s="15" t="s">
        <v>19</v>
      </c>
      <c r="AC19" s="16" t="s">
        <v>45</v>
      </c>
      <c r="AD19" s="16" t="s">
        <v>45</v>
      </c>
      <c r="AE19" s="16" t="s">
        <v>50</v>
      </c>
      <c r="AF19" s="16" t="s">
        <v>50</v>
      </c>
      <c r="AG19" s="17" t="s">
        <v>60</v>
      </c>
      <c r="AH19" s="17" t="s">
        <v>62</v>
      </c>
      <c r="AI19" s="17" t="s">
        <v>45</v>
      </c>
      <c r="AJ19" s="17" t="s">
        <v>23</v>
      </c>
      <c r="AK19" s="17" t="s">
        <v>45</v>
      </c>
      <c r="AL19" s="106" t="s">
        <v>1821</v>
      </c>
      <c r="AM19" s="107"/>
      <c r="AN19" s="107"/>
      <c r="AO19" s="107"/>
      <c r="AP19" s="108"/>
    </row>
    <row r="20" spans="1:43" s="14" customFormat="1" ht="44.25" customHeight="1" x14ac:dyDescent="0.4">
      <c r="A20" s="11">
        <v>19</v>
      </c>
      <c r="B20" s="11">
        <v>104</v>
      </c>
      <c r="C20" s="11" t="s">
        <v>79</v>
      </c>
      <c r="D20" s="13" t="s">
        <v>1916</v>
      </c>
      <c r="E20" s="33" t="s">
        <v>18</v>
      </c>
      <c r="F20" s="45" t="s">
        <v>1917</v>
      </c>
      <c r="G20" s="11" t="s">
        <v>43</v>
      </c>
      <c r="H20" s="11" t="s">
        <v>52</v>
      </c>
      <c r="I20" s="11" t="s">
        <v>84</v>
      </c>
      <c r="J20" s="11" t="s">
        <v>85</v>
      </c>
      <c r="K20" s="11" t="s">
        <v>60</v>
      </c>
      <c r="L20" s="11" t="s">
        <v>92</v>
      </c>
      <c r="M20" s="11" t="s">
        <v>45</v>
      </c>
      <c r="N20" s="11" t="s">
        <v>23</v>
      </c>
      <c r="O20" s="11" t="s">
        <v>23</v>
      </c>
      <c r="P20" s="11" t="s">
        <v>84</v>
      </c>
      <c r="Q20" s="11" t="s">
        <v>86</v>
      </c>
      <c r="R20" s="11">
        <v>900</v>
      </c>
      <c r="S20" s="40" t="s">
        <v>39</v>
      </c>
      <c r="T20" s="11">
        <v>900</v>
      </c>
      <c r="U20" s="11" t="s">
        <v>23</v>
      </c>
      <c r="V20" s="11" t="s">
        <v>84</v>
      </c>
      <c r="W20" s="11" t="s">
        <v>86</v>
      </c>
      <c r="X20" s="40" t="s">
        <v>60</v>
      </c>
      <c r="Y20" s="40" t="s">
        <v>87</v>
      </c>
      <c r="Z20" s="40" t="s">
        <v>1918</v>
      </c>
      <c r="AA20" s="40" t="s">
        <v>65</v>
      </c>
      <c r="AB20" s="12" t="s">
        <v>88</v>
      </c>
      <c r="AC20" s="11" t="s">
        <v>45</v>
      </c>
      <c r="AD20" s="11" t="s">
        <v>23</v>
      </c>
      <c r="AE20" s="11" t="s">
        <v>50</v>
      </c>
      <c r="AF20" s="11" t="s">
        <v>50</v>
      </c>
      <c r="AG20" s="13" t="s">
        <v>60</v>
      </c>
      <c r="AH20" s="13" t="s">
        <v>62</v>
      </c>
      <c r="AI20" s="13" t="s">
        <v>45</v>
      </c>
      <c r="AJ20" s="13" t="s">
        <v>45</v>
      </c>
      <c r="AK20" s="13" t="s">
        <v>45</v>
      </c>
      <c r="AL20" s="133" t="s">
        <v>1919</v>
      </c>
      <c r="AM20" s="134"/>
      <c r="AN20" s="134"/>
      <c r="AO20" s="134"/>
      <c r="AP20" s="135"/>
    </row>
    <row r="21" spans="1:43" s="10" customFormat="1" ht="40.5" customHeight="1" x14ac:dyDescent="0.4">
      <c r="A21" s="6">
        <v>19</v>
      </c>
      <c r="B21" s="6">
        <v>204</v>
      </c>
      <c r="C21" s="6" t="s">
        <v>79</v>
      </c>
      <c r="D21" s="18" t="s">
        <v>1920</v>
      </c>
      <c r="E21" s="34" t="s">
        <v>18</v>
      </c>
      <c r="F21" s="6" t="s">
        <v>1921</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87</v>
      </c>
      <c r="Z21" s="6" t="s">
        <v>1922</v>
      </c>
      <c r="AA21" s="6" t="s">
        <v>65</v>
      </c>
      <c r="AB21" s="15" t="s">
        <v>19</v>
      </c>
      <c r="AC21" s="16" t="s">
        <v>45</v>
      </c>
      <c r="AD21" s="16" t="s">
        <v>45</v>
      </c>
      <c r="AE21" s="16" t="s">
        <v>50</v>
      </c>
      <c r="AF21" s="16" t="s">
        <v>50</v>
      </c>
      <c r="AG21" s="17" t="s">
        <v>60</v>
      </c>
      <c r="AH21" s="17" t="s">
        <v>62</v>
      </c>
      <c r="AI21" s="17" t="s">
        <v>45</v>
      </c>
      <c r="AJ21" s="17" t="s">
        <v>45</v>
      </c>
      <c r="AK21" s="17" t="s">
        <v>23</v>
      </c>
      <c r="AL21" s="106" t="s">
        <v>1925</v>
      </c>
      <c r="AM21" s="107"/>
      <c r="AN21" s="107"/>
      <c r="AO21" s="107"/>
      <c r="AP21" s="108"/>
    </row>
    <row r="22" spans="1:43" s="14" customFormat="1" ht="15" customHeight="1" x14ac:dyDescent="0.4">
      <c r="A22" s="11">
        <v>19</v>
      </c>
      <c r="B22" s="11">
        <v>304</v>
      </c>
      <c r="C22" s="11" t="s">
        <v>79</v>
      </c>
      <c r="D22" s="13" t="s">
        <v>1869</v>
      </c>
      <c r="E22" s="33" t="s">
        <v>18</v>
      </c>
      <c r="F22" s="11" t="s">
        <v>1870</v>
      </c>
      <c r="G22" s="11" t="s">
        <v>43</v>
      </c>
      <c r="H22" s="11" t="s">
        <v>52</v>
      </c>
      <c r="I22" s="11" t="s">
        <v>84</v>
      </c>
      <c r="J22" s="11" t="s">
        <v>85</v>
      </c>
      <c r="K22" s="11" t="s">
        <v>60</v>
      </c>
      <c r="L22" s="11" t="s">
        <v>92</v>
      </c>
      <c r="M22" s="11" t="s">
        <v>45</v>
      </c>
      <c r="N22" s="11" t="s">
        <v>45</v>
      </c>
      <c r="O22" s="11" t="s">
        <v>45</v>
      </c>
      <c r="P22" s="11" t="s">
        <v>84</v>
      </c>
      <c r="Q22" s="11" t="s">
        <v>86</v>
      </c>
      <c r="R22" s="11">
        <v>750</v>
      </c>
      <c r="S22" s="40" t="s">
        <v>39</v>
      </c>
      <c r="T22" s="11">
        <v>900</v>
      </c>
      <c r="U22" s="11" t="s">
        <v>45</v>
      </c>
      <c r="V22" s="11" t="s">
        <v>84</v>
      </c>
      <c r="W22" s="11" t="s">
        <v>86</v>
      </c>
      <c r="X22" s="40" t="s">
        <v>60</v>
      </c>
      <c r="Y22" s="40" t="s">
        <v>87</v>
      </c>
      <c r="Z22" s="40" t="s">
        <v>1871</v>
      </c>
      <c r="AA22" s="40" t="s">
        <v>65</v>
      </c>
      <c r="AB22" s="12" t="s">
        <v>19</v>
      </c>
      <c r="AC22" s="11" t="s">
        <v>45</v>
      </c>
      <c r="AD22" s="11" t="s">
        <v>45</v>
      </c>
      <c r="AE22" s="11" t="s">
        <v>116</v>
      </c>
      <c r="AF22" s="11" t="s">
        <v>50</v>
      </c>
      <c r="AG22" s="13" t="s">
        <v>60</v>
      </c>
      <c r="AH22" s="13" t="s">
        <v>62</v>
      </c>
      <c r="AI22" s="13" t="s">
        <v>23</v>
      </c>
      <c r="AJ22" s="13" t="s">
        <v>45</v>
      </c>
      <c r="AK22" s="13" t="s">
        <v>23</v>
      </c>
      <c r="AL22" s="133" t="s">
        <v>1872</v>
      </c>
      <c r="AM22" s="134"/>
      <c r="AN22" s="134"/>
      <c r="AO22" s="134"/>
      <c r="AP22" s="135"/>
    </row>
    <row r="23" spans="1:43" s="10" customFormat="1" ht="15" customHeight="1" x14ac:dyDescent="0.4">
      <c r="A23" s="6">
        <v>19</v>
      </c>
      <c r="B23" s="6">
        <v>404</v>
      </c>
      <c r="C23" s="6" t="s">
        <v>79</v>
      </c>
      <c r="D23" s="18" t="s">
        <v>1873</v>
      </c>
      <c r="E23" s="34" t="s">
        <v>18</v>
      </c>
      <c r="F23" s="6" t="s">
        <v>1874</v>
      </c>
      <c r="G23" s="6" t="s">
        <v>43</v>
      </c>
      <c r="H23" s="6" t="s">
        <v>52</v>
      </c>
      <c r="I23" s="6" t="s">
        <v>84</v>
      </c>
      <c r="J23" s="6" t="s">
        <v>85</v>
      </c>
      <c r="K23" s="6" t="s">
        <v>60</v>
      </c>
      <c r="L23" s="6" t="s">
        <v>92</v>
      </c>
      <c r="M23" s="6" t="s">
        <v>45</v>
      </c>
      <c r="N23" s="6" t="s">
        <v>23</v>
      </c>
      <c r="O23" s="6" t="s">
        <v>45</v>
      </c>
      <c r="P23" s="6" t="s">
        <v>84</v>
      </c>
      <c r="Q23" s="6" t="s">
        <v>86</v>
      </c>
      <c r="R23" s="6">
        <v>1200</v>
      </c>
      <c r="S23" s="6" t="s">
        <v>39</v>
      </c>
      <c r="T23" s="6">
        <v>900</v>
      </c>
      <c r="U23" s="6" t="s">
        <v>45</v>
      </c>
      <c r="V23" s="6" t="s">
        <v>84</v>
      </c>
      <c r="W23" s="6" t="s">
        <v>86</v>
      </c>
      <c r="X23" s="6" t="s">
        <v>60</v>
      </c>
      <c r="Y23" s="6" t="s">
        <v>87</v>
      </c>
      <c r="Z23" s="6" t="s">
        <v>1875</v>
      </c>
      <c r="AA23" s="6" t="s">
        <v>65</v>
      </c>
      <c r="AB23" s="15" t="s">
        <v>88</v>
      </c>
      <c r="AC23" s="16" t="s">
        <v>45</v>
      </c>
      <c r="AD23" s="16" t="s">
        <v>23</v>
      </c>
      <c r="AE23" s="16" t="s">
        <v>50</v>
      </c>
      <c r="AF23" s="16" t="s">
        <v>50</v>
      </c>
      <c r="AG23" s="17" t="s">
        <v>60</v>
      </c>
      <c r="AH23" s="17" t="s">
        <v>62</v>
      </c>
      <c r="AI23" s="17" t="s">
        <v>241</v>
      </c>
      <c r="AJ23" s="17" t="s">
        <v>23</v>
      </c>
      <c r="AK23" s="17" t="s">
        <v>23</v>
      </c>
      <c r="AL23" s="106" t="s">
        <v>1876</v>
      </c>
      <c r="AM23" s="107"/>
      <c r="AN23" s="107"/>
      <c r="AO23" s="107"/>
      <c r="AP23" s="108"/>
    </row>
    <row r="24" spans="1:43" s="14" customFormat="1" ht="15" customHeight="1" x14ac:dyDescent="0.4">
      <c r="A24" s="11">
        <v>19</v>
      </c>
      <c r="B24" s="11">
        <v>504</v>
      </c>
      <c r="C24" s="11" t="s">
        <v>79</v>
      </c>
      <c r="D24" s="13" t="s">
        <v>1877</v>
      </c>
      <c r="E24" s="33" t="s">
        <v>18</v>
      </c>
      <c r="F24" s="11" t="s">
        <v>1878</v>
      </c>
      <c r="G24" s="11" t="s">
        <v>43</v>
      </c>
      <c r="H24" s="11" t="s">
        <v>52</v>
      </c>
      <c r="I24" s="11" t="s">
        <v>84</v>
      </c>
      <c r="J24" s="11" t="s">
        <v>85</v>
      </c>
      <c r="K24" s="11" t="s">
        <v>60</v>
      </c>
      <c r="L24" s="11" t="s">
        <v>92</v>
      </c>
      <c r="M24" s="11" t="s">
        <v>45</v>
      </c>
      <c r="N24" s="11" t="s">
        <v>45</v>
      </c>
      <c r="O24" s="11" t="s">
        <v>23</v>
      </c>
      <c r="P24" s="11" t="s">
        <v>84</v>
      </c>
      <c r="Q24" s="11" t="s">
        <v>86</v>
      </c>
      <c r="R24" s="11">
        <v>900</v>
      </c>
      <c r="S24" s="40" t="s">
        <v>39</v>
      </c>
      <c r="T24" s="11">
        <v>900</v>
      </c>
      <c r="U24" s="11" t="s">
        <v>45</v>
      </c>
      <c r="V24" s="11" t="s">
        <v>84</v>
      </c>
      <c r="W24" s="11" t="s">
        <v>86</v>
      </c>
      <c r="X24" s="40" t="s">
        <v>60</v>
      </c>
      <c r="Y24" s="40" t="s">
        <v>344</v>
      </c>
      <c r="Z24" s="40"/>
      <c r="AA24" s="40" t="s">
        <v>65</v>
      </c>
      <c r="AB24" s="12" t="s">
        <v>88</v>
      </c>
      <c r="AC24" s="11" t="s">
        <v>45</v>
      </c>
      <c r="AD24" s="11" t="s">
        <v>23</v>
      </c>
      <c r="AE24" s="11" t="s">
        <v>50</v>
      </c>
      <c r="AF24" s="11" t="s">
        <v>50</v>
      </c>
      <c r="AG24" s="13" t="s">
        <v>60</v>
      </c>
      <c r="AH24" s="13" t="s">
        <v>62</v>
      </c>
      <c r="AI24" s="13" t="s">
        <v>45</v>
      </c>
      <c r="AJ24" s="13" t="s">
        <v>45</v>
      </c>
      <c r="AK24" s="13" t="s">
        <v>45</v>
      </c>
      <c r="AL24" s="133" t="s">
        <v>1879</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所有→18戸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既存→0戸</v>
      </c>
      <c r="L25" s="20" t="str">
        <f>"普通便座→"&amp;COUNTIF(L5:L24,"普通便座")&amp;"戸"</f>
        <v>普通便座→0戸</v>
      </c>
      <c r="M25" s="20" t="str">
        <f>"有→"&amp;COUNTIF(M5:M24,"有")&amp;"戸"</f>
        <v>有→0戸</v>
      </c>
      <c r="N25" s="20" t="str">
        <f>"有→"&amp;COUNTIF(N5:N24,"有")&amp;"戸"</f>
        <v>有→6戸</v>
      </c>
      <c r="O25" s="20" t="str">
        <f>"有→"&amp;COUNTIF(O5:O24,"有")&amp;"戸"</f>
        <v>有→11戸</v>
      </c>
      <c r="P25" s="20" t="str">
        <f>"クロス→"&amp;COUNTIF(P5:P24,"クロス")&amp;"戸"</f>
        <v>クロス→20戸</v>
      </c>
      <c r="Q25" s="20" t="str">
        <f>"CF→"&amp;COUNTIF(Q5:Q24,"CF")&amp;"戸"</f>
        <v>CF→19戸</v>
      </c>
      <c r="R25" s="20" t="str">
        <f>"1000→"&amp;COUNTIF(R5:R24,"1000")&amp;"戸"</f>
        <v>1000→0戸</v>
      </c>
      <c r="S25" s="20" t="str">
        <f>"可→"&amp;COUNTIF(S5:S24,"可")&amp;"戸"</f>
        <v>可→20戸</v>
      </c>
      <c r="T25" s="20" t="str">
        <f>"900→"&amp;COUNTIF(T5:T24,"900")&amp;"戸"</f>
        <v>900→17戸</v>
      </c>
      <c r="U25" s="20" t="str">
        <f>"有→"&amp;COUNTIF(U5:U24,"有")&amp;"戸"</f>
        <v>有→1戸</v>
      </c>
      <c r="V25" s="20" t="str">
        <f>"クロス→"&amp;COUNTIF(V5:V24,"クロス")&amp;"戸"</f>
        <v>クロス→19戸</v>
      </c>
      <c r="W25" s="20" t="str">
        <f>"CF→"&amp;COUNTIF(W5:W24,"CF")&amp;"戸"</f>
        <v>CF→19戸</v>
      </c>
      <c r="X25" s="20" t="str">
        <f>"既存→"&amp;COUNTIF(X5:X24,"既存")&amp;"戸"</f>
        <v>既存→0戸</v>
      </c>
      <c r="Y25" s="20" t="str">
        <f>"TOTO→"&amp;COUNTIF(Y5:Y24,"TOTO")&amp;"戸"</f>
        <v>TOTO→13戸</v>
      </c>
      <c r="Z25" s="130">
        <f>-COUNTA(Z5:Z24)</f>
        <v>-14</v>
      </c>
      <c r="AA25" s="20" t="str">
        <f>"可→"&amp;COUNTIF(AA5:AA24,"可")&amp;"戸"</f>
        <v>可→2戸</v>
      </c>
      <c r="AB25" s="20" t="str">
        <f>"既存→"&amp;COUNTIF(AB5:AB24,"既存")&amp;"戸"</f>
        <v>既存→6戸</v>
      </c>
      <c r="AC25" s="130">
        <f>COUNTIF(AC5:AC24,"有")</f>
        <v>3</v>
      </c>
      <c r="AD25" s="130">
        <f>COUNTIF(AD5:AD24,"有")</f>
        <v>12</v>
      </c>
      <c r="AE25" s="20" t="str">
        <f>"ポリ板→"&amp;COUNTIF(AE5:AE24,"ポリ板")&amp;"戸"</f>
        <v>ポリ板→14戸</v>
      </c>
      <c r="AF25" s="20" t="str">
        <f>"ポリ板→"&amp;COUNTIF(AF5:AF24,"ポリ板")&amp;"戸"</f>
        <v>ポリ板→19戸</v>
      </c>
      <c r="AG25" s="20" t="str">
        <f>"既存→"&amp;COUNTIF(AG5:AG24,"既存")&amp;"戸"</f>
        <v>既存→0戸</v>
      </c>
      <c r="AH25" s="20" t="str">
        <f>"洗面所→"&amp;COUNTIF(AH5:AH24,"洗面所")&amp;"戸"</f>
        <v>洗面所→19戸</v>
      </c>
      <c r="AI25" s="130">
        <f>COUNTIF(AI5:AI24,"有")</f>
        <v>4</v>
      </c>
      <c r="AJ25" s="130">
        <f>COUNTIF(AJ5:AJ24,"有")</f>
        <v>5</v>
      </c>
      <c r="AK25" s="130">
        <f>COUNTIF(AK5:AK24,"有")</f>
        <v>4</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暖房便座→1戸</v>
      </c>
      <c r="M26" s="35" t="str">
        <f>"無→"&amp;COUNTIF(M5:M24,"無")&amp;"戸"</f>
        <v>無→20戸</v>
      </c>
      <c r="N26" s="35" t="str">
        <f>"無→"&amp;COUNTIF(N5:N24,"無")&amp;"戸"</f>
        <v>無→14戸</v>
      </c>
      <c r="O26" s="35" t="str">
        <f>"無→"&amp;COUNTIF(O5:O24,"無")&amp;"戸"</f>
        <v>無→9戸</v>
      </c>
      <c r="P26" s="35" t="str">
        <f>"珪藻土→"&amp;COUNTIF(P5:P24,"珪藻土")&amp;"戸"</f>
        <v>珪藻土→0戸</v>
      </c>
      <c r="Q26" s="35" t="str">
        <f>"塩ビタイル→"&amp;COUNTIF(Q5:Q24,"塩ビタイル")&amp;"戸"</f>
        <v>塩ビタイル→0戸</v>
      </c>
      <c r="R26" s="35" t="str">
        <f>"900→"&amp;COUNTIF(R5:R24,"900")&amp;"戸"</f>
        <v>900→4戸</v>
      </c>
      <c r="S26" s="35" t="str">
        <f>"不可→"&amp;COUNTIF(S5:S24,"不可")&amp;"戸"</f>
        <v>不可→0戸</v>
      </c>
      <c r="T26" s="35" t="str">
        <f>"800→"&amp;COUNTIF(T5:T24,"800")&amp;"戸"</f>
        <v>800→0戸</v>
      </c>
      <c r="U26" s="35" t="str">
        <f>"無→"&amp;COUNTIF(U5:U24,"無")&amp;"戸"</f>
        <v>無→19戸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リフォーム済み→20戸</v>
      </c>
      <c r="Y26" s="35" t="str">
        <f>"LIXIL→"&amp;COUNTIF(Y5:Y24,"LIXIL")&amp;"戸"</f>
        <v>LIXIL→1戸</v>
      </c>
      <c r="Z26" s="131"/>
      <c r="AA26" s="35" t="str">
        <f>"不可→"&amp;COUNTIF(AA5:AA24,"不可")&amp;"戸"</f>
        <v>不可→18戸</v>
      </c>
      <c r="AB26" s="36" t="str">
        <f>"システム→"&amp;COUNTIF(AB5:AB24,"システム")&amp;"戸"</f>
        <v>システム→14戸</v>
      </c>
      <c r="AC26" s="131"/>
      <c r="AD26" s="131"/>
      <c r="AE26" s="35" t="str">
        <f>"SUS→"&amp;COUNTIF(AE5:AE24,"SUS")&amp;"戸"</f>
        <v>SUS→5戸</v>
      </c>
      <c r="AF26" s="35" t="str">
        <f>"SUS→"&amp;COUNTIF(AF5:AF24,"SUS")&amp;"戸"</f>
        <v>SUS→0戸</v>
      </c>
      <c r="AG26" s="35" t="str">
        <f>"リフォーム済み→"&amp;COUNTIF(AG5:AG24,"リフォーム済み")&amp;"戸"</f>
        <v>リフォーム済み→20戸</v>
      </c>
      <c r="AH26" s="35" t="str">
        <f>"ベランダ→"&amp;COUNTIF(AH5:AH24,"ベランダ")&amp;"戸"</f>
        <v>ベランダ→1戸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750→14戸</v>
      </c>
      <c r="S27" s="35"/>
      <c r="T27" s="35" t="str">
        <f>"740→"&amp;COUNTIF(T5:T24,"740")&amp;"戸"</f>
        <v>740→2戸</v>
      </c>
      <c r="U27" s="22"/>
      <c r="V27" s="35" t="str">
        <f>"塗装→"&amp;COUNTIF(V5:V24,"塗装")&amp;"戸"</f>
        <v>塗装→0戸</v>
      </c>
      <c r="W27" s="35" t="str">
        <f>"フローリング→"&amp;COUNTIF(W5:W24,"フローリング")&amp;"戸"</f>
        <v>フローリング→0戸</v>
      </c>
      <c r="X27" s="35"/>
      <c r="Y27" s="35" t="str">
        <f>"Panasonic→"&amp;COUNTIF(Y5:Y24,"Panasonic")&amp;"戸"</f>
        <v>Panasonic→1戸</v>
      </c>
      <c r="Z27" s="131"/>
      <c r="AA27" s="35"/>
      <c r="AB27" s="35" t="str">
        <f>"その他→"&amp;COUNTIF(AB5:AB24,"その他")&amp;"戸"</f>
        <v>その他→0戸</v>
      </c>
      <c r="AC27" s="131"/>
      <c r="AD27" s="131"/>
      <c r="AE27" s="35" t="str">
        <f>"ホーロー→"&amp;COUNTIF(AE5:AE24,"ホーロー")&amp;"戸"</f>
        <v>ホーロー→1戸</v>
      </c>
      <c r="AF27" s="35" t="str">
        <f>"ホーロー→"&amp;COUNTIF(AF5:AF24,"ホーロー")&amp;"戸"</f>
        <v>ホーロー→1戸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空家→2戸</v>
      </c>
      <c r="H28" s="39"/>
      <c r="I28" s="28"/>
      <c r="J28" s="27"/>
      <c r="K28" s="35" t="str">
        <f>"一体型→"&amp;COUNTIF(K5:K24,"一体型")&amp;"戸"</f>
        <v>一体型→0戸</v>
      </c>
      <c r="L28" s="28"/>
      <c r="M28" s="28"/>
      <c r="N28" s="28"/>
      <c r="O28" s="28"/>
      <c r="P28" s="28"/>
      <c r="Q28" s="28"/>
      <c r="R28" s="35" t="str">
        <f>"740→"&amp;COUNTIF(R5:R24,"740")&amp;"戸"</f>
        <v>740→1戸</v>
      </c>
      <c r="S28" s="27"/>
      <c r="T28" s="35" t="str">
        <f>"640→"&amp;COUNTIF(T5:T24,"640")&amp;"戸"</f>
        <v>640→1戸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BC193086-D3F7-4336-97B0-818DAF37120B}"/>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A99C0AFE-8891-4564-ACE8-F409DE70A82C}"/>
  </dataValidations>
  <printOptions horizontalCentered="1" verticalCentered="1"/>
  <pageMargins left="0.11811023622047245" right="0.11811023622047245" top="0.55118110236220474" bottom="0.19685039370078741" header="0.31496062992125984" footer="0.31496062992125984"/>
  <pageSetup paperSize="8" scale="46" orientation="landscape" r:id="rId1"/>
  <colBreaks count="1" manualBreakCount="1">
    <brk id="42" max="2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7830C21F-41BC-4EB9-AE6E-8125200B93CB}">
          <x14:formula1>
            <xm:f>Sheet1!$C$9:$C$11</xm:f>
          </x14:formula1>
          <xm:sqref>Q14:Q24 W14:W24 W5:W12 Q5:Q12</xm:sqref>
        </x14:dataValidation>
        <x14:dataValidation type="list" allowBlank="1" showInputMessage="1" showErrorMessage="1" xr:uid="{02370A1E-8C2D-480D-9E51-C9F7729848FA}">
          <x14:formula1>
            <xm:f>Sheet1!$A$1:$A$4</xm:f>
          </x14:formula1>
          <xm:sqref>G5:G24</xm:sqref>
        </x14:dataValidation>
        <x14:dataValidation type="list" allowBlank="1" showInputMessage="1" showErrorMessage="1" xr:uid="{27B14845-E94E-4CA6-AF72-5FD7068C7CD8}">
          <x14:formula1>
            <xm:f>Sheet1!$A$6:$A$7</xm:f>
          </x14:formula1>
          <xm:sqref>H5:H24</xm:sqref>
        </x14:dataValidation>
        <x14:dataValidation type="list" allowBlank="1" showInputMessage="1" showErrorMessage="1" xr:uid="{B58AC88B-F2FE-4040-868C-7CD49713B0BA}">
          <x14:formula1>
            <xm:f>Sheet1!$A$9:$A$11</xm:f>
          </x14:formula1>
          <xm:sqref>V6:V24 P5:P24 I5:I24</xm:sqref>
        </x14:dataValidation>
        <x14:dataValidation type="list" allowBlank="1" showInputMessage="1" showErrorMessage="1" xr:uid="{ED099AEF-9729-4C18-AA49-535DA128DA39}">
          <x14:formula1>
            <xm:f>Sheet1!$D$1:$D$3</xm:f>
          </x14:formula1>
          <xm:sqref>J5:J24</xm:sqref>
        </x14:dataValidation>
        <x14:dataValidation type="list" allowBlank="1" showInputMessage="1" showErrorMessage="1" xr:uid="{59D658C1-AF8B-4CF0-AA21-36202C756582}">
          <x14:formula1>
            <xm:f>Sheet1!$G$9:$G$12</xm:f>
          </x14:formula1>
          <xm:sqref>K5:K24</xm:sqref>
        </x14:dataValidation>
        <x14:dataValidation type="list" allowBlank="1" showInputMessage="1" showErrorMessage="1" xr:uid="{5C53F70E-300B-4FBE-8C57-B26E790525E3}">
          <x14:formula1>
            <xm:f>Sheet1!$E$9:$E$11</xm:f>
          </x14:formula1>
          <xm:sqref>L5:L24</xm:sqref>
        </x14:dataValidation>
        <x14:dataValidation type="list" allowBlank="1" showInputMessage="1" showErrorMessage="1" xr:uid="{244FB0AD-00EE-4978-91D8-A9C23B19D207}">
          <x14:formula1>
            <xm:f>Sheet1!$C$6:$C$7</xm:f>
          </x14:formula1>
          <xm:sqref>AJ5:AK24 AC5:AD24 M5:O24 U5:U24</xm:sqref>
        </x14:dataValidation>
        <x14:dataValidation type="list" allowBlank="1" showInputMessage="1" showErrorMessage="1" xr:uid="{EC5049D2-5ACC-427B-AF01-CB9C2807A14F}">
          <x14:formula1>
            <xm:f>Sheet1!$A$17:$A$20</xm:f>
          </x14:formula1>
          <xm:sqref>R24 R17:R22 R5:R15</xm:sqref>
        </x14:dataValidation>
        <x14:dataValidation type="list" allowBlank="1" showInputMessage="1" showErrorMessage="1" xr:uid="{420F3873-5889-4D57-8881-DDA2D86790CC}">
          <x14:formula1>
            <xm:f>Sheet1!$C$17:$C$20</xm:f>
          </x14:formula1>
          <xm:sqref>T5:T24</xm:sqref>
        </x14:dataValidation>
        <x14:dataValidation type="list" allowBlank="1" showInputMessage="1" showErrorMessage="1" xr:uid="{CC5B5573-E468-4463-9568-758A35537A91}">
          <x14:formula1>
            <xm:f>Sheet1!$A$13:$A$15</xm:f>
          </x14:formula1>
          <xm:sqref>AB5:AB24</xm:sqref>
        </x14:dataValidation>
        <x14:dataValidation type="list" allowBlank="1" showInputMessage="1" showErrorMessage="1" xr:uid="{AF4918CD-BF27-4110-9BDA-EA6E4A61F715}">
          <x14:formula1>
            <xm:f>Sheet1!$G$1:$G$4</xm:f>
          </x14:formula1>
          <xm:sqref>AE5:AF24</xm:sqref>
        </x14:dataValidation>
        <x14:dataValidation type="list" allowBlank="1" showInputMessage="1" showErrorMessage="1" xr:uid="{567DBC78-8972-45BE-9F83-079489E88772}">
          <x14:formula1>
            <xm:f>Sheet1!$E$17:$E$18</xm:f>
          </x14:formula1>
          <xm:sqref>AG5:AG24</xm:sqref>
        </x14:dataValidation>
        <x14:dataValidation type="list" allowBlank="1" showInputMessage="1" showErrorMessage="1" xr:uid="{324478C7-378A-4141-9E78-24C30D0EEAFD}">
          <x14:formula1>
            <xm:f>Sheet1!$G$17:$G$18</xm:f>
          </x14:formula1>
          <xm:sqref>AH5:AH24</xm:sqref>
        </x14:dataValidation>
        <x14:dataValidation type="list" allowBlank="1" showInputMessage="1" showErrorMessage="1" xr:uid="{7539F1C6-7985-4600-A674-ED99AF6F359D}">
          <x14:formula1>
            <xm:f>Sheet1!$I$1:$I$2</xm:f>
          </x14:formula1>
          <xm:sqref>X5:X24</xm:sqref>
        </x14:dataValidation>
        <x14:dataValidation type="list" allowBlank="1" showInputMessage="1" showErrorMessage="1" xr:uid="{1176E4D4-B413-41C1-A726-B153060F81D6}">
          <x14:formula1>
            <xm:f>Sheet1!$G$6:$G$7</xm:f>
          </x14:formula1>
          <xm:sqref>AA5:AA24 S5:S24</xm:sqref>
        </x14:dataValidation>
        <x14:dataValidation type="list" allowBlank="1" showInputMessage="1" showErrorMessage="1" xr:uid="{59F6EDDB-E53A-4E55-8DF3-31EA368BAE1F}">
          <x14:formula1>
            <xm:f>Sheet1!$C$6:$C$8</xm:f>
          </x14:formula1>
          <xm:sqref>AI5:AI24</xm:sqref>
        </x14:dataValidation>
        <x14:dataValidation type="list" allowBlank="1" showInputMessage="1" showErrorMessage="1" xr:uid="{D41A05EA-0FA7-4F9F-A45D-C3CAFE0AB204}">
          <x14:formula1>
            <xm:f>Sheet1!$I$9:$I$13</xm:f>
          </x14:formula1>
          <xm:sqref>Y6 Y14:Y24 Y9:Y12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17C42-CB26-40C2-8886-BB8DF894DAE9}">
  <sheetPr codeName="Sheet20">
    <tabColor rgb="FF92D050"/>
  </sheetPr>
  <dimension ref="A1:AR39"/>
  <sheetViews>
    <sheetView view="pageBreakPreview" zoomScaleNormal="40" zoomScaleSheetLayoutView="70" workbookViewId="0">
      <pane xSplit="5" ySplit="4" topLeftCell="AF5" activePane="bottomRight" state="frozen"/>
      <selection activeCell="N11" sqref="N11"/>
      <selection pane="topRight" activeCell="N11" sqref="N11"/>
      <selection pane="bottomLeft" activeCell="N11" sqref="N11"/>
      <selection pane="bottomRight" activeCell="K25" sqref="K25"/>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47.25" customHeight="1" x14ac:dyDescent="0.4">
      <c r="A5" s="6">
        <v>20</v>
      </c>
      <c r="B5" s="6">
        <v>101</v>
      </c>
      <c r="C5" s="6" t="s">
        <v>79</v>
      </c>
      <c r="D5" s="18" t="s">
        <v>1701</v>
      </c>
      <c r="E5" s="32" t="s">
        <v>18</v>
      </c>
      <c r="F5" s="6" t="s">
        <v>1702</v>
      </c>
      <c r="G5" s="6" t="s">
        <v>43</v>
      </c>
      <c r="H5" s="6" t="s">
        <v>52</v>
      </c>
      <c r="I5" s="6" t="s">
        <v>84</v>
      </c>
      <c r="J5" s="6" t="s">
        <v>85</v>
      </c>
      <c r="K5" s="6" t="s">
        <v>60</v>
      </c>
      <c r="L5" s="6" t="s">
        <v>92</v>
      </c>
      <c r="M5" s="6" t="s">
        <v>45</v>
      </c>
      <c r="N5" s="6" t="s">
        <v>45</v>
      </c>
      <c r="O5" s="6" t="s">
        <v>45</v>
      </c>
      <c r="P5" s="6" t="s">
        <v>84</v>
      </c>
      <c r="Q5" s="6" t="s">
        <v>86</v>
      </c>
      <c r="R5" s="6">
        <v>740</v>
      </c>
      <c r="S5" s="16" t="s">
        <v>39</v>
      </c>
      <c r="T5" s="6">
        <v>900</v>
      </c>
      <c r="U5" s="6" t="s">
        <v>45</v>
      </c>
      <c r="V5" s="6" t="s">
        <v>84</v>
      </c>
      <c r="W5" s="6" t="s">
        <v>86</v>
      </c>
      <c r="X5" s="16" t="s">
        <v>60</v>
      </c>
      <c r="Y5" s="16" t="s">
        <v>87</v>
      </c>
      <c r="Z5" s="16" t="s">
        <v>1703</v>
      </c>
      <c r="AA5" s="6" t="s">
        <v>1704</v>
      </c>
      <c r="AB5" s="7" t="s">
        <v>19</v>
      </c>
      <c r="AC5" s="8" t="s">
        <v>45</v>
      </c>
      <c r="AD5" s="8" t="s">
        <v>45</v>
      </c>
      <c r="AE5" s="8" t="s">
        <v>50</v>
      </c>
      <c r="AF5" s="16" t="s">
        <v>50</v>
      </c>
      <c r="AG5" s="17" t="s">
        <v>60</v>
      </c>
      <c r="AH5" s="17" t="s">
        <v>96</v>
      </c>
      <c r="AI5" s="17" t="s">
        <v>45</v>
      </c>
      <c r="AJ5" s="17" t="s">
        <v>45</v>
      </c>
      <c r="AK5" s="9" t="s">
        <v>45</v>
      </c>
      <c r="AL5" s="140" t="s">
        <v>1705</v>
      </c>
      <c r="AM5" s="141"/>
      <c r="AN5" s="141"/>
      <c r="AO5" s="141"/>
      <c r="AP5" s="142"/>
    </row>
    <row r="6" spans="1:44" s="14" customFormat="1" ht="15" customHeight="1" x14ac:dyDescent="0.4">
      <c r="A6" s="11">
        <v>20</v>
      </c>
      <c r="B6" s="11">
        <v>201</v>
      </c>
      <c r="C6" s="11" t="s">
        <v>79</v>
      </c>
      <c r="D6" s="13" t="s">
        <v>1841</v>
      </c>
      <c r="E6" s="33" t="s">
        <v>18</v>
      </c>
      <c r="F6" s="11" t="s">
        <v>1842</v>
      </c>
      <c r="G6" s="11" t="s">
        <v>43</v>
      </c>
      <c r="H6" s="11" t="s">
        <v>52</v>
      </c>
      <c r="I6" s="11" t="s">
        <v>84</v>
      </c>
      <c r="J6" s="11" t="s">
        <v>85</v>
      </c>
      <c r="K6" s="11" t="s">
        <v>60</v>
      </c>
      <c r="L6" s="11" t="s">
        <v>92</v>
      </c>
      <c r="M6" s="11" t="s">
        <v>23</v>
      </c>
      <c r="N6" s="11" t="s">
        <v>45</v>
      </c>
      <c r="O6" s="11" t="s">
        <v>23</v>
      </c>
      <c r="P6" s="11" t="s">
        <v>84</v>
      </c>
      <c r="Q6" s="11" t="s">
        <v>86</v>
      </c>
      <c r="R6" s="11">
        <v>750</v>
      </c>
      <c r="S6" s="11" t="s">
        <v>39</v>
      </c>
      <c r="T6" s="40">
        <v>900</v>
      </c>
      <c r="U6" s="40" t="s">
        <v>45</v>
      </c>
      <c r="V6" s="40" t="s">
        <v>84</v>
      </c>
      <c r="W6" s="40" t="s">
        <v>86</v>
      </c>
      <c r="X6" s="40" t="s">
        <v>60</v>
      </c>
      <c r="Y6" s="40" t="s">
        <v>87</v>
      </c>
      <c r="Z6" s="40" t="s">
        <v>1843</v>
      </c>
      <c r="AA6" s="40" t="s">
        <v>65</v>
      </c>
      <c r="AB6" s="12" t="s">
        <v>19</v>
      </c>
      <c r="AC6" s="11" t="s">
        <v>45</v>
      </c>
      <c r="AD6" s="11" t="s">
        <v>45</v>
      </c>
      <c r="AE6" s="11" t="s">
        <v>50</v>
      </c>
      <c r="AF6" s="11" t="s">
        <v>50</v>
      </c>
      <c r="AG6" s="13" t="s">
        <v>60</v>
      </c>
      <c r="AH6" s="13" t="s">
        <v>62</v>
      </c>
      <c r="AI6" s="13" t="s">
        <v>241</v>
      </c>
      <c r="AJ6" s="13" t="s">
        <v>45</v>
      </c>
      <c r="AK6" s="11" t="s">
        <v>45</v>
      </c>
      <c r="AL6" s="146" t="s">
        <v>2049</v>
      </c>
      <c r="AM6" s="147"/>
      <c r="AN6" s="147"/>
      <c r="AO6" s="147"/>
      <c r="AP6" s="148"/>
    </row>
    <row r="7" spans="1:44" s="10" customFormat="1" ht="15" customHeight="1" x14ac:dyDescent="0.4">
      <c r="A7" s="6">
        <v>20</v>
      </c>
      <c r="B7" s="6">
        <v>301</v>
      </c>
      <c r="C7" s="6" t="s">
        <v>79</v>
      </c>
      <c r="D7" s="18" t="s">
        <v>2033</v>
      </c>
      <c r="E7" s="34" t="s">
        <v>18</v>
      </c>
      <c r="F7" s="6" t="s">
        <v>2034</v>
      </c>
      <c r="G7" s="6" t="s">
        <v>43</v>
      </c>
      <c r="H7" s="6" t="s">
        <v>52</v>
      </c>
      <c r="I7" s="6" t="s">
        <v>84</v>
      </c>
      <c r="J7" s="6" t="s">
        <v>85</v>
      </c>
      <c r="K7" s="6" t="s">
        <v>60</v>
      </c>
      <c r="L7" s="6" t="s">
        <v>92</v>
      </c>
      <c r="M7" s="6" t="s">
        <v>23</v>
      </c>
      <c r="N7" s="6" t="s">
        <v>45</v>
      </c>
      <c r="O7" s="6" t="s">
        <v>23</v>
      </c>
      <c r="P7" s="6" t="s">
        <v>84</v>
      </c>
      <c r="Q7" s="6" t="s">
        <v>86</v>
      </c>
      <c r="R7" s="6">
        <v>750</v>
      </c>
      <c r="S7" s="16" t="s">
        <v>39</v>
      </c>
      <c r="T7" s="16">
        <v>900</v>
      </c>
      <c r="U7" s="16" t="s">
        <v>45</v>
      </c>
      <c r="V7" s="16" t="s">
        <v>84</v>
      </c>
      <c r="W7" s="16" t="s">
        <v>86</v>
      </c>
      <c r="X7" s="16" t="s">
        <v>60</v>
      </c>
      <c r="Y7" s="16" t="s">
        <v>141</v>
      </c>
      <c r="Z7" s="16"/>
      <c r="AA7" s="16" t="s">
        <v>39</v>
      </c>
      <c r="AB7" s="15" t="s">
        <v>19</v>
      </c>
      <c r="AC7" s="6" t="s">
        <v>45</v>
      </c>
      <c r="AD7" s="6" t="s">
        <v>45</v>
      </c>
      <c r="AE7" s="6" t="s">
        <v>116</v>
      </c>
      <c r="AF7" s="16" t="s">
        <v>50</v>
      </c>
      <c r="AG7" s="17" t="s">
        <v>60</v>
      </c>
      <c r="AH7" s="17" t="s">
        <v>62</v>
      </c>
      <c r="AI7" s="17" t="s">
        <v>45</v>
      </c>
      <c r="AJ7" s="17" t="s">
        <v>45</v>
      </c>
      <c r="AK7" s="18" t="s">
        <v>23</v>
      </c>
      <c r="AL7" s="106" t="s">
        <v>2035</v>
      </c>
      <c r="AM7" s="107"/>
      <c r="AN7" s="107"/>
      <c r="AO7" s="107"/>
      <c r="AP7" s="108"/>
    </row>
    <row r="8" spans="1:44" s="14" customFormat="1" ht="54" customHeight="1" x14ac:dyDescent="0.4">
      <c r="A8" s="11">
        <v>20</v>
      </c>
      <c r="B8" s="11">
        <v>401</v>
      </c>
      <c r="C8" s="11" t="s">
        <v>79</v>
      </c>
      <c r="D8" s="13" t="s">
        <v>1683</v>
      </c>
      <c r="E8" s="33" t="s">
        <v>18</v>
      </c>
      <c r="F8" s="11" t="s">
        <v>1684</v>
      </c>
      <c r="G8" s="11" t="s">
        <v>43</v>
      </c>
      <c r="H8" s="11" t="s">
        <v>52</v>
      </c>
      <c r="I8" s="11" t="s">
        <v>84</v>
      </c>
      <c r="J8" s="11" t="s">
        <v>85</v>
      </c>
      <c r="K8" s="11" t="s">
        <v>60</v>
      </c>
      <c r="L8" s="11" t="s">
        <v>92</v>
      </c>
      <c r="M8" s="11" t="s">
        <v>45</v>
      </c>
      <c r="N8" s="11" t="s">
        <v>23</v>
      </c>
      <c r="O8" s="11" t="s">
        <v>45</v>
      </c>
      <c r="P8" s="11" t="s">
        <v>84</v>
      </c>
      <c r="Q8" s="11" t="s">
        <v>86</v>
      </c>
      <c r="R8" s="11">
        <v>750</v>
      </c>
      <c r="S8" s="40" t="s">
        <v>39</v>
      </c>
      <c r="T8" s="11">
        <v>900</v>
      </c>
      <c r="U8" s="11" t="s">
        <v>45</v>
      </c>
      <c r="V8" s="11" t="s">
        <v>84</v>
      </c>
      <c r="W8" s="11" t="s">
        <v>86</v>
      </c>
      <c r="X8" s="40" t="s">
        <v>60</v>
      </c>
      <c r="Y8" s="40" t="s">
        <v>87</v>
      </c>
      <c r="Z8" s="40" t="s">
        <v>1685</v>
      </c>
      <c r="AA8" s="40" t="s">
        <v>65</v>
      </c>
      <c r="AB8" s="12" t="s">
        <v>88</v>
      </c>
      <c r="AC8" s="11" t="s">
        <v>23</v>
      </c>
      <c r="AD8" s="11" t="s">
        <v>23</v>
      </c>
      <c r="AE8" s="11" t="s">
        <v>116</v>
      </c>
      <c r="AF8" s="11" t="s">
        <v>50</v>
      </c>
      <c r="AG8" s="13" t="s">
        <v>60</v>
      </c>
      <c r="AH8" s="13" t="s">
        <v>62</v>
      </c>
      <c r="AI8" s="13" t="s">
        <v>45</v>
      </c>
      <c r="AJ8" s="13" t="s">
        <v>45</v>
      </c>
      <c r="AK8" s="13" t="s">
        <v>45</v>
      </c>
      <c r="AL8" s="133" t="s">
        <v>1686</v>
      </c>
      <c r="AM8" s="134"/>
      <c r="AN8" s="134"/>
      <c r="AO8" s="134"/>
      <c r="AP8" s="135"/>
    </row>
    <row r="9" spans="1:44" s="10" customFormat="1" ht="43.5" customHeight="1" x14ac:dyDescent="0.4">
      <c r="A9" s="6">
        <v>20</v>
      </c>
      <c r="B9" s="6">
        <v>501</v>
      </c>
      <c r="C9" s="6" t="s">
        <v>79</v>
      </c>
      <c r="D9" s="18" t="s">
        <v>1687</v>
      </c>
      <c r="E9" s="34" t="s">
        <v>18</v>
      </c>
      <c r="F9" s="6" t="s">
        <v>1688</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60</v>
      </c>
      <c r="Y9" s="6" t="s">
        <v>141</v>
      </c>
      <c r="Z9" s="6"/>
      <c r="AA9" s="6" t="s">
        <v>1704</v>
      </c>
      <c r="AB9" s="15" t="s">
        <v>19</v>
      </c>
      <c r="AC9" s="16" t="s">
        <v>45</v>
      </c>
      <c r="AD9" s="16" t="s">
        <v>23</v>
      </c>
      <c r="AE9" s="16" t="s">
        <v>50</v>
      </c>
      <c r="AF9" s="16" t="s">
        <v>50</v>
      </c>
      <c r="AG9" s="17" t="s">
        <v>60</v>
      </c>
      <c r="AH9" s="17" t="s">
        <v>62</v>
      </c>
      <c r="AI9" s="17" t="s">
        <v>45</v>
      </c>
      <c r="AJ9" s="17" t="s">
        <v>45</v>
      </c>
      <c r="AK9" s="17" t="s">
        <v>45</v>
      </c>
      <c r="AL9" s="106" t="s">
        <v>1689</v>
      </c>
      <c r="AM9" s="107"/>
      <c r="AN9" s="107"/>
      <c r="AO9" s="107"/>
      <c r="AP9" s="108"/>
    </row>
    <row r="10" spans="1:44" s="14" customFormat="1" ht="15" customHeight="1" x14ac:dyDescent="0.4">
      <c r="A10" s="11">
        <v>20</v>
      </c>
      <c r="B10" s="11">
        <v>102</v>
      </c>
      <c r="C10" s="11" t="s">
        <v>79</v>
      </c>
      <c r="D10" s="13" t="s">
        <v>1690</v>
      </c>
      <c r="E10" s="33" t="s">
        <v>18</v>
      </c>
      <c r="F10" s="11" t="s">
        <v>1691</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23</v>
      </c>
      <c r="V10" s="11" t="s">
        <v>84</v>
      </c>
      <c r="W10" s="11" t="s">
        <v>86</v>
      </c>
      <c r="X10" s="40" t="s">
        <v>60</v>
      </c>
      <c r="Y10" s="40" t="s">
        <v>87</v>
      </c>
      <c r="Z10" s="40" t="s">
        <v>1692</v>
      </c>
      <c r="AA10" s="40" t="s">
        <v>65</v>
      </c>
      <c r="AB10" s="12" t="s">
        <v>88</v>
      </c>
      <c r="AC10" s="11" t="s">
        <v>45</v>
      </c>
      <c r="AD10" s="11" t="s">
        <v>23</v>
      </c>
      <c r="AE10" s="11" t="s">
        <v>50</v>
      </c>
      <c r="AF10" s="11" t="s">
        <v>50</v>
      </c>
      <c r="AG10" s="13" t="s">
        <v>60</v>
      </c>
      <c r="AH10" s="13" t="s">
        <v>62</v>
      </c>
      <c r="AI10" s="13" t="s">
        <v>45</v>
      </c>
      <c r="AJ10" s="13" t="s">
        <v>45</v>
      </c>
      <c r="AK10" s="13" t="s">
        <v>45</v>
      </c>
      <c r="AL10" s="133" t="s">
        <v>1693</v>
      </c>
      <c r="AM10" s="134"/>
      <c r="AN10" s="134"/>
      <c r="AO10" s="134"/>
      <c r="AP10" s="135"/>
    </row>
    <row r="11" spans="1:44" s="10" customFormat="1" ht="34.5" customHeight="1" x14ac:dyDescent="0.4">
      <c r="A11" s="6">
        <v>20</v>
      </c>
      <c r="B11" s="6">
        <v>202</v>
      </c>
      <c r="C11" s="6" t="s">
        <v>79</v>
      </c>
      <c r="D11" s="18" t="s">
        <v>1694</v>
      </c>
      <c r="E11" s="34" t="s">
        <v>18</v>
      </c>
      <c r="F11" s="46" t="s">
        <v>1695</v>
      </c>
      <c r="G11" s="6" t="s">
        <v>22</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19</v>
      </c>
      <c r="Y11" s="6"/>
      <c r="Z11" s="6"/>
      <c r="AA11" s="6" t="s">
        <v>65</v>
      </c>
      <c r="AB11" s="15" t="s">
        <v>88</v>
      </c>
      <c r="AC11" s="16" t="s">
        <v>45</v>
      </c>
      <c r="AD11" s="16" t="s">
        <v>45</v>
      </c>
      <c r="AE11" s="16" t="s">
        <v>50</v>
      </c>
      <c r="AF11" s="16" t="s">
        <v>50</v>
      </c>
      <c r="AG11" s="17" t="s">
        <v>60</v>
      </c>
      <c r="AH11" s="17" t="s">
        <v>62</v>
      </c>
      <c r="AI11" s="17" t="s">
        <v>45</v>
      </c>
      <c r="AJ11" s="17" t="s">
        <v>23</v>
      </c>
      <c r="AK11" s="17" t="s">
        <v>45</v>
      </c>
      <c r="AL11" s="106" t="s">
        <v>1696</v>
      </c>
      <c r="AM11" s="107"/>
      <c r="AN11" s="107"/>
      <c r="AO11" s="107"/>
      <c r="AP11" s="108"/>
    </row>
    <row r="12" spans="1:44" s="14" customFormat="1" ht="36.75" customHeight="1" x14ac:dyDescent="0.4">
      <c r="A12" s="11">
        <v>20</v>
      </c>
      <c r="B12" s="11">
        <v>302</v>
      </c>
      <c r="C12" s="11" t="s">
        <v>79</v>
      </c>
      <c r="D12" s="13" t="s">
        <v>1697</v>
      </c>
      <c r="E12" s="33" t="s">
        <v>18</v>
      </c>
      <c r="F12" s="11" t="s">
        <v>1698</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1699</v>
      </c>
      <c r="AA12" s="40" t="s">
        <v>65</v>
      </c>
      <c r="AB12" s="12" t="s">
        <v>88</v>
      </c>
      <c r="AC12" s="40" t="s">
        <v>45</v>
      </c>
      <c r="AD12" s="40" t="s">
        <v>23</v>
      </c>
      <c r="AE12" s="40" t="s">
        <v>50</v>
      </c>
      <c r="AF12" s="40" t="s">
        <v>50</v>
      </c>
      <c r="AG12" s="13" t="s">
        <v>60</v>
      </c>
      <c r="AH12" s="13" t="s">
        <v>62</v>
      </c>
      <c r="AI12" s="13" t="s">
        <v>23</v>
      </c>
      <c r="AJ12" s="13" t="s">
        <v>45</v>
      </c>
      <c r="AK12" s="64" t="s">
        <v>23</v>
      </c>
      <c r="AL12" s="146" t="s">
        <v>1700</v>
      </c>
      <c r="AM12" s="147"/>
      <c r="AN12" s="147"/>
      <c r="AO12" s="147"/>
      <c r="AP12" s="148"/>
    </row>
    <row r="13" spans="1:44" s="10" customFormat="1" ht="15" customHeight="1" x14ac:dyDescent="0.4">
      <c r="A13" s="6">
        <v>20</v>
      </c>
      <c r="B13" s="6">
        <v>402</v>
      </c>
      <c r="C13" s="6" t="s">
        <v>79</v>
      </c>
      <c r="D13" s="18" t="s">
        <v>1729</v>
      </c>
      <c r="E13" s="34" t="s">
        <v>18</v>
      </c>
      <c r="F13" s="6" t="s">
        <v>1730</v>
      </c>
      <c r="G13" s="6" t="s">
        <v>43</v>
      </c>
      <c r="H13" s="6" t="s">
        <v>52</v>
      </c>
      <c r="I13" s="6" t="s">
        <v>84</v>
      </c>
      <c r="J13" s="6" t="s">
        <v>85</v>
      </c>
      <c r="K13" s="6" t="s">
        <v>37</v>
      </c>
      <c r="L13" s="6" t="s">
        <v>92</v>
      </c>
      <c r="M13" s="6" t="s">
        <v>23</v>
      </c>
      <c r="N13" s="6" t="s">
        <v>45</v>
      </c>
      <c r="O13" s="6" t="s">
        <v>45</v>
      </c>
      <c r="P13" s="6" t="s">
        <v>84</v>
      </c>
      <c r="Q13" s="6" t="s">
        <v>86</v>
      </c>
      <c r="R13" s="6">
        <v>750</v>
      </c>
      <c r="S13" s="6" t="s">
        <v>39</v>
      </c>
      <c r="T13" s="6">
        <v>900</v>
      </c>
      <c r="U13" s="6" t="s">
        <v>45</v>
      </c>
      <c r="V13" s="6" t="s">
        <v>84</v>
      </c>
      <c r="W13" s="6" t="s">
        <v>86</v>
      </c>
      <c r="X13" s="6" t="s">
        <v>60</v>
      </c>
      <c r="Y13" s="6" t="s">
        <v>141</v>
      </c>
      <c r="Z13" s="6"/>
      <c r="AA13" s="6" t="s">
        <v>65</v>
      </c>
      <c r="AB13" s="15" t="s">
        <v>88</v>
      </c>
      <c r="AC13" s="6" t="s">
        <v>45</v>
      </c>
      <c r="AD13" s="6" t="s">
        <v>23</v>
      </c>
      <c r="AE13" s="6" t="s">
        <v>50</v>
      </c>
      <c r="AF13" s="6" t="s">
        <v>50</v>
      </c>
      <c r="AG13" s="17" t="s">
        <v>60</v>
      </c>
      <c r="AH13" s="17" t="s">
        <v>62</v>
      </c>
      <c r="AI13" s="17" t="s">
        <v>45</v>
      </c>
      <c r="AJ13" s="17" t="s">
        <v>45</v>
      </c>
      <c r="AK13" s="18" t="s">
        <v>45</v>
      </c>
      <c r="AL13" s="78" t="s">
        <v>1732</v>
      </c>
      <c r="AM13" s="79"/>
      <c r="AN13" s="79"/>
      <c r="AO13" s="79"/>
      <c r="AP13" s="80"/>
    </row>
    <row r="14" spans="1:44" s="14" customFormat="1" ht="15" customHeight="1" x14ac:dyDescent="0.4">
      <c r="A14" s="11">
        <v>20</v>
      </c>
      <c r="B14" s="11">
        <v>502</v>
      </c>
      <c r="C14" s="11" t="s">
        <v>79</v>
      </c>
      <c r="D14" s="13" t="s">
        <v>1733</v>
      </c>
      <c r="E14" s="33" t="s">
        <v>18</v>
      </c>
      <c r="F14" s="11" t="s">
        <v>1734</v>
      </c>
      <c r="G14" s="11" t="s">
        <v>43</v>
      </c>
      <c r="H14" s="11" t="s">
        <v>52</v>
      </c>
      <c r="I14" s="11" t="s">
        <v>84</v>
      </c>
      <c r="J14" s="11" t="s">
        <v>85</v>
      </c>
      <c r="K14" s="11" t="s">
        <v>60</v>
      </c>
      <c r="L14" s="11" t="s">
        <v>92</v>
      </c>
      <c r="M14" s="11" t="s">
        <v>45</v>
      </c>
      <c r="N14" s="11" t="s">
        <v>45</v>
      </c>
      <c r="O14" s="11" t="s">
        <v>23</v>
      </c>
      <c r="P14" s="11" t="s">
        <v>84</v>
      </c>
      <c r="Q14" s="11" t="s">
        <v>86</v>
      </c>
      <c r="R14" s="11">
        <v>750</v>
      </c>
      <c r="S14" s="11" t="s">
        <v>39</v>
      </c>
      <c r="T14" s="11">
        <v>900</v>
      </c>
      <c r="U14" s="11" t="s">
        <v>45</v>
      </c>
      <c r="V14" s="11" t="s">
        <v>84</v>
      </c>
      <c r="W14" s="11" t="s">
        <v>86</v>
      </c>
      <c r="X14" s="11" t="s">
        <v>19</v>
      </c>
      <c r="Y14" s="11"/>
      <c r="Z14" s="11"/>
      <c r="AA14" s="11" t="s">
        <v>65</v>
      </c>
      <c r="AB14" s="65" t="s">
        <v>88</v>
      </c>
      <c r="AC14" s="11" t="s">
        <v>45</v>
      </c>
      <c r="AD14" s="11" t="s">
        <v>45</v>
      </c>
      <c r="AE14" s="11" t="s">
        <v>50</v>
      </c>
      <c r="AF14" s="11" t="s">
        <v>50</v>
      </c>
      <c r="AG14" s="13" t="s">
        <v>60</v>
      </c>
      <c r="AH14" s="13" t="s">
        <v>62</v>
      </c>
      <c r="AI14" s="13" t="s">
        <v>45</v>
      </c>
      <c r="AJ14" s="13" t="s">
        <v>45</v>
      </c>
      <c r="AK14" s="13" t="s">
        <v>45</v>
      </c>
      <c r="AL14" s="133" t="s">
        <v>1735</v>
      </c>
      <c r="AM14" s="134"/>
      <c r="AN14" s="134"/>
      <c r="AO14" s="134"/>
      <c r="AP14" s="135"/>
    </row>
    <row r="15" spans="1:44" s="10" customFormat="1" ht="41.25" customHeight="1" x14ac:dyDescent="0.4">
      <c r="A15" s="6">
        <v>20</v>
      </c>
      <c r="B15" s="6">
        <v>103</v>
      </c>
      <c r="C15" s="6" t="s">
        <v>79</v>
      </c>
      <c r="D15" s="18" t="s">
        <v>1768</v>
      </c>
      <c r="E15" s="34" t="s">
        <v>18</v>
      </c>
      <c r="F15" s="6" t="s">
        <v>1769</v>
      </c>
      <c r="G15" s="6" t="s">
        <v>43</v>
      </c>
      <c r="H15" s="6" t="s">
        <v>52</v>
      </c>
      <c r="I15" s="6" t="s">
        <v>84</v>
      </c>
      <c r="J15" s="6" t="s">
        <v>85</v>
      </c>
      <c r="K15" s="6" t="s">
        <v>60</v>
      </c>
      <c r="L15" s="6" t="s">
        <v>92</v>
      </c>
      <c r="M15" s="6" t="s">
        <v>45</v>
      </c>
      <c r="N15" s="6" t="s">
        <v>45</v>
      </c>
      <c r="O15" s="6" t="s">
        <v>23</v>
      </c>
      <c r="P15" s="6" t="s">
        <v>84</v>
      </c>
      <c r="Q15" s="6" t="s">
        <v>86</v>
      </c>
      <c r="R15" s="6">
        <v>750</v>
      </c>
      <c r="S15" s="16" t="s">
        <v>39</v>
      </c>
      <c r="T15" s="6">
        <v>900</v>
      </c>
      <c r="U15" s="6" t="s">
        <v>45</v>
      </c>
      <c r="V15" s="6" t="s">
        <v>84</v>
      </c>
      <c r="W15" s="6" t="s">
        <v>86</v>
      </c>
      <c r="X15" s="6" t="s">
        <v>19</v>
      </c>
      <c r="Y15" s="6"/>
      <c r="Z15" s="6"/>
      <c r="AA15" s="6" t="s">
        <v>65</v>
      </c>
      <c r="AB15" s="15" t="s">
        <v>19</v>
      </c>
      <c r="AC15" s="6" t="s">
        <v>45</v>
      </c>
      <c r="AD15" s="6" t="s">
        <v>45</v>
      </c>
      <c r="AE15" s="6" t="s">
        <v>50</v>
      </c>
      <c r="AF15" s="6" t="s">
        <v>116</v>
      </c>
      <c r="AG15" s="17" t="s">
        <v>60</v>
      </c>
      <c r="AH15" s="17" t="s">
        <v>62</v>
      </c>
      <c r="AI15" s="17" t="s">
        <v>23</v>
      </c>
      <c r="AJ15" s="17" t="s">
        <v>45</v>
      </c>
      <c r="AK15" s="17" t="s">
        <v>45</v>
      </c>
      <c r="AL15" s="149" t="s">
        <v>1770</v>
      </c>
      <c r="AM15" s="150"/>
      <c r="AN15" s="150"/>
      <c r="AO15" s="150"/>
      <c r="AP15" s="151"/>
    </row>
    <row r="16" spans="1:44" s="14" customFormat="1" ht="35.25" customHeight="1" x14ac:dyDescent="0.4">
      <c r="A16" s="11">
        <v>20</v>
      </c>
      <c r="B16" s="11">
        <v>203</v>
      </c>
      <c r="C16" s="11" t="s">
        <v>79</v>
      </c>
      <c r="D16" s="13" t="s">
        <v>1771</v>
      </c>
      <c r="E16" s="33" t="s">
        <v>18</v>
      </c>
      <c r="F16" s="11" t="s">
        <v>1772</v>
      </c>
      <c r="G16" s="11" t="s">
        <v>43</v>
      </c>
      <c r="H16" s="11" t="s">
        <v>52</v>
      </c>
      <c r="I16" s="11" t="s">
        <v>84</v>
      </c>
      <c r="J16" s="11" t="s">
        <v>85</v>
      </c>
      <c r="K16" s="11" t="s">
        <v>60</v>
      </c>
      <c r="L16" s="11" t="s">
        <v>92</v>
      </c>
      <c r="M16" s="11" t="s">
        <v>45</v>
      </c>
      <c r="N16" s="11" t="s">
        <v>23</v>
      </c>
      <c r="O16" s="11" t="s">
        <v>23</v>
      </c>
      <c r="P16" s="11" t="s">
        <v>84</v>
      </c>
      <c r="Q16" s="11" t="s">
        <v>86</v>
      </c>
      <c r="R16" s="11" t="s">
        <v>1773</v>
      </c>
      <c r="S16" s="40" t="s">
        <v>39</v>
      </c>
      <c r="T16" s="11">
        <v>900</v>
      </c>
      <c r="U16" s="11" t="s">
        <v>45</v>
      </c>
      <c r="V16" s="11" t="s">
        <v>84</v>
      </c>
      <c r="W16" s="11" t="s">
        <v>86</v>
      </c>
      <c r="X16" s="11" t="s">
        <v>60</v>
      </c>
      <c r="Y16" s="11" t="s">
        <v>87</v>
      </c>
      <c r="Z16" s="11" t="s">
        <v>1774</v>
      </c>
      <c r="AA16" s="11" t="s">
        <v>65</v>
      </c>
      <c r="AB16" s="65" t="s">
        <v>88</v>
      </c>
      <c r="AC16" s="11" t="s">
        <v>45</v>
      </c>
      <c r="AD16" s="11" t="s">
        <v>23</v>
      </c>
      <c r="AE16" s="11" t="s">
        <v>50</v>
      </c>
      <c r="AF16" s="11" t="s">
        <v>50</v>
      </c>
      <c r="AG16" s="13" t="s">
        <v>60</v>
      </c>
      <c r="AH16" s="13" t="s">
        <v>62</v>
      </c>
      <c r="AI16" s="13" t="s">
        <v>45</v>
      </c>
      <c r="AJ16" s="13" t="s">
        <v>45</v>
      </c>
      <c r="AK16" s="13" t="s">
        <v>45</v>
      </c>
      <c r="AL16" s="133" t="s">
        <v>1775</v>
      </c>
      <c r="AM16" s="134"/>
      <c r="AN16" s="134"/>
      <c r="AO16" s="134"/>
      <c r="AP16" s="135"/>
    </row>
    <row r="17" spans="1:42" s="10" customFormat="1" ht="57.75" customHeight="1" x14ac:dyDescent="0.4">
      <c r="A17" s="6">
        <v>20</v>
      </c>
      <c r="B17" s="6">
        <v>303</v>
      </c>
      <c r="C17" s="6" t="s">
        <v>79</v>
      </c>
      <c r="D17" s="18" t="s">
        <v>1718</v>
      </c>
      <c r="E17" s="34" t="s">
        <v>18</v>
      </c>
      <c r="F17" s="6" t="s">
        <v>1719</v>
      </c>
      <c r="G17" s="6" t="s">
        <v>43</v>
      </c>
      <c r="H17" s="6" t="s">
        <v>52</v>
      </c>
      <c r="I17" s="6" t="s">
        <v>84</v>
      </c>
      <c r="J17" s="6" t="s">
        <v>85</v>
      </c>
      <c r="K17" s="6" t="s">
        <v>60</v>
      </c>
      <c r="L17" s="6" t="s">
        <v>92</v>
      </c>
      <c r="M17" s="6" t="s">
        <v>45</v>
      </c>
      <c r="N17" s="6" t="s">
        <v>45</v>
      </c>
      <c r="O17" s="6" t="s">
        <v>23</v>
      </c>
      <c r="P17" s="6" t="s">
        <v>84</v>
      </c>
      <c r="Q17" s="6" t="s">
        <v>86</v>
      </c>
      <c r="R17" s="6" t="s">
        <v>1720</v>
      </c>
      <c r="S17" s="6" t="s">
        <v>39</v>
      </c>
      <c r="T17" s="6">
        <v>900</v>
      </c>
      <c r="U17" s="6" t="s">
        <v>45</v>
      </c>
      <c r="V17" s="6" t="s">
        <v>84</v>
      </c>
      <c r="W17" s="6" t="s">
        <v>86</v>
      </c>
      <c r="X17" s="6" t="s">
        <v>60</v>
      </c>
      <c r="Y17" s="6" t="s">
        <v>87</v>
      </c>
      <c r="Z17" s="6" t="s">
        <v>1721</v>
      </c>
      <c r="AA17" s="6" t="s">
        <v>65</v>
      </c>
      <c r="AB17" s="15" t="s">
        <v>88</v>
      </c>
      <c r="AC17" s="16" t="s">
        <v>45</v>
      </c>
      <c r="AD17" s="16" t="s">
        <v>23</v>
      </c>
      <c r="AE17" s="16" t="s">
        <v>50</v>
      </c>
      <c r="AF17" s="16" t="s">
        <v>50</v>
      </c>
      <c r="AG17" s="17" t="s">
        <v>60</v>
      </c>
      <c r="AH17" s="17" t="s">
        <v>62</v>
      </c>
      <c r="AI17" s="17" t="s">
        <v>45</v>
      </c>
      <c r="AJ17" s="17" t="s">
        <v>45</v>
      </c>
      <c r="AK17" s="17" t="s">
        <v>23</v>
      </c>
      <c r="AL17" s="106" t="s">
        <v>1722</v>
      </c>
      <c r="AM17" s="107"/>
      <c r="AN17" s="107"/>
      <c r="AO17" s="107"/>
      <c r="AP17" s="108"/>
    </row>
    <row r="18" spans="1:42" s="14" customFormat="1" ht="15" customHeight="1" x14ac:dyDescent="0.4">
      <c r="A18" s="11">
        <v>20</v>
      </c>
      <c r="B18" s="11">
        <v>403</v>
      </c>
      <c r="C18" s="11" t="s">
        <v>79</v>
      </c>
      <c r="D18" s="13" t="s">
        <v>1723</v>
      </c>
      <c r="E18" s="33" t="s">
        <v>18</v>
      </c>
      <c r="F18" s="45" t="s">
        <v>1724</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19</v>
      </c>
      <c r="Y18" s="40"/>
      <c r="Z18" s="40"/>
      <c r="AA18" s="40" t="s">
        <v>65</v>
      </c>
      <c r="AB18" s="12" t="s">
        <v>88</v>
      </c>
      <c r="AC18" s="11" t="s">
        <v>45</v>
      </c>
      <c r="AD18" s="11" t="s">
        <v>23</v>
      </c>
      <c r="AE18" s="11" t="s">
        <v>50</v>
      </c>
      <c r="AF18" s="11" t="s">
        <v>50</v>
      </c>
      <c r="AG18" s="13" t="s">
        <v>60</v>
      </c>
      <c r="AH18" s="13" t="s">
        <v>62</v>
      </c>
      <c r="AI18" s="13" t="s">
        <v>45</v>
      </c>
      <c r="AJ18" s="13" t="s">
        <v>23</v>
      </c>
      <c r="AK18" s="13" t="s">
        <v>23</v>
      </c>
      <c r="AL18" s="133" t="s">
        <v>1725</v>
      </c>
      <c r="AM18" s="134"/>
      <c r="AN18" s="134"/>
      <c r="AO18" s="134"/>
      <c r="AP18" s="135"/>
    </row>
    <row r="19" spans="1:42" s="10" customFormat="1" ht="51.75" customHeight="1" x14ac:dyDescent="0.4">
      <c r="A19" s="6">
        <v>20</v>
      </c>
      <c r="B19" s="6">
        <v>503</v>
      </c>
      <c r="C19" s="6" t="s">
        <v>79</v>
      </c>
      <c r="D19" s="18" t="s">
        <v>1726</v>
      </c>
      <c r="E19" s="34" t="s">
        <v>18</v>
      </c>
      <c r="F19" s="6" t="s">
        <v>1727</v>
      </c>
      <c r="G19" s="6" t="s">
        <v>40</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19</v>
      </c>
      <c r="Y19" s="6"/>
      <c r="Z19" s="6"/>
      <c r="AA19" s="6" t="s">
        <v>65</v>
      </c>
      <c r="AB19" s="15" t="s">
        <v>88</v>
      </c>
      <c r="AC19" s="16" t="s">
        <v>45</v>
      </c>
      <c r="AD19" s="16" t="s">
        <v>45</v>
      </c>
      <c r="AE19" s="16" t="s">
        <v>50</v>
      </c>
      <c r="AF19" s="16" t="s">
        <v>50</v>
      </c>
      <c r="AG19" s="17" t="s">
        <v>60</v>
      </c>
      <c r="AH19" s="17" t="s">
        <v>62</v>
      </c>
      <c r="AI19" s="17" t="s">
        <v>45</v>
      </c>
      <c r="AJ19" s="17" t="s">
        <v>45</v>
      </c>
      <c r="AK19" s="17" t="s">
        <v>45</v>
      </c>
      <c r="AL19" s="106" t="s">
        <v>2761</v>
      </c>
      <c r="AM19" s="107"/>
      <c r="AN19" s="107"/>
      <c r="AO19" s="107"/>
      <c r="AP19" s="108"/>
    </row>
    <row r="20" spans="1:42" s="14" customFormat="1" ht="50.25" customHeight="1" x14ac:dyDescent="0.4">
      <c r="A20" s="11">
        <v>20</v>
      </c>
      <c r="B20" s="11">
        <v>104</v>
      </c>
      <c r="C20" s="11" t="s">
        <v>79</v>
      </c>
      <c r="D20" s="13" t="s">
        <v>1754</v>
      </c>
      <c r="E20" s="33" t="s">
        <v>18</v>
      </c>
      <c r="F20" s="11" t="s">
        <v>1755</v>
      </c>
      <c r="G20" s="11" t="s">
        <v>43</v>
      </c>
      <c r="H20" s="11" t="s">
        <v>52</v>
      </c>
      <c r="I20" s="11" t="s">
        <v>84</v>
      </c>
      <c r="J20" s="11" t="s">
        <v>85</v>
      </c>
      <c r="K20" s="11" t="s">
        <v>489</v>
      </c>
      <c r="L20" s="11" t="s">
        <v>92</v>
      </c>
      <c r="M20" s="11" t="s">
        <v>45</v>
      </c>
      <c r="N20" s="11" t="s">
        <v>45</v>
      </c>
      <c r="O20" s="11" t="s">
        <v>23</v>
      </c>
      <c r="P20" s="11" t="s">
        <v>84</v>
      </c>
      <c r="Q20" s="11" t="s">
        <v>86</v>
      </c>
      <c r="R20" s="11">
        <v>900</v>
      </c>
      <c r="S20" s="11" t="s">
        <v>39</v>
      </c>
      <c r="T20" s="11">
        <v>900</v>
      </c>
      <c r="U20" s="11" t="s">
        <v>45</v>
      </c>
      <c r="V20" s="11" t="s">
        <v>84</v>
      </c>
      <c r="W20" s="11" t="s">
        <v>86</v>
      </c>
      <c r="X20" s="11" t="s">
        <v>60</v>
      </c>
      <c r="Y20" s="11" t="s">
        <v>87</v>
      </c>
      <c r="Z20" s="11" t="s">
        <v>1756</v>
      </c>
      <c r="AA20" s="11" t="s">
        <v>65</v>
      </c>
      <c r="AB20" s="12" t="s">
        <v>88</v>
      </c>
      <c r="AC20" s="40" t="s">
        <v>45</v>
      </c>
      <c r="AD20" s="40" t="s">
        <v>23</v>
      </c>
      <c r="AE20" s="40" t="s">
        <v>50</v>
      </c>
      <c r="AF20" s="11" t="s">
        <v>50</v>
      </c>
      <c r="AG20" s="13" t="s">
        <v>60</v>
      </c>
      <c r="AH20" s="13" t="s">
        <v>62</v>
      </c>
      <c r="AI20" s="13" t="s">
        <v>45</v>
      </c>
      <c r="AJ20" s="13" t="s">
        <v>45</v>
      </c>
      <c r="AK20" s="64" t="s">
        <v>45</v>
      </c>
      <c r="AL20" s="146" t="s">
        <v>1757</v>
      </c>
      <c r="AM20" s="147"/>
      <c r="AN20" s="147"/>
      <c r="AO20" s="147"/>
      <c r="AP20" s="148"/>
    </row>
    <row r="21" spans="1:42" s="10" customFormat="1" ht="68.25" customHeight="1" x14ac:dyDescent="0.4">
      <c r="A21" s="6">
        <v>20</v>
      </c>
      <c r="B21" s="6">
        <v>204</v>
      </c>
      <c r="C21" s="6" t="s">
        <v>79</v>
      </c>
      <c r="D21" s="18" t="s">
        <v>2661</v>
      </c>
      <c r="E21" s="34" t="s">
        <v>18</v>
      </c>
      <c r="F21" s="6" t="s">
        <v>2662</v>
      </c>
      <c r="G21" s="6" t="s">
        <v>22</v>
      </c>
      <c r="H21" s="6" t="s">
        <v>52</v>
      </c>
      <c r="I21" s="6" t="s">
        <v>84</v>
      </c>
      <c r="J21" s="6" t="s">
        <v>85</v>
      </c>
      <c r="K21" s="6" t="s">
        <v>60</v>
      </c>
      <c r="L21" s="6" t="s">
        <v>92</v>
      </c>
      <c r="M21" s="6" t="s">
        <v>45</v>
      </c>
      <c r="N21" s="6" t="s">
        <v>45</v>
      </c>
      <c r="O21" s="6"/>
      <c r="P21" s="6"/>
      <c r="Q21" s="6" t="s">
        <v>86</v>
      </c>
      <c r="R21" s="6">
        <v>750</v>
      </c>
      <c r="S21" s="16" t="s">
        <v>39</v>
      </c>
      <c r="T21" s="16">
        <v>640</v>
      </c>
      <c r="U21" s="16" t="s">
        <v>45</v>
      </c>
      <c r="V21" s="16" t="s">
        <v>84</v>
      </c>
      <c r="W21" s="16" t="s">
        <v>86</v>
      </c>
      <c r="X21" s="16" t="s">
        <v>60</v>
      </c>
      <c r="Y21" s="16" t="s">
        <v>87</v>
      </c>
      <c r="Z21" s="16" t="s">
        <v>2663</v>
      </c>
      <c r="AA21" s="16" t="s">
        <v>39</v>
      </c>
      <c r="AB21" s="15" t="s">
        <v>88</v>
      </c>
      <c r="AC21" s="6" t="s">
        <v>45</v>
      </c>
      <c r="AD21" s="6" t="s">
        <v>45</v>
      </c>
      <c r="AE21" s="6" t="s">
        <v>116</v>
      </c>
      <c r="AF21" s="16" t="s">
        <v>50</v>
      </c>
      <c r="AG21" s="17" t="s">
        <v>60</v>
      </c>
      <c r="AH21" s="17" t="s">
        <v>62</v>
      </c>
      <c r="AI21" s="17" t="s">
        <v>23</v>
      </c>
      <c r="AJ21" s="17" t="s">
        <v>45</v>
      </c>
      <c r="AK21" s="18" t="s">
        <v>45</v>
      </c>
      <c r="AL21" s="106" t="s">
        <v>2753</v>
      </c>
      <c r="AM21" s="107"/>
      <c r="AN21" s="107"/>
      <c r="AO21" s="107"/>
      <c r="AP21" s="108"/>
    </row>
    <row r="22" spans="1:42" s="14" customFormat="1" ht="15" customHeight="1" x14ac:dyDescent="0.4">
      <c r="A22" s="11">
        <v>20</v>
      </c>
      <c r="B22" s="11">
        <v>304</v>
      </c>
      <c r="C22" s="11" t="s">
        <v>79</v>
      </c>
      <c r="D22" s="13" t="s">
        <v>1711</v>
      </c>
      <c r="E22" s="33" t="s">
        <v>18</v>
      </c>
      <c r="F22" s="11" t="s">
        <v>1712</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87</v>
      </c>
      <c r="Z22" s="40" t="s">
        <v>1713</v>
      </c>
      <c r="AA22" s="40" t="s">
        <v>65</v>
      </c>
      <c r="AB22" s="12" t="s">
        <v>88</v>
      </c>
      <c r="AC22" s="11" t="s">
        <v>45</v>
      </c>
      <c r="AD22" s="11" t="s">
        <v>23</v>
      </c>
      <c r="AE22" s="11" t="s">
        <v>50</v>
      </c>
      <c r="AF22" s="11" t="s">
        <v>50</v>
      </c>
      <c r="AG22" s="13" t="s">
        <v>60</v>
      </c>
      <c r="AH22" s="13" t="s">
        <v>62</v>
      </c>
      <c r="AI22" s="13" t="s">
        <v>23</v>
      </c>
      <c r="AJ22" s="13" t="s">
        <v>45</v>
      </c>
      <c r="AK22" s="13" t="s">
        <v>45</v>
      </c>
      <c r="AL22" s="133" t="s">
        <v>1714</v>
      </c>
      <c r="AM22" s="134"/>
      <c r="AN22" s="134"/>
      <c r="AO22" s="134"/>
      <c r="AP22" s="135"/>
    </row>
    <row r="23" spans="1:42" s="10" customFormat="1" ht="42.75" customHeight="1" x14ac:dyDescent="0.4">
      <c r="A23" s="6">
        <v>20</v>
      </c>
      <c r="B23" s="6">
        <v>404</v>
      </c>
      <c r="C23" s="6" t="s">
        <v>79</v>
      </c>
      <c r="D23" s="18" t="s">
        <v>1715</v>
      </c>
      <c r="E23" s="34" t="s">
        <v>18</v>
      </c>
      <c r="F23" s="6" t="s">
        <v>1716</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87</v>
      </c>
      <c r="Z23" s="6" t="s">
        <v>1717</v>
      </c>
      <c r="AA23" s="6" t="s">
        <v>65</v>
      </c>
      <c r="AB23" s="15" t="s">
        <v>88</v>
      </c>
      <c r="AC23" s="16" t="s">
        <v>23</v>
      </c>
      <c r="AD23" s="16" t="s">
        <v>23</v>
      </c>
      <c r="AE23" s="16" t="s">
        <v>50</v>
      </c>
      <c r="AF23" s="16" t="s">
        <v>50</v>
      </c>
      <c r="AG23" s="17" t="s">
        <v>60</v>
      </c>
      <c r="AH23" s="17" t="s">
        <v>62</v>
      </c>
      <c r="AI23" s="17" t="s">
        <v>45</v>
      </c>
      <c r="AJ23" s="17" t="s">
        <v>45</v>
      </c>
      <c r="AK23" s="17" t="s">
        <v>45</v>
      </c>
      <c r="AL23" s="106" t="s">
        <v>1731</v>
      </c>
      <c r="AM23" s="107"/>
      <c r="AN23" s="107"/>
      <c r="AO23" s="107"/>
      <c r="AP23" s="108"/>
    </row>
    <row r="24" spans="1:42" s="14" customFormat="1" ht="49.5" customHeight="1" x14ac:dyDescent="0.4">
      <c r="A24" s="11">
        <v>20</v>
      </c>
      <c r="B24" s="11">
        <v>504</v>
      </c>
      <c r="C24" s="11" t="s">
        <v>79</v>
      </c>
      <c r="D24" s="13" t="s">
        <v>2762</v>
      </c>
      <c r="E24" s="33" t="s">
        <v>18</v>
      </c>
      <c r="F24" s="11" t="s">
        <v>2763</v>
      </c>
      <c r="G24" s="11" t="s">
        <v>43</v>
      </c>
      <c r="H24" s="11" t="s">
        <v>52</v>
      </c>
      <c r="I24" s="11" t="s">
        <v>84</v>
      </c>
      <c r="J24" s="11" t="s">
        <v>85</v>
      </c>
      <c r="K24" s="11"/>
      <c r="L24" s="11"/>
      <c r="M24" s="11"/>
      <c r="N24" s="11"/>
      <c r="O24" s="11"/>
      <c r="P24" s="11"/>
      <c r="Q24" s="11"/>
      <c r="R24" s="11"/>
      <c r="S24" s="11"/>
      <c r="T24" s="40"/>
      <c r="U24" s="40"/>
      <c r="V24" s="40"/>
      <c r="W24" s="40"/>
      <c r="X24" s="40" t="s">
        <v>19</v>
      </c>
      <c r="Y24" s="40"/>
      <c r="Z24" s="40"/>
      <c r="AA24" s="40"/>
      <c r="AB24" s="12" t="s">
        <v>19</v>
      </c>
      <c r="AC24" s="40" t="s">
        <v>45</v>
      </c>
      <c r="AD24" s="40" t="s">
        <v>45</v>
      </c>
      <c r="AE24" s="40"/>
      <c r="AF24" s="40"/>
      <c r="AG24" s="64" t="s">
        <v>60</v>
      </c>
      <c r="AH24" s="64" t="s">
        <v>62</v>
      </c>
      <c r="AI24" s="64" t="s">
        <v>45</v>
      </c>
      <c r="AJ24" s="64" t="s">
        <v>45</v>
      </c>
      <c r="AK24" s="64" t="s">
        <v>23</v>
      </c>
      <c r="AL24" s="146" t="s">
        <v>2764</v>
      </c>
      <c r="AM24" s="147"/>
      <c r="AN24" s="147"/>
      <c r="AO24" s="147"/>
      <c r="AP24" s="148"/>
    </row>
    <row r="25" spans="1:42" s="10" customFormat="1" ht="52.5" customHeight="1" x14ac:dyDescent="0.4">
      <c r="A25" s="6">
        <v>20</v>
      </c>
      <c r="B25" s="6">
        <v>105</v>
      </c>
      <c r="C25" s="6" t="s">
        <v>79</v>
      </c>
      <c r="D25" s="18" t="s">
        <v>1807</v>
      </c>
      <c r="E25" s="34" t="s">
        <v>18</v>
      </c>
      <c r="F25" s="18" t="s">
        <v>1808</v>
      </c>
      <c r="G25" s="6" t="s">
        <v>43</v>
      </c>
      <c r="H25" s="6" t="s">
        <v>52</v>
      </c>
      <c r="I25" s="6" t="s">
        <v>84</v>
      </c>
      <c r="J25" s="6" t="s">
        <v>85</v>
      </c>
      <c r="K25" s="6" t="s">
        <v>60</v>
      </c>
      <c r="L25" s="6" t="s">
        <v>92</v>
      </c>
      <c r="M25" s="6" t="s">
        <v>45</v>
      </c>
      <c r="N25" s="6" t="s">
        <v>23</v>
      </c>
      <c r="O25" s="6" t="s">
        <v>23</v>
      </c>
      <c r="P25" s="6" t="s">
        <v>84</v>
      </c>
      <c r="Q25" s="6" t="s">
        <v>86</v>
      </c>
      <c r="R25" s="6" t="s">
        <v>1809</v>
      </c>
      <c r="S25" s="6" t="s">
        <v>39</v>
      </c>
      <c r="T25" s="6">
        <v>900</v>
      </c>
      <c r="U25" s="6" t="s">
        <v>45</v>
      </c>
      <c r="V25" s="6" t="s">
        <v>84</v>
      </c>
      <c r="W25" s="6" t="s">
        <v>86</v>
      </c>
      <c r="X25" s="6" t="s">
        <v>60</v>
      </c>
      <c r="Y25" s="6" t="s">
        <v>87</v>
      </c>
      <c r="Z25" s="6" t="s">
        <v>1810</v>
      </c>
      <c r="AA25" s="6" t="s">
        <v>65</v>
      </c>
      <c r="AB25" s="15" t="s">
        <v>88</v>
      </c>
      <c r="AC25" s="6" t="s">
        <v>23</v>
      </c>
      <c r="AD25" s="6" t="s">
        <v>23</v>
      </c>
      <c r="AE25" s="6" t="s">
        <v>50</v>
      </c>
      <c r="AF25" s="6" t="s">
        <v>50</v>
      </c>
      <c r="AG25" s="18" t="s">
        <v>60</v>
      </c>
      <c r="AH25" s="18" t="s">
        <v>62</v>
      </c>
      <c r="AI25" s="18" t="s">
        <v>23</v>
      </c>
      <c r="AJ25" s="18" t="s">
        <v>45</v>
      </c>
      <c r="AK25" s="18" t="s">
        <v>23</v>
      </c>
      <c r="AL25" s="106" t="s">
        <v>1811</v>
      </c>
      <c r="AM25" s="107"/>
      <c r="AN25" s="107"/>
      <c r="AO25" s="107"/>
      <c r="AP25" s="108"/>
    </row>
    <row r="26" spans="1:42" s="14" customFormat="1" ht="42.75" customHeight="1" x14ac:dyDescent="0.4">
      <c r="A26" s="11">
        <v>20</v>
      </c>
      <c r="B26" s="11">
        <v>205</v>
      </c>
      <c r="C26" s="11" t="s">
        <v>79</v>
      </c>
      <c r="D26" s="13" t="s">
        <v>1779</v>
      </c>
      <c r="E26" s="33" t="s">
        <v>18</v>
      </c>
      <c r="F26" s="45" t="s">
        <v>1780</v>
      </c>
      <c r="G26" s="11" t="s">
        <v>43</v>
      </c>
      <c r="H26" s="11" t="s">
        <v>52</v>
      </c>
      <c r="I26" s="11" t="s">
        <v>84</v>
      </c>
      <c r="J26" s="11" t="s">
        <v>85</v>
      </c>
      <c r="K26" s="11" t="s">
        <v>60</v>
      </c>
      <c r="L26" s="11" t="s">
        <v>92</v>
      </c>
      <c r="M26" s="11" t="s">
        <v>45</v>
      </c>
      <c r="N26" s="11" t="s">
        <v>45</v>
      </c>
      <c r="O26" s="11" t="s">
        <v>23</v>
      </c>
      <c r="P26" s="11" t="s">
        <v>84</v>
      </c>
      <c r="Q26" s="11" t="s">
        <v>86</v>
      </c>
      <c r="R26" s="11">
        <v>750</v>
      </c>
      <c r="S26" s="11" t="s">
        <v>39</v>
      </c>
      <c r="T26" s="11">
        <v>900</v>
      </c>
      <c r="U26" s="11" t="s">
        <v>23</v>
      </c>
      <c r="V26" s="11" t="s">
        <v>84</v>
      </c>
      <c r="W26" s="11" t="s">
        <v>86</v>
      </c>
      <c r="X26" s="11" t="s">
        <v>60</v>
      </c>
      <c r="Y26" s="11" t="s">
        <v>141</v>
      </c>
      <c r="Z26" s="11"/>
      <c r="AA26" s="11" t="s">
        <v>65</v>
      </c>
      <c r="AB26" s="65" t="s">
        <v>88</v>
      </c>
      <c r="AC26" s="11" t="s">
        <v>45</v>
      </c>
      <c r="AD26" s="11" t="s">
        <v>45</v>
      </c>
      <c r="AE26" s="11" t="s">
        <v>50</v>
      </c>
      <c r="AF26" s="11" t="s">
        <v>50</v>
      </c>
      <c r="AG26" s="13" t="s">
        <v>60</v>
      </c>
      <c r="AH26" s="13" t="s">
        <v>62</v>
      </c>
      <c r="AI26" s="13" t="s">
        <v>45</v>
      </c>
      <c r="AJ26" s="13" t="s">
        <v>45</v>
      </c>
      <c r="AK26" s="13" t="s">
        <v>45</v>
      </c>
      <c r="AL26" s="133" t="s">
        <v>1781</v>
      </c>
      <c r="AM26" s="134"/>
      <c r="AN26" s="134"/>
      <c r="AO26" s="134"/>
      <c r="AP26" s="135"/>
    </row>
    <row r="27" spans="1:42" s="10" customFormat="1" ht="36.75" customHeight="1" x14ac:dyDescent="0.4">
      <c r="A27" s="6">
        <v>20</v>
      </c>
      <c r="B27" s="6">
        <v>305</v>
      </c>
      <c r="C27" s="6" t="s">
        <v>79</v>
      </c>
      <c r="D27" s="18" t="s">
        <v>1782</v>
      </c>
      <c r="E27" s="34" t="s">
        <v>18</v>
      </c>
      <c r="F27" s="6" t="s">
        <v>1783</v>
      </c>
      <c r="G27" s="6" t="s">
        <v>43</v>
      </c>
      <c r="H27" s="6" t="s">
        <v>52</v>
      </c>
      <c r="I27" s="6" t="s">
        <v>84</v>
      </c>
      <c r="J27" s="6" t="s">
        <v>85</v>
      </c>
      <c r="K27" s="6" t="s">
        <v>60</v>
      </c>
      <c r="L27" s="6" t="s">
        <v>92</v>
      </c>
      <c r="M27" s="6" t="s">
        <v>45</v>
      </c>
      <c r="N27" s="6" t="s">
        <v>45</v>
      </c>
      <c r="O27" s="6" t="s">
        <v>23</v>
      </c>
      <c r="P27" s="6" t="s">
        <v>84</v>
      </c>
      <c r="Q27" s="6" t="s">
        <v>86</v>
      </c>
      <c r="R27" s="6">
        <v>750</v>
      </c>
      <c r="S27" s="6" t="s">
        <v>39</v>
      </c>
      <c r="T27" s="6">
        <v>900</v>
      </c>
      <c r="U27" s="6" t="s">
        <v>45</v>
      </c>
      <c r="V27" s="6" t="s">
        <v>84</v>
      </c>
      <c r="W27" s="6" t="s">
        <v>86</v>
      </c>
      <c r="X27" s="6" t="s">
        <v>60</v>
      </c>
      <c r="Y27" s="6" t="s">
        <v>87</v>
      </c>
      <c r="Z27" s="6" t="s">
        <v>1784</v>
      </c>
      <c r="AA27" s="6" t="s">
        <v>65</v>
      </c>
      <c r="AB27" s="15" t="s">
        <v>88</v>
      </c>
      <c r="AC27" s="6" t="s">
        <v>45</v>
      </c>
      <c r="AD27" s="6" t="s">
        <v>23</v>
      </c>
      <c r="AE27" s="6" t="s">
        <v>50</v>
      </c>
      <c r="AF27" s="6" t="s">
        <v>50</v>
      </c>
      <c r="AG27" s="18" t="s">
        <v>60</v>
      </c>
      <c r="AH27" s="18" t="s">
        <v>62</v>
      </c>
      <c r="AI27" s="18" t="s">
        <v>45</v>
      </c>
      <c r="AJ27" s="18" t="s">
        <v>45</v>
      </c>
      <c r="AK27" s="18" t="s">
        <v>45</v>
      </c>
      <c r="AL27" s="106" t="s">
        <v>1785</v>
      </c>
      <c r="AM27" s="107"/>
      <c r="AN27" s="107"/>
      <c r="AO27" s="107"/>
      <c r="AP27" s="108"/>
    </row>
    <row r="28" spans="1:42" s="14" customFormat="1" ht="40.5" customHeight="1" x14ac:dyDescent="0.4">
      <c r="A28" s="11">
        <v>20</v>
      </c>
      <c r="B28" s="11">
        <v>405</v>
      </c>
      <c r="C28" s="11" t="s">
        <v>79</v>
      </c>
      <c r="D28" s="13" t="s">
        <v>1786</v>
      </c>
      <c r="E28" s="33" t="s">
        <v>18</v>
      </c>
      <c r="F28" s="45" t="s">
        <v>1787</v>
      </c>
      <c r="G28" s="11" t="s">
        <v>43</v>
      </c>
      <c r="H28" s="11" t="s">
        <v>52</v>
      </c>
      <c r="I28" s="11" t="s">
        <v>84</v>
      </c>
      <c r="J28" s="11" t="s">
        <v>85</v>
      </c>
      <c r="K28" s="11" t="s">
        <v>60</v>
      </c>
      <c r="L28" s="11" t="s">
        <v>92</v>
      </c>
      <c r="M28" s="11" t="s">
        <v>45</v>
      </c>
      <c r="N28" s="11" t="s">
        <v>45</v>
      </c>
      <c r="O28" s="11" t="s">
        <v>23</v>
      </c>
      <c r="P28" s="11" t="s">
        <v>84</v>
      </c>
      <c r="Q28" s="11" t="s">
        <v>86</v>
      </c>
      <c r="R28" s="11">
        <v>750</v>
      </c>
      <c r="S28" s="11" t="s">
        <v>39</v>
      </c>
      <c r="T28" s="11">
        <v>900</v>
      </c>
      <c r="U28" s="11" t="s">
        <v>45</v>
      </c>
      <c r="V28" s="11" t="s">
        <v>84</v>
      </c>
      <c r="W28" s="11" t="s">
        <v>86</v>
      </c>
      <c r="X28" s="11" t="s">
        <v>60</v>
      </c>
      <c r="Y28" s="11" t="s">
        <v>87</v>
      </c>
      <c r="Z28" s="11" t="s">
        <v>1788</v>
      </c>
      <c r="AA28" s="11" t="s">
        <v>65</v>
      </c>
      <c r="AB28" s="65" t="s">
        <v>88</v>
      </c>
      <c r="AC28" s="11" t="s">
        <v>45</v>
      </c>
      <c r="AD28" s="11" t="s">
        <v>23</v>
      </c>
      <c r="AE28" s="11" t="s">
        <v>50</v>
      </c>
      <c r="AF28" s="11" t="s">
        <v>50</v>
      </c>
      <c r="AG28" s="13" t="s">
        <v>60</v>
      </c>
      <c r="AH28" s="13" t="s">
        <v>62</v>
      </c>
      <c r="AI28" s="13" t="s">
        <v>23</v>
      </c>
      <c r="AJ28" s="13" t="s">
        <v>45</v>
      </c>
      <c r="AK28" s="13" t="s">
        <v>23</v>
      </c>
      <c r="AL28" s="133" t="s">
        <v>1789</v>
      </c>
      <c r="AM28" s="134"/>
      <c r="AN28" s="134"/>
      <c r="AO28" s="134"/>
      <c r="AP28" s="135"/>
    </row>
    <row r="29" spans="1:42" s="10" customFormat="1" ht="41.25" customHeight="1" x14ac:dyDescent="0.4">
      <c r="A29" s="6">
        <v>20</v>
      </c>
      <c r="B29" s="6">
        <v>505</v>
      </c>
      <c r="C29" s="6" t="s">
        <v>79</v>
      </c>
      <c r="D29" s="18" t="s">
        <v>1776</v>
      </c>
      <c r="E29" s="34" t="s">
        <v>18</v>
      </c>
      <c r="F29" s="46" t="s">
        <v>1777</v>
      </c>
      <c r="G29" s="6" t="s">
        <v>43</v>
      </c>
      <c r="H29" s="6" t="s">
        <v>52</v>
      </c>
      <c r="I29" s="6" t="s">
        <v>84</v>
      </c>
      <c r="J29" s="6" t="s">
        <v>85</v>
      </c>
      <c r="K29" s="6" t="s">
        <v>60</v>
      </c>
      <c r="L29" s="6" t="s">
        <v>92</v>
      </c>
      <c r="M29" s="6" t="s">
        <v>45</v>
      </c>
      <c r="N29" s="6" t="s">
        <v>45</v>
      </c>
      <c r="O29" s="6" t="s">
        <v>23</v>
      </c>
      <c r="P29" s="6" t="s">
        <v>84</v>
      </c>
      <c r="Q29" s="6" t="s">
        <v>86</v>
      </c>
      <c r="R29" s="6">
        <v>750</v>
      </c>
      <c r="S29" s="6" t="s">
        <v>39</v>
      </c>
      <c r="T29" s="6">
        <v>900</v>
      </c>
      <c r="U29" s="6" t="s">
        <v>45</v>
      </c>
      <c r="V29" s="6" t="s">
        <v>84</v>
      </c>
      <c r="W29" s="6" t="s">
        <v>86</v>
      </c>
      <c r="X29" s="6" t="s">
        <v>19</v>
      </c>
      <c r="Y29" s="6"/>
      <c r="Z29" s="6"/>
      <c r="AA29" s="6" t="s">
        <v>65</v>
      </c>
      <c r="AB29" s="15" t="s">
        <v>19</v>
      </c>
      <c r="AC29" s="6" t="s">
        <v>45</v>
      </c>
      <c r="AD29" s="6" t="s">
        <v>45</v>
      </c>
      <c r="AE29" s="6" t="s">
        <v>50</v>
      </c>
      <c r="AF29" s="6" t="s">
        <v>50</v>
      </c>
      <c r="AG29" s="18" t="s">
        <v>60</v>
      </c>
      <c r="AH29" s="18" t="s">
        <v>62</v>
      </c>
      <c r="AI29" s="18" t="s">
        <v>45</v>
      </c>
      <c r="AJ29" s="18" t="s">
        <v>45</v>
      </c>
      <c r="AK29" s="18" t="s">
        <v>23</v>
      </c>
      <c r="AL29" s="106" t="s">
        <v>1778</v>
      </c>
      <c r="AM29" s="107"/>
      <c r="AN29" s="107"/>
      <c r="AO29" s="107"/>
      <c r="AP29" s="108"/>
    </row>
    <row r="30" spans="1:42" s="14" customFormat="1" ht="15" customHeight="1" x14ac:dyDescent="0.4">
      <c r="A30" s="11">
        <v>20</v>
      </c>
      <c r="B30" s="11">
        <v>106</v>
      </c>
      <c r="C30" s="11" t="s">
        <v>79</v>
      </c>
      <c r="D30" s="13" t="s">
        <v>1812</v>
      </c>
      <c r="E30" s="33" t="s">
        <v>18</v>
      </c>
      <c r="F30" s="11" t="s">
        <v>1813</v>
      </c>
      <c r="G30" s="11" t="s">
        <v>43</v>
      </c>
      <c r="H30" s="11" t="s">
        <v>52</v>
      </c>
      <c r="I30" s="11" t="s">
        <v>84</v>
      </c>
      <c r="J30" s="11" t="s">
        <v>85</v>
      </c>
      <c r="K30" s="11" t="s">
        <v>19</v>
      </c>
      <c r="L30" s="11" t="s">
        <v>92</v>
      </c>
      <c r="M30" s="11" t="s">
        <v>45</v>
      </c>
      <c r="N30" s="11" t="s">
        <v>45</v>
      </c>
      <c r="O30" s="11" t="s">
        <v>45</v>
      </c>
      <c r="P30" s="11" t="s">
        <v>84</v>
      </c>
      <c r="Q30" s="11" t="s">
        <v>86</v>
      </c>
      <c r="R30" s="11">
        <v>750</v>
      </c>
      <c r="S30" s="11" t="s">
        <v>39</v>
      </c>
      <c r="T30" s="11">
        <v>900</v>
      </c>
      <c r="U30" s="11" t="s">
        <v>45</v>
      </c>
      <c r="V30" s="11" t="s">
        <v>84</v>
      </c>
      <c r="W30" s="11" t="s">
        <v>86</v>
      </c>
      <c r="X30" s="11" t="s">
        <v>19</v>
      </c>
      <c r="Y30" s="11"/>
      <c r="Z30" s="11"/>
      <c r="AA30" s="11" t="s">
        <v>65</v>
      </c>
      <c r="AB30" s="65" t="s">
        <v>88</v>
      </c>
      <c r="AC30" s="11" t="s">
        <v>45</v>
      </c>
      <c r="AD30" s="11" t="s">
        <v>45</v>
      </c>
      <c r="AE30" s="11" t="s">
        <v>116</v>
      </c>
      <c r="AF30" s="11" t="s">
        <v>50</v>
      </c>
      <c r="AG30" s="13" t="s">
        <v>60</v>
      </c>
      <c r="AH30" s="13" t="s">
        <v>62</v>
      </c>
      <c r="AI30" s="13" t="s">
        <v>23</v>
      </c>
      <c r="AJ30" s="13" t="s">
        <v>45</v>
      </c>
      <c r="AK30" s="13" t="s">
        <v>23</v>
      </c>
      <c r="AL30" s="133" t="s">
        <v>1814</v>
      </c>
      <c r="AM30" s="134"/>
      <c r="AN30" s="134"/>
      <c r="AO30" s="134"/>
      <c r="AP30" s="135"/>
    </row>
    <row r="31" spans="1:42" s="10" customFormat="1" ht="15" customHeight="1" x14ac:dyDescent="0.4">
      <c r="A31" s="6">
        <v>20</v>
      </c>
      <c r="B31" s="6">
        <v>206</v>
      </c>
      <c r="C31" s="6" t="s">
        <v>79</v>
      </c>
      <c r="D31" s="18" t="s">
        <v>1790</v>
      </c>
      <c r="E31" s="34" t="s">
        <v>18</v>
      </c>
      <c r="F31" s="6" t="s">
        <v>1791</v>
      </c>
      <c r="G31" s="6" t="s">
        <v>43</v>
      </c>
      <c r="H31" s="6" t="s">
        <v>52</v>
      </c>
      <c r="I31" s="6" t="s">
        <v>84</v>
      </c>
      <c r="J31" s="6" t="s">
        <v>85</v>
      </c>
      <c r="K31" s="6" t="s">
        <v>60</v>
      </c>
      <c r="L31" s="6" t="s">
        <v>92</v>
      </c>
      <c r="M31" s="6" t="s">
        <v>45</v>
      </c>
      <c r="N31" s="6" t="s">
        <v>45</v>
      </c>
      <c r="O31" s="6" t="s">
        <v>23</v>
      </c>
      <c r="P31" s="6" t="s">
        <v>84</v>
      </c>
      <c r="Q31" s="6" t="s">
        <v>86</v>
      </c>
      <c r="R31" s="6">
        <v>750</v>
      </c>
      <c r="S31" s="6" t="s">
        <v>39</v>
      </c>
      <c r="T31" s="6">
        <v>900</v>
      </c>
      <c r="U31" s="6" t="s">
        <v>45</v>
      </c>
      <c r="V31" s="6" t="s">
        <v>84</v>
      </c>
      <c r="W31" s="6" t="s">
        <v>86</v>
      </c>
      <c r="X31" s="6" t="s">
        <v>60</v>
      </c>
      <c r="Y31" s="6" t="s">
        <v>87</v>
      </c>
      <c r="Z31" s="6" t="s">
        <v>1792</v>
      </c>
      <c r="AA31" s="6" t="s">
        <v>65</v>
      </c>
      <c r="AB31" s="15" t="s">
        <v>88</v>
      </c>
      <c r="AC31" s="6" t="s">
        <v>45</v>
      </c>
      <c r="AD31" s="6" t="s">
        <v>23</v>
      </c>
      <c r="AE31" s="6" t="s">
        <v>50</v>
      </c>
      <c r="AF31" s="6" t="s">
        <v>50</v>
      </c>
      <c r="AG31" s="18" t="s">
        <v>60</v>
      </c>
      <c r="AH31" s="18" t="s">
        <v>96</v>
      </c>
      <c r="AI31" s="18" t="s">
        <v>45</v>
      </c>
      <c r="AJ31" s="18" t="s">
        <v>45</v>
      </c>
      <c r="AK31" s="18" t="s">
        <v>45</v>
      </c>
      <c r="AL31" s="106" t="s">
        <v>1793</v>
      </c>
      <c r="AM31" s="107"/>
      <c r="AN31" s="107"/>
      <c r="AO31" s="107"/>
      <c r="AP31" s="108"/>
    </row>
    <row r="32" spans="1:42" s="14" customFormat="1" ht="54.75" customHeight="1" x14ac:dyDescent="0.4">
      <c r="A32" s="11">
        <v>20</v>
      </c>
      <c r="B32" s="11">
        <v>306</v>
      </c>
      <c r="C32" s="11" t="s">
        <v>79</v>
      </c>
      <c r="D32" s="13" t="s">
        <v>1665</v>
      </c>
      <c r="E32" s="33" t="s">
        <v>18</v>
      </c>
      <c r="F32" s="45" t="s">
        <v>1666</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19</v>
      </c>
      <c r="Y32" s="40"/>
      <c r="Z32" s="40"/>
      <c r="AA32" s="40" t="s">
        <v>65</v>
      </c>
      <c r="AB32" s="12" t="s">
        <v>19</v>
      </c>
      <c r="AC32" s="11" t="s">
        <v>45</v>
      </c>
      <c r="AD32" s="11" t="s">
        <v>23</v>
      </c>
      <c r="AE32" s="11" t="s">
        <v>116</v>
      </c>
      <c r="AF32" s="11" t="s">
        <v>50</v>
      </c>
      <c r="AG32" s="13" t="s">
        <v>60</v>
      </c>
      <c r="AH32" s="13" t="s">
        <v>62</v>
      </c>
      <c r="AI32" s="13" t="s">
        <v>45</v>
      </c>
      <c r="AJ32" s="13" t="s">
        <v>45</v>
      </c>
      <c r="AK32" s="13" t="s">
        <v>45</v>
      </c>
      <c r="AL32" s="133" t="s">
        <v>1667</v>
      </c>
      <c r="AM32" s="134"/>
      <c r="AN32" s="134"/>
      <c r="AO32" s="134"/>
      <c r="AP32" s="135"/>
    </row>
    <row r="33" spans="1:43" s="10" customFormat="1" ht="15" customHeight="1" x14ac:dyDescent="0.4">
      <c r="A33" s="6">
        <v>20</v>
      </c>
      <c r="B33" s="6">
        <v>406</v>
      </c>
      <c r="C33" s="6" t="s">
        <v>79</v>
      </c>
      <c r="D33" s="18" t="s">
        <v>1794</v>
      </c>
      <c r="E33" s="34" t="s">
        <v>18</v>
      </c>
      <c r="F33" s="6" t="s">
        <v>1795</v>
      </c>
      <c r="G33" s="6" t="s">
        <v>43</v>
      </c>
      <c r="H33" s="6" t="s">
        <v>52</v>
      </c>
      <c r="I33" s="6" t="s">
        <v>84</v>
      </c>
      <c r="J33" s="6" t="s">
        <v>85</v>
      </c>
      <c r="K33" s="6" t="s">
        <v>60</v>
      </c>
      <c r="L33" s="6" t="s">
        <v>92</v>
      </c>
      <c r="M33" s="6" t="s">
        <v>45</v>
      </c>
      <c r="N33" s="6" t="s">
        <v>45</v>
      </c>
      <c r="O33" s="6" t="s">
        <v>45</v>
      </c>
      <c r="P33" s="6" t="s">
        <v>84</v>
      </c>
      <c r="Q33" s="6" t="s">
        <v>86</v>
      </c>
      <c r="R33" s="6">
        <v>750</v>
      </c>
      <c r="S33" s="6" t="s">
        <v>39</v>
      </c>
      <c r="T33" s="6">
        <v>900</v>
      </c>
      <c r="U33" s="6" t="s">
        <v>45</v>
      </c>
      <c r="V33" s="6" t="s">
        <v>84</v>
      </c>
      <c r="W33" s="6" t="s">
        <v>86</v>
      </c>
      <c r="X33" s="6" t="s">
        <v>60</v>
      </c>
      <c r="Y33" s="6" t="s">
        <v>87</v>
      </c>
      <c r="Z33" s="6" t="s">
        <v>1796</v>
      </c>
      <c r="AA33" s="6" t="s">
        <v>65</v>
      </c>
      <c r="AB33" s="15" t="s">
        <v>88</v>
      </c>
      <c r="AC33" s="6" t="s">
        <v>23</v>
      </c>
      <c r="AD33" s="6" t="s">
        <v>23</v>
      </c>
      <c r="AE33" s="6" t="s">
        <v>50</v>
      </c>
      <c r="AF33" s="6" t="s">
        <v>50</v>
      </c>
      <c r="AG33" s="18" t="s">
        <v>60</v>
      </c>
      <c r="AH33" s="18" t="s">
        <v>62</v>
      </c>
      <c r="AI33" s="18" t="s">
        <v>45</v>
      </c>
      <c r="AJ33" s="18" t="s">
        <v>45</v>
      </c>
      <c r="AK33" s="18" t="s">
        <v>45</v>
      </c>
      <c r="AL33" s="106" t="s">
        <v>1797</v>
      </c>
      <c r="AM33" s="107"/>
      <c r="AN33" s="107"/>
      <c r="AO33" s="107"/>
      <c r="AP33" s="108"/>
    </row>
    <row r="34" spans="1:43" s="14" customFormat="1" ht="15" customHeight="1" x14ac:dyDescent="0.4">
      <c r="A34" s="11">
        <v>20</v>
      </c>
      <c r="B34" s="11">
        <v>506</v>
      </c>
      <c r="C34" s="11" t="s">
        <v>79</v>
      </c>
      <c r="D34" s="13" t="s">
        <v>1758</v>
      </c>
      <c r="E34" s="33" t="s">
        <v>18</v>
      </c>
      <c r="F34" s="11" t="s">
        <v>1759</v>
      </c>
      <c r="G34" s="11" t="s">
        <v>43</v>
      </c>
      <c r="H34" s="11" t="s">
        <v>52</v>
      </c>
      <c r="I34" s="11" t="s">
        <v>84</v>
      </c>
      <c r="J34" s="11" t="s">
        <v>85</v>
      </c>
      <c r="K34" s="11" t="s">
        <v>60</v>
      </c>
      <c r="L34" s="11" t="s">
        <v>92</v>
      </c>
      <c r="M34" s="11" t="s">
        <v>45</v>
      </c>
      <c r="N34" s="11" t="s">
        <v>45</v>
      </c>
      <c r="O34" s="11" t="s">
        <v>23</v>
      </c>
      <c r="P34" s="11" t="s">
        <v>84</v>
      </c>
      <c r="Q34" s="11" t="s">
        <v>86</v>
      </c>
      <c r="R34" s="11">
        <v>750</v>
      </c>
      <c r="S34" s="40" t="s">
        <v>39</v>
      </c>
      <c r="T34" s="11">
        <v>900</v>
      </c>
      <c r="U34" s="11" t="s">
        <v>45</v>
      </c>
      <c r="V34" s="11" t="s">
        <v>84</v>
      </c>
      <c r="W34" s="11" t="s">
        <v>86</v>
      </c>
      <c r="X34" s="40" t="s">
        <v>60</v>
      </c>
      <c r="Y34" s="40" t="s">
        <v>87</v>
      </c>
      <c r="Z34" s="40" t="s">
        <v>1760</v>
      </c>
      <c r="AA34" s="40" t="s">
        <v>65</v>
      </c>
      <c r="AB34" s="12" t="s">
        <v>19</v>
      </c>
      <c r="AC34" s="11" t="s">
        <v>45</v>
      </c>
      <c r="AD34" s="11" t="s">
        <v>45</v>
      </c>
      <c r="AE34" s="11" t="s">
        <v>50</v>
      </c>
      <c r="AF34" s="11" t="s">
        <v>50</v>
      </c>
      <c r="AG34" s="13" t="s">
        <v>60</v>
      </c>
      <c r="AH34" s="13" t="s">
        <v>62</v>
      </c>
      <c r="AI34" s="13" t="s">
        <v>45</v>
      </c>
      <c r="AJ34" s="13" t="s">
        <v>23</v>
      </c>
      <c r="AK34" s="13" t="s">
        <v>45</v>
      </c>
      <c r="AL34" s="133" t="s">
        <v>1761</v>
      </c>
      <c r="AM34" s="134"/>
      <c r="AN34" s="134"/>
      <c r="AO34" s="134"/>
      <c r="AP34" s="135"/>
    </row>
    <row r="35" spans="1:43" s="2" customFormat="1" ht="11.25" customHeight="1" x14ac:dyDescent="0.4">
      <c r="A35" s="118" t="s">
        <v>12</v>
      </c>
      <c r="B35" s="119"/>
      <c r="C35" s="119"/>
      <c r="D35" s="119"/>
      <c r="E35" s="120"/>
      <c r="F35" s="127">
        <f>COUNTA(D5:D34)</f>
        <v>30</v>
      </c>
      <c r="G35" s="20" t="str">
        <f>"所有→"&amp;COUNTIF(G5:G34,"所有")&amp;"戸"</f>
        <v>所有→27戸</v>
      </c>
      <c r="H35" s="20" t="str">
        <f>"未更新→"&amp;COUNTIF(H5:H34,"未更新")&amp;"戸"</f>
        <v>未更新→30戸</v>
      </c>
      <c r="I35" s="20" t="str">
        <f>"クロス→"&amp;COUNTIF(I5:I34,"クロス")&amp;"戸"</f>
        <v>クロス→30戸</v>
      </c>
      <c r="J35" s="20" t="str">
        <f>"ベニヤ→"&amp;COUNTIF(J5:J34,"ベニヤ")&amp;"戸"</f>
        <v>ベニヤ→30戸</v>
      </c>
      <c r="K35" s="20" t="str">
        <f>"既存→"&amp;COUNTIF(K5:K34,"既存")&amp;"戸"</f>
        <v>既存→1戸</v>
      </c>
      <c r="L35" s="20" t="str">
        <f>"普通便座→"&amp;COUNTIF(L5:L34,"普通便座")&amp;"戸"</f>
        <v>普通便座→0戸</v>
      </c>
      <c r="M35" s="20" t="str">
        <f>"有→"&amp;COUNTIF(M5:M34,"有")&amp;"戸"</f>
        <v>有→3戸</v>
      </c>
      <c r="N35" s="20" t="str">
        <f>"有→"&amp;COUNTIF(N5:N34,"有")&amp;"戸"</f>
        <v>有→3戸</v>
      </c>
      <c r="O35" s="20" t="str">
        <f>"有→"&amp;COUNTIF(O5:O34,"有")&amp;"戸"</f>
        <v>有→23戸</v>
      </c>
      <c r="P35" s="20" t="str">
        <f>"クロス→"&amp;COUNTIF(P5:P34,"クロス")&amp;"戸"</f>
        <v>クロス→28戸</v>
      </c>
      <c r="Q35" s="20" t="str">
        <f>"CF→"&amp;COUNTIF(Q5:Q34,"CF")&amp;"戸"</f>
        <v>CF→29戸</v>
      </c>
      <c r="R35" s="20" t="str">
        <f>"1000→"&amp;COUNTIF(R5:R34,"1000")&amp;"戸"</f>
        <v>1000→0戸</v>
      </c>
      <c r="S35" s="20" t="str">
        <f>"可→"&amp;COUNTIF(S5:S34,"可")&amp;"戸"</f>
        <v>可→29戸</v>
      </c>
      <c r="T35" s="20" t="str">
        <f>"900→"&amp;COUNTIF(T5:T34,"900")&amp;"戸"</f>
        <v>900→28戸</v>
      </c>
      <c r="U35" s="20" t="str">
        <f>"有→"&amp;COUNTIF(U5:U34,"有")&amp;"戸"</f>
        <v>有→2戸</v>
      </c>
      <c r="V35" s="20" t="str">
        <f>"クロス→"&amp;COUNTIF(V5:V34,"クロス")&amp;"戸"</f>
        <v>クロス→29戸</v>
      </c>
      <c r="W35" s="20" t="str">
        <f>"CF→"&amp;COUNTIF(W5:W34,"CF")&amp;"戸"</f>
        <v>CF→29戸</v>
      </c>
      <c r="X35" s="20" t="str">
        <f>"既存→"&amp;COUNTIF(X5:X34,"既存")&amp;"戸"</f>
        <v>既存→9戸</v>
      </c>
      <c r="Y35" s="20" t="str">
        <f>"TOTO→"&amp;COUNTIF(Y5:Y34,"TOTO")&amp;"戸"</f>
        <v>TOTO→17戸</v>
      </c>
      <c r="Z35" s="130">
        <f>COUNTA(Z5:Z34)</f>
        <v>17</v>
      </c>
      <c r="AA35" s="20" t="str">
        <f>"可→"&amp;COUNTIF(AA5:AA34,"可")&amp;"戸"</f>
        <v>可→2戸</v>
      </c>
      <c r="AB35" s="20" t="str">
        <f>"既存→"&amp;COUNTIF(AB5:AB34,"既存")&amp;"戸"</f>
        <v>既存→9戸</v>
      </c>
      <c r="AC35" s="130">
        <f>COUNTIF(AC5:AC34,"有")</f>
        <v>4</v>
      </c>
      <c r="AD35" s="130">
        <f>COUNTIF(AD5:AD34,"有")</f>
        <v>17</v>
      </c>
      <c r="AE35" s="20" t="str">
        <f>"ポリ板→"&amp;COUNTIF(AE5:AE34,"ポリ板")&amp;"戸"</f>
        <v>ポリ板→24戸</v>
      </c>
      <c r="AF35" s="20" t="str">
        <f>"ポリ板→"&amp;COUNTIF(AF5:AF34,"ポリ板")&amp;"戸"</f>
        <v>ポリ板→28戸</v>
      </c>
      <c r="AG35" s="20" t="str">
        <f>"既存→"&amp;COUNTIF(AG5:AG34,"既存")&amp;"戸"</f>
        <v>既存→0戸</v>
      </c>
      <c r="AH35" s="20" t="str">
        <f>"洗面所→"&amp;COUNTIF(AH5:AH34,"洗面所")&amp;"戸"</f>
        <v>洗面所→28戸</v>
      </c>
      <c r="AI35" s="130">
        <f>COUNTIF(AI5:AI34,"有")</f>
        <v>7</v>
      </c>
      <c r="AJ35" s="130">
        <f>COUNTIF(AJ5:AJ34,"有")</f>
        <v>3</v>
      </c>
      <c r="AK35" s="130">
        <f>COUNTIF(AK5:AK34,"有")</f>
        <v>9</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賃貸→2戸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暖房便座→0戸</v>
      </c>
      <c r="M36" s="35" t="str">
        <f>"無→"&amp;COUNTIF(M5:M34,"無")&amp;"戸"</f>
        <v>無→26戸</v>
      </c>
      <c r="N36" s="35" t="str">
        <f>"無→"&amp;COUNTIF(N5:N34,"無")&amp;"戸"</f>
        <v>無→26戸</v>
      </c>
      <c r="O36" s="35" t="str">
        <f>"無→"&amp;COUNTIF(O5:O34,"無")&amp;"戸"</f>
        <v>無→5戸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800→0戸</v>
      </c>
      <c r="U36" s="35" t="str">
        <f>"無→"&amp;COUNTIF(U5:U34,"無")&amp;"戸"</f>
        <v>無→27戸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リフォーム済み→21戸</v>
      </c>
      <c r="Y36" s="35" t="str">
        <f>"LIXIL→"&amp;COUNTIF(Y5:Y34,"LIXIL")&amp;"戸"</f>
        <v>LIXIL→0戸</v>
      </c>
      <c r="Z36" s="131"/>
      <c r="AA36" s="35" t="str">
        <f>"不可→"&amp;COUNTIF(AA5:AA34,"不可")&amp;"戸"</f>
        <v>不可→27戸</v>
      </c>
      <c r="AB36" s="36" t="str">
        <f>"システム→"&amp;COUNTIF(AB5:AB34,"システム")&amp;"戸"</f>
        <v>システム→21戸</v>
      </c>
      <c r="AC36" s="131"/>
      <c r="AD36" s="131"/>
      <c r="AE36" s="35" t="str">
        <f>"SUS→"&amp;COUNTIF(AE5:AE34,"SUS")&amp;"戸"</f>
        <v>SUS→5戸</v>
      </c>
      <c r="AF36" s="35" t="str">
        <f>"SUS→"&amp;COUNTIF(AF5:AF34,"SUS")&amp;"戸"</f>
        <v>SUS→1戸</v>
      </c>
      <c r="AG36" s="35" t="str">
        <f>"リフォーム済み→"&amp;COUNTIF(AG5:AG34,"リフォーム済み")&amp;"戸"</f>
        <v>リフォーム済み→30戸</v>
      </c>
      <c r="AH36" s="35" t="str">
        <f>"ベランダ→"&amp;COUNTIF(AH5:AH34,"ベランダ")&amp;"戸"</f>
        <v>ベランダ→2戸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レストパル→1戸</v>
      </c>
      <c r="L37" s="35" t="str">
        <f>"WL→"&amp;COUNTIF(L5:L34,"WL")&amp;"戸"</f>
        <v>WL→29戸</v>
      </c>
      <c r="M37" s="23"/>
      <c r="N37" s="23"/>
      <c r="O37" s="23"/>
      <c r="P37" s="35" t="str">
        <f>"塗装→"&amp;COUNTIF(P5:P34,"塗装")&amp;"戸"</f>
        <v>塗装→0戸</v>
      </c>
      <c r="Q37" s="35" t="str">
        <f>"フローリング→"&amp;COUNTIF(Q5:Q34,"フローリング")&amp;"戸"</f>
        <v>フローリング→0戸</v>
      </c>
      <c r="R37" s="35" t="str">
        <f>"750→"&amp;COUNTIF(R5:R34,"750")&amp;"戸"</f>
        <v>750→24戸</v>
      </c>
      <c r="S37" s="35"/>
      <c r="T37" s="35" t="str">
        <f>"740→"&amp;COUNTIF(T5:T34,"740")&amp;"戸"</f>
        <v>740→0戸</v>
      </c>
      <c r="U37" s="22"/>
      <c r="V37" s="35" t="str">
        <f>"塗装→"&amp;COUNTIF(V5:V34,"塗装")&amp;"戸"</f>
        <v>塗装→0戸</v>
      </c>
      <c r="W37" s="35" t="str">
        <f>"フローリング→"&amp;COUNTIF(W5:W34,"フローリング")&amp;"戸"</f>
        <v>フローリング→0戸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空家→1戸</v>
      </c>
      <c r="H38" s="39"/>
      <c r="I38" s="28"/>
      <c r="J38" s="27"/>
      <c r="K38" s="35" t="str">
        <f>"一体型→"&amp;COUNTIF(K5:K34,"一体型")&amp;"戸"</f>
        <v>一体型→1戸</v>
      </c>
      <c r="L38" s="28"/>
      <c r="M38" s="28"/>
      <c r="N38" s="28"/>
      <c r="O38" s="28"/>
      <c r="P38" s="28"/>
      <c r="Q38" s="28"/>
      <c r="R38" s="35" t="str">
        <f>"740→"&amp;COUNTIF(R5:R34,"740")&amp;"戸"</f>
        <v>740→1戸</v>
      </c>
      <c r="S38" s="27"/>
      <c r="T38" s="35" t="str">
        <f>"640→"&amp;COUNTIF(T5:T34,"640")&amp;"戸"</f>
        <v>640→1戸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4"/>
    </row>
    <row r="39" spans="1:43" s="2" customFormat="1" x14ac:dyDescent="0.4">
      <c r="A39" s="31"/>
      <c r="AG39" s="37"/>
      <c r="AH39" s="37"/>
      <c r="AO39" s="1"/>
    </row>
  </sheetData>
  <autoFilter ref="AI3:AK4" xr:uid="{4D417C42-CB26-40C2-8886-BB8DF894DAE9}"/>
  <mergeCells count="57">
    <mergeCell ref="AD35:AD38"/>
    <mergeCell ref="AL26:AP26"/>
    <mergeCell ref="AL27:AP27"/>
    <mergeCell ref="A35:E38"/>
    <mergeCell ref="F35:F38"/>
    <mergeCell ref="AL28:AP28"/>
    <mergeCell ref="AL29:AP29"/>
    <mergeCell ref="AL30:AP30"/>
    <mergeCell ref="AL31:AP31"/>
    <mergeCell ref="AL32:AP32"/>
    <mergeCell ref="AL33:AP33"/>
    <mergeCell ref="AL34:AP34"/>
    <mergeCell ref="AL35:AP38"/>
    <mergeCell ref="Z35:Z38"/>
    <mergeCell ref="AC35:AC38"/>
    <mergeCell ref="AI35:AI38"/>
    <mergeCell ref="AJ35:AJ38"/>
    <mergeCell ref="AL19:AP19"/>
    <mergeCell ref="AL11:AP11"/>
    <mergeCell ref="AL12:AP12"/>
    <mergeCell ref="AL13:AP13"/>
    <mergeCell ref="AL14:AP14"/>
    <mergeCell ref="AL15:AP15"/>
    <mergeCell ref="AL16:AP16"/>
    <mergeCell ref="AL17:AP17"/>
    <mergeCell ref="AK35:AK38"/>
    <mergeCell ref="AL25:AP25"/>
    <mergeCell ref="AL20:AP20"/>
    <mergeCell ref="AL21:AP21"/>
    <mergeCell ref="AL22:AP22"/>
    <mergeCell ref="AL23:AP23"/>
    <mergeCell ref="AL24:AP24"/>
    <mergeCell ref="A1:AN2"/>
    <mergeCell ref="A3:A4"/>
    <mergeCell ref="B3:B4"/>
    <mergeCell ref="C3:C4"/>
    <mergeCell ref="D3:E4"/>
    <mergeCell ref="F3:F4"/>
    <mergeCell ref="G3:G4"/>
    <mergeCell ref="H3:H4"/>
    <mergeCell ref="I3:J3"/>
    <mergeCell ref="K3:Q3"/>
    <mergeCell ref="R3:W3"/>
    <mergeCell ref="AI3:AI4"/>
    <mergeCell ref="AL3:AP4"/>
    <mergeCell ref="X3:AA3"/>
    <mergeCell ref="AB3:AF3"/>
    <mergeCell ref="AG3:AH3"/>
    <mergeCell ref="AL18:AP18"/>
    <mergeCell ref="AJ3:AJ4"/>
    <mergeCell ref="AK3:AK4"/>
    <mergeCell ref="AL8:AP8"/>
    <mergeCell ref="AL9:AP9"/>
    <mergeCell ref="AL10:AP10"/>
    <mergeCell ref="AL5:AP5"/>
    <mergeCell ref="AL6:AP6"/>
    <mergeCell ref="AL7:AP7"/>
  </mergeCells>
  <phoneticPr fontId="1"/>
  <dataValidations count="1">
    <dataValidation imeMode="off" allowBlank="1" showInputMessage="1" showErrorMessage="1" sqref="C1:C3 A39:C1048576 A1:A35 B1:B34 C5:C34" xr:uid="{31401444-B324-44C9-8263-F53D90FB7E83}"/>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37" man="1"/>
  </colBreaks>
  <extLst>
    <ext xmlns:x14="http://schemas.microsoft.com/office/spreadsheetml/2009/9/main" uri="{CCE6A557-97BC-4b89-ADB6-D9C93CAAB3DF}">
      <x14:dataValidations xmlns:xm="http://schemas.microsoft.com/office/excel/2006/main" count="19">
        <x14:dataValidation type="list" allowBlank="1" showInputMessage="1" showErrorMessage="1" xr:uid="{717B8FF3-CA3E-41D2-B918-A2A67CE39ED4}">
          <x14:formula1>
            <xm:f>Sheet1!$G$6:$G$7</xm:f>
          </x14:formula1>
          <xm:sqref>AA33:AA34 S33:S34 S13:S16 S20:S21 S24:S31 AA13:AA16 AA20:AA21 AA24:AA31 S6:S7 AA6:AA7</xm:sqref>
        </x14:dataValidation>
        <x14:dataValidation type="list" allowBlank="1" showInputMessage="1" showErrorMessage="1" xr:uid="{AF42EE62-ACE2-4A2A-B665-9F0FC9B94135}">
          <x14:formula1>
            <xm:f>Sheet1!$I$1:$I$2</xm:f>
          </x14:formula1>
          <xm:sqref>X33:X34 X13:X16 X20:X21 X24:X31 X6:X7</xm:sqref>
        </x14:dataValidation>
        <x14:dataValidation type="list" allowBlank="1" showInputMessage="1" showErrorMessage="1" xr:uid="{AE5E3E3F-3427-4193-9BCF-04651A0C7983}">
          <x14:formula1>
            <xm:f>Sheet1!$G$17:$G$18</xm:f>
          </x14:formula1>
          <xm:sqref>AH33:AH34 AH13:AH16 AH20:AH21 AH24:AH31 AH6:AH7</xm:sqref>
        </x14:dataValidation>
        <x14:dataValidation type="list" allowBlank="1" showInputMessage="1" showErrorMessage="1" xr:uid="{7A07C1E3-DFE0-431B-9EDE-4E16CA68FCE4}">
          <x14:formula1>
            <xm:f>Sheet1!$E$17:$E$18</xm:f>
          </x14:formula1>
          <xm:sqref>AG33:AG34 AG13:AG16 AG20:AG21 AG24:AG31 AG6:AG7</xm:sqref>
        </x14:dataValidation>
        <x14:dataValidation type="list" allowBlank="1" showInputMessage="1" showErrorMessage="1" xr:uid="{353B0995-9D78-4CBB-9870-DBB44821EB3F}">
          <x14:formula1>
            <xm:f>Sheet1!$G$1:$G$4</xm:f>
          </x14:formula1>
          <xm:sqref>AE33:AF34 AE13:AF16 AE20:AF21 AE24:AF31 AE6:AF7</xm:sqref>
        </x14:dataValidation>
        <x14:dataValidation type="list" allowBlank="1" showInputMessage="1" showErrorMessage="1" xr:uid="{D49796EE-E235-40A9-A7DF-803FB6DCA77E}">
          <x14:formula1>
            <xm:f>Sheet1!$A$13:$A$15</xm:f>
          </x14:formula1>
          <xm:sqref>AB33:AB34 AB13:AB16 AB20:AB21 AB24:AB31 AB6:AB7</xm:sqref>
        </x14:dataValidation>
        <x14:dataValidation type="list" allowBlank="1" showInputMessage="1" showErrorMessage="1" xr:uid="{4E1AEC02-08BE-41AB-8232-A432AC4767EB}">
          <x14:formula1>
            <xm:f>Sheet1!$C$17:$C$20</xm:f>
          </x14:formula1>
          <xm:sqref>T33:T34 T13:T16 T20:T21 T24:T31 T6:T7</xm:sqref>
        </x14:dataValidation>
        <x14:dataValidation type="list" allowBlank="1" showInputMessage="1" showErrorMessage="1" xr:uid="{E1FF1E35-079E-4F89-9DC3-814DE20461D9}">
          <x14:formula1>
            <xm:f>Sheet1!$A$17:$A$20</xm:f>
          </x14:formula1>
          <xm:sqref>R33:R34 R13:R15 R20:R21 R24 R26:R31 R6:R7</xm:sqref>
        </x14:dataValidation>
        <x14:dataValidation type="list" allowBlank="1" showInputMessage="1" showErrorMessage="1" xr:uid="{881780D9-8B17-41CA-9240-3C9D4BC54D78}">
          <x14:formula1>
            <xm:f>Sheet1!$C$6:$C$7</xm:f>
          </x14:formula1>
          <xm:sqref>M33:O34 AC13:AC16 AJ33:AK34 U33:U34 U13:U16 M13:O16 AC20:AC21 AJ13:AK16 U20:U21 M20:O21 AC24:AC31 AJ20:AK21 U24:U31 M24:O31 AC6:AC7 AJ24:AK31 U6:U7 M6:O7 AJ6:AK7 AC33:AC34 AD5:AD34</xm:sqref>
        </x14:dataValidation>
        <x14:dataValidation type="list" allowBlank="1" showInputMessage="1" showErrorMessage="1" xr:uid="{279B4BE8-4D1D-4EE6-A6B8-B3D320D55356}">
          <x14:formula1>
            <xm:f>Sheet1!$E$9:$E$11</xm:f>
          </x14:formula1>
          <xm:sqref>L33:L34 L13:L16 L20:L21 L24:L31 L6:L7</xm:sqref>
        </x14:dataValidation>
        <x14:dataValidation type="list" allowBlank="1" showInputMessage="1" showErrorMessage="1" xr:uid="{DD9831BE-64BA-408F-AC3A-3D13BD3FEC8B}">
          <x14:formula1>
            <xm:f>Sheet1!$G$9:$G$12</xm:f>
          </x14:formula1>
          <xm:sqref>K33:K34 K24:K31 K20:K21 K14:K16 K6:K7</xm:sqref>
        </x14:dataValidation>
        <x14:dataValidation type="list" allowBlank="1" showInputMessage="1" showErrorMessage="1" xr:uid="{132F40C5-DDEF-4E11-BE6A-A47EAE35D462}">
          <x14:formula1>
            <xm:f>Sheet1!$D$1:$D$3</xm:f>
          </x14:formula1>
          <xm:sqref>J33:J34 J13:J16 J20:J21 J24:J31 J6:J7</xm:sqref>
        </x14:dataValidation>
        <x14:dataValidation type="list" allowBlank="1" showInputMessage="1" showErrorMessage="1" xr:uid="{C1B5A0D1-2085-4845-867A-C01652D63A94}">
          <x14:formula1>
            <xm:f>Sheet1!$A$9:$A$11</xm:f>
          </x14:formula1>
          <xm:sqref>P33:P34 I33:I34 V33:V34 V13:V16 P13:P16 I13:I16 V20:V21 P20:P21 I20:I21 V24:V31 P24:P31 I24:I31 V6:V7 P6:P7 I6:I7</xm:sqref>
        </x14:dataValidation>
        <x14:dataValidation type="list" allowBlank="1" showInputMessage="1" showErrorMessage="1" xr:uid="{D045A054-8E8B-4813-904E-27CB037E7985}">
          <x14:formula1>
            <xm:f>Sheet1!$A$6:$A$7</xm:f>
          </x14:formula1>
          <xm:sqref>H33:H34 H13:H16 H20:H21 H24:H31 H6:H7</xm:sqref>
        </x14:dataValidation>
        <x14:dataValidation type="list" allowBlank="1" showInputMessage="1" showErrorMessage="1" xr:uid="{919CAB93-9FA0-4BBE-B2FC-1149B22669A0}">
          <x14:formula1>
            <xm:f>Sheet1!$A$1:$A$4</xm:f>
          </x14:formula1>
          <xm:sqref>G33:G34 G13:G16 G20:G21 G24:G31 G6:G7</xm:sqref>
        </x14:dataValidation>
        <x14:dataValidation type="list" allowBlank="1" showInputMessage="1" showErrorMessage="1" xr:uid="{7F2BE90C-D1F3-48DA-8C60-432196669132}">
          <x14:formula1>
            <xm:f>Sheet1!$C$9:$C$11</xm:f>
          </x14:formula1>
          <xm:sqref>W33:W34 Q33:Q34 Q13:Q16 W13:W16 Q24:Q31 Q20:Q21 W20:W21 W24:W31 Q6:Q7 W6:W7</xm:sqref>
        </x14:dataValidation>
        <x14:dataValidation type="list" allowBlank="1" showInputMessage="1" showErrorMessage="1" xr:uid="{837B08FE-163C-48A6-A326-EE2BCE7135C1}">
          <x14:formula1>
            <xm:f>Sheet1!$C$6:$C$8</xm:f>
          </x14:formula1>
          <xm:sqref>AI33:AI34 AI13:AI16 AI20:AI21 AI24:AI31 AI6:AI7</xm:sqref>
        </x14:dataValidation>
        <x14:dataValidation type="list" allowBlank="1" showInputMessage="1" showErrorMessage="1" xr:uid="{60E21BCB-F6C4-4E04-9F20-9FECA4F636E0}">
          <x14:formula1>
            <xm:f>Sheet1!$I$9:$I$13</xm:f>
          </x14:formula1>
          <xm:sqref>Y33:Y34 Y13:Y16 Y20:Y21 Y24:Y31 Y6:Y7</xm:sqref>
        </x14:dataValidation>
        <x14:dataValidation type="list" allowBlank="1" showInputMessage="1" showErrorMessage="1" xr:uid="{BC349F92-2043-4E61-9801-6C009967EB5F}">
          <x14:formula1>
            <xm:f>Sheet1!$G$9:$G$13</xm:f>
          </x14:formula1>
          <xm:sqref>K13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9ABB-A707-4FAC-BA5B-A6A7A115A795}">
  <sheetPr codeName="Sheet21">
    <tabColor rgb="FF92D050"/>
  </sheetPr>
  <dimension ref="A1:AR39"/>
  <sheetViews>
    <sheetView view="pageBreakPreview" zoomScaleNormal="40" zoomScaleSheetLayoutView="70" workbookViewId="0">
      <pane xSplit="5" ySplit="4" topLeftCell="AI5" activePane="bottomRight" state="frozen"/>
      <selection activeCell="N11" sqref="N11"/>
      <selection pane="topRight" activeCell="N11" sqref="N11"/>
      <selection pane="bottomLeft" activeCell="N11" sqref="N11"/>
      <selection pane="bottomRight" activeCell="AJ5" sqref="AJ5"/>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26.25" customHeight="1" x14ac:dyDescent="0.4">
      <c r="A5" s="6">
        <v>21</v>
      </c>
      <c r="B5" s="6">
        <v>101</v>
      </c>
      <c r="C5" s="6" t="s">
        <v>79</v>
      </c>
      <c r="D5" s="18" t="s">
        <v>1587</v>
      </c>
      <c r="E5" s="32" t="s">
        <v>18</v>
      </c>
      <c r="F5" s="6" t="s">
        <v>1588</v>
      </c>
      <c r="G5" s="6" t="s">
        <v>43</v>
      </c>
      <c r="H5" s="6" t="s">
        <v>52</v>
      </c>
      <c r="I5" s="6" t="s">
        <v>84</v>
      </c>
      <c r="J5" s="6" t="s">
        <v>85</v>
      </c>
      <c r="K5" s="6" t="s">
        <v>60</v>
      </c>
      <c r="L5" s="6" t="s">
        <v>92</v>
      </c>
      <c r="M5" s="6" t="s">
        <v>45</v>
      </c>
      <c r="N5" s="6" t="s">
        <v>45</v>
      </c>
      <c r="O5" s="6" t="s">
        <v>23</v>
      </c>
      <c r="P5" s="6" t="s">
        <v>84</v>
      </c>
      <c r="Q5" s="6" t="s">
        <v>86</v>
      </c>
      <c r="R5" s="6">
        <v>750</v>
      </c>
      <c r="S5" s="16" t="s">
        <v>39</v>
      </c>
      <c r="T5" s="6">
        <v>900</v>
      </c>
      <c r="U5" s="6" t="s">
        <v>45</v>
      </c>
      <c r="V5" s="6" t="s">
        <v>84</v>
      </c>
      <c r="W5" s="6" t="s">
        <v>86</v>
      </c>
      <c r="X5" s="16" t="s">
        <v>60</v>
      </c>
      <c r="Y5" s="16" t="s">
        <v>87</v>
      </c>
      <c r="Z5" s="16" t="s">
        <v>1589</v>
      </c>
      <c r="AA5" s="16" t="s">
        <v>65</v>
      </c>
      <c r="AB5" s="7" t="s">
        <v>88</v>
      </c>
      <c r="AC5" s="8" t="s">
        <v>45</v>
      </c>
      <c r="AD5" s="8" t="s">
        <v>23</v>
      </c>
      <c r="AE5" s="8" t="s">
        <v>50</v>
      </c>
      <c r="AF5" s="16" t="s">
        <v>50</v>
      </c>
      <c r="AG5" s="17" t="s">
        <v>60</v>
      </c>
      <c r="AH5" s="17" t="s">
        <v>62</v>
      </c>
      <c r="AI5" s="17" t="s">
        <v>45</v>
      </c>
      <c r="AJ5" s="17" t="s">
        <v>45</v>
      </c>
      <c r="AK5" s="9" t="s">
        <v>45</v>
      </c>
      <c r="AL5" s="140" t="s">
        <v>1590</v>
      </c>
      <c r="AM5" s="141"/>
      <c r="AN5" s="141"/>
      <c r="AO5" s="141"/>
      <c r="AP5" s="142"/>
    </row>
    <row r="6" spans="1:44" s="14" customFormat="1" ht="15" customHeight="1" x14ac:dyDescent="0.4">
      <c r="A6" s="11">
        <v>21</v>
      </c>
      <c r="B6" s="11">
        <v>201</v>
      </c>
      <c r="C6" s="11" t="s">
        <v>79</v>
      </c>
      <c r="D6" s="13" t="s">
        <v>1579</v>
      </c>
      <c r="E6" s="33" t="s">
        <v>18</v>
      </c>
      <c r="F6" s="11" t="s">
        <v>1580</v>
      </c>
      <c r="G6" s="11" t="s">
        <v>43</v>
      </c>
      <c r="H6" s="11" t="s">
        <v>52</v>
      </c>
      <c r="I6" s="11" t="s">
        <v>84</v>
      </c>
      <c r="J6" s="11" t="s">
        <v>85</v>
      </c>
      <c r="K6" s="11" t="s">
        <v>60</v>
      </c>
      <c r="L6" s="11" t="s">
        <v>92</v>
      </c>
      <c r="M6" s="11" t="s">
        <v>45</v>
      </c>
      <c r="N6" s="11" t="s">
        <v>23</v>
      </c>
      <c r="O6" s="11" t="s">
        <v>23</v>
      </c>
      <c r="P6" s="11" t="s">
        <v>84</v>
      </c>
      <c r="Q6" s="11" t="s">
        <v>86</v>
      </c>
      <c r="R6" s="11">
        <v>750</v>
      </c>
      <c r="S6" s="40" t="s">
        <v>39</v>
      </c>
      <c r="T6" s="11">
        <v>900</v>
      </c>
      <c r="U6" s="11" t="s">
        <v>45</v>
      </c>
      <c r="V6" s="11" t="s">
        <v>84</v>
      </c>
      <c r="W6" s="11" t="s">
        <v>86</v>
      </c>
      <c r="X6" s="40" t="s">
        <v>60</v>
      </c>
      <c r="Y6" s="40" t="s">
        <v>87</v>
      </c>
      <c r="Z6" s="40" t="s">
        <v>1581</v>
      </c>
      <c r="AA6" s="40" t="s">
        <v>65</v>
      </c>
      <c r="AB6" s="12" t="s">
        <v>88</v>
      </c>
      <c r="AC6" s="11" t="s">
        <v>45</v>
      </c>
      <c r="AD6" s="11" t="s">
        <v>45</v>
      </c>
      <c r="AE6" s="11" t="s">
        <v>878</v>
      </c>
      <c r="AF6" s="11" t="s">
        <v>878</v>
      </c>
      <c r="AG6" s="13" t="s">
        <v>60</v>
      </c>
      <c r="AH6" s="13" t="s">
        <v>62</v>
      </c>
      <c r="AI6" s="13" t="s">
        <v>45</v>
      </c>
      <c r="AJ6" s="13" t="s">
        <v>45</v>
      </c>
      <c r="AK6" s="13" t="s">
        <v>45</v>
      </c>
      <c r="AL6" s="133" t="s">
        <v>1582</v>
      </c>
      <c r="AM6" s="134"/>
      <c r="AN6" s="134"/>
      <c r="AO6" s="134"/>
      <c r="AP6" s="135"/>
    </row>
    <row r="7" spans="1:44" s="10" customFormat="1" ht="36.75" customHeight="1" x14ac:dyDescent="0.4">
      <c r="A7" s="6">
        <v>21</v>
      </c>
      <c r="B7" s="6">
        <v>301</v>
      </c>
      <c r="C7" s="6" t="s">
        <v>79</v>
      </c>
      <c r="D7" s="18" t="s">
        <v>1591</v>
      </c>
      <c r="E7" s="34" t="s">
        <v>18</v>
      </c>
      <c r="F7" s="6" t="s">
        <v>1592</v>
      </c>
      <c r="G7" s="6" t="s">
        <v>43</v>
      </c>
      <c r="H7" s="6" t="s">
        <v>52</v>
      </c>
      <c r="I7" s="6" t="s">
        <v>84</v>
      </c>
      <c r="J7" s="6" t="s">
        <v>85</v>
      </c>
      <c r="K7" s="6" t="s">
        <v>19</v>
      </c>
      <c r="L7" s="6" t="s">
        <v>24</v>
      </c>
      <c r="M7" s="6" t="s">
        <v>45</v>
      </c>
      <c r="N7" s="6" t="s">
        <v>45</v>
      </c>
      <c r="O7" s="6" t="s">
        <v>45</v>
      </c>
      <c r="P7" s="6" t="s">
        <v>84</v>
      </c>
      <c r="Q7" s="6" t="s">
        <v>86</v>
      </c>
      <c r="R7" s="6">
        <v>750</v>
      </c>
      <c r="S7" s="6" t="s">
        <v>39</v>
      </c>
      <c r="T7" s="6">
        <v>900</v>
      </c>
      <c r="U7" s="6" t="s">
        <v>45</v>
      </c>
      <c r="V7" s="6" t="s">
        <v>84</v>
      </c>
      <c r="W7" s="6" t="s">
        <v>86</v>
      </c>
      <c r="X7" s="6" t="s">
        <v>60</v>
      </c>
      <c r="Y7" s="6" t="s">
        <v>87</v>
      </c>
      <c r="Z7" s="6" t="s">
        <v>1593</v>
      </c>
      <c r="AA7" s="6" t="s">
        <v>65</v>
      </c>
      <c r="AB7" s="15" t="s">
        <v>88</v>
      </c>
      <c r="AC7" s="16" t="s">
        <v>45</v>
      </c>
      <c r="AD7" s="16" t="s">
        <v>45</v>
      </c>
      <c r="AE7" s="16" t="s">
        <v>116</v>
      </c>
      <c r="AF7" s="16" t="s">
        <v>50</v>
      </c>
      <c r="AG7" s="17" t="s">
        <v>60</v>
      </c>
      <c r="AH7" s="17" t="s">
        <v>62</v>
      </c>
      <c r="AI7" s="17" t="s">
        <v>45</v>
      </c>
      <c r="AJ7" s="17" t="s">
        <v>45</v>
      </c>
      <c r="AK7" s="17" t="s">
        <v>23</v>
      </c>
      <c r="AL7" s="106" t="s">
        <v>1594</v>
      </c>
      <c r="AM7" s="107"/>
      <c r="AN7" s="107"/>
      <c r="AO7" s="107"/>
      <c r="AP7" s="108"/>
    </row>
    <row r="8" spans="1:44" s="14" customFormat="1" ht="35.25" customHeight="1" x14ac:dyDescent="0.4">
      <c r="A8" s="11">
        <v>21</v>
      </c>
      <c r="B8" s="11">
        <v>401</v>
      </c>
      <c r="C8" s="11" t="s">
        <v>79</v>
      </c>
      <c r="D8" s="13" t="s">
        <v>1498</v>
      </c>
      <c r="E8" s="33" t="s">
        <v>18</v>
      </c>
      <c r="F8" s="11" t="s">
        <v>1499</v>
      </c>
      <c r="G8" s="11" t="s">
        <v>43</v>
      </c>
      <c r="H8" s="11" t="s">
        <v>52</v>
      </c>
      <c r="I8" s="11" t="s">
        <v>84</v>
      </c>
      <c r="J8" s="11" t="s">
        <v>85</v>
      </c>
      <c r="K8" s="11" t="s">
        <v>60</v>
      </c>
      <c r="L8" s="11" t="s">
        <v>92</v>
      </c>
      <c r="M8" s="11" t="s">
        <v>45</v>
      </c>
      <c r="N8" s="11" t="s">
        <v>45</v>
      </c>
      <c r="O8" s="11" t="s">
        <v>23</v>
      </c>
      <c r="P8" s="11" t="s">
        <v>84</v>
      </c>
      <c r="Q8" s="11" t="s">
        <v>86</v>
      </c>
      <c r="R8" s="11">
        <v>750</v>
      </c>
      <c r="S8" s="40" t="s">
        <v>39</v>
      </c>
      <c r="T8" s="11">
        <v>900</v>
      </c>
      <c r="U8" s="11" t="s">
        <v>45</v>
      </c>
      <c r="V8" s="11" t="s">
        <v>84</v>
      </c>
      <c r="W8" s="11" t="s">
        <v>86</v>
      </c>
      <c r="X8" s="40" t="s">
        <v>60</v>
      </c>
      <c r="Y8" s="40" t="s">
        <v>141</v>
      </c>
      <c r="Z8" s="40"/>
      <c r="AA8" s="40" t="s">
        <v>65</v>
      </c>
      <c r="AB8" s="12" t="s">
        <v>88</v>
      </c>
      <c r="AC8" s="11" t="s">
        <v>45</v>
      </c>
      <c r="AD8" s="11" t="s">
        <v>45</v>
      </c>
      <c r="AE8" s="11" t="s">
        <v>116</v>
      </c>
      <c r="AF8" s="11" t="s">
        <v>50</v>
      </c>
      <c r="AG8" s="13" t="s">
        <v>60</v>
      </c>
      <c r="AH8" s="13" t="s">
        <v>62</v>
      </c>
      <c r="AI8" s="13" t="s">
        <v>241</v>
      </c>
      <c r="AJ8" s="13" t="s">
        <v>45</v>
      </c>
      <c r="AK8" s="13" t="s">
        <v>23</v>
      </c>
      <c r="AL8" s="133" t="s">
        <v>1500</v>
      </c>
      <c r="AM8" s="134"/>
      <c r="AN8" s="134"/>
      <c r="AO8" s="134"/>
      <c r="AP8" s="135"/>
    </row>
    <row r="9" spans="1:44" s="10" customFormat="1" ht="46.5" customHeight="1" x14ac:dyDescent="0.4">
      <c r="A9" s="6">
        <v>21</v>
      </c>
      <c r="B9" s="6">
        <v>501</v>
      </c>
      <c r="C9" s="6" t="s">
        <v>79</v>
      </c>
      <c r="D9" s="18" t="s">
        <v>1569</v>
      </c>
      <c r="E9" s="34" t="s">
        <v>18</v>
      </c>
      <c r="F9" s="6" t="s">
        <v>1570</v>
      </c>
      <c r="G9" s="6" t="s">
        <v>43</v>
      </c>
      <c r="H9" s="6" t="s">
        <v>52</v>
      </c>
      <c r="I9" s="6" t="s">
        <v>84</v>
      </c>
      <c r="J9" s="6" t="s">
        <v>85</v>
      </c>
      <c r="K9" s="6" t="s">
        <v>60</v>
      </c>
      <c r="L9" s="6" t="s">
        <v>24</v>
      </c>
      <c r="M9" s="6" t="s">
        <v>23</v>
      </c>
      <c r="N9" s="6" t="s">
        <v>45</v>
      </c>
      <c r="O9" s="6" t="s">
        <v>45</v>
      </c>
      <c r="P9" s="6" t="s">
        <v>84</v>
      </c>
      <c r="Q9" s="6" t="s">
        <v>86</v>
      </c>
      <c r="R9" s="6">
        <v>750</v>
      </c>
      <c r="S9" s="6" t="s">
        <v>39</v>
      </c>
      <c r="T9" s="6">
        <v>900</v>
      </c>
      <c r="U9" s="6" t="s">
        <v>45</v>
      </c>
      <c r="V9" s="6" t="s">
        <v>84</v>
      </c>
      <c r="W9" s="6" t="s">
        <v>86</v>
      </c>
      <c r="X9" s="6" t="s">
        <v>60</v>
      </c>
      <c r="Y9" s="6" t="s">
        <v>1571</v>
      </c>
      <c r="Z9" s="6"/>
      <c r="AA9" s="6" t="s">
        <v>65</v>
      </c>
      <c r="AB9" s="15" t="s">
        <v>19</v>
      </c>
      <c r="AC9" s="16" t="s">
        <v>45</v>
      </c>
      <c r="AD9" s="16" t="s">
        <v>45</v>
      </c>
      <c r="AE9" s="16" t="s">
        <v>50</v>
      </c>
      <c r="AF9" s="16" t="s">
        <v>50</v>
      </c>
      <c r="AG9" s="17" t="s">
        <v>60</v>
      </c>
      <c r="AH9" s="17" t="s">
        <v>62</v>
      </c>
      <c r="AI9" s="17" t="s">
        <v>45</v>
      </c>
      <c r="AJ9" s="17" t="s">
        <v>45</v>
      </c>
      <c r="AK9" s="17" t="s">
        <v>45</v>
      </c>
      <c r="AL9" s="106" t="s">
        <v>1572</v>
      </c>
      <c r="AM9" s="107"/>
      <c r="AN9" s="107"/>
      <c r="AO9" s="107"/>
      <c r="AP9" s="108"/>
    </row>
    <row r="10" spans="1:44" s="14" customFormat="1" ht="15" customHeight="1" x14ac:dyDescent="0.4">
      <c r="A10" s="11">
        <v>21</v>
      </c>
      <c r="B10" s="11">
        <v>102</v>
      </c>
      <c r="C10" s="11" t="s">
        <v>79</v>
      </c>
      <c r="D10" s="13" t="s">
        <v>1595</v>
      </c>
      <c r="E10" s="33" t="s">
        <v>18</v>
      </c>
      <c r="F10" s="11" t="s">
        <v>1596</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0" t="s">
        <v>141</v>
      </c>
      <c r="Z10" s="40"/>
      <c r="AA10" s="40" t="s">
        <v>65</v>
      </c>
      <c r="AB10" s="12" t="s">
        <v>88</v>
      </c>
      <c r="AC10" s="11" t="s">
        <v>45</v>
      </c>
      <c r="AD10" s="11" t="s">
        <v>45</v>
      </c>
      <c r="AE10" s="11" t="s">
        <v>116</v>
      </c>
      <c r="AF10" s="11" t="s">
        <v>50</v>
      </c>
      <c r="AG10" s="13" t="s">
        <v>60</v>
      </c>
      <c r="AH10" s="13" t="s">
        <v>62</v>
      </c>
      <c r="AI10" s="13" t="s">
        <v>23</v>
      </c>
      <c r="AJ10" s="13" t="s">
        <v>45</v>
      </c>
      <c r="AK10" s="13" t="s">
        <v>45</v>
      </c>
      <c r="AL10" s="133" t="s">
        <v>1597</v>
      </c>
      <c r="AM10" s="134"/>
      <c r="AN10" s="134"/>
      <c r="AO10" s="134"/>
      <c r="AP10" s="135"/>
    </row>
    <row r="11" spans="1:44" s="10" customFormat="1" ht="35.25" customHeight="1" x14ac:dyDescent="0.4">
      <c r="A11" s="6">
        <v>21</v>
      </c>
      <c r="B11" s="6">
        <v>202</v>
      </c>
      <c r="C11" s="6" t="s">
        <v>79</v>
      </c>
      <c r="D11" s="18" t="s">
        <v>1598</v>
      </c>
      <c r="E11" s="34" t="s">
        <v>18</v>
      </c>
      <c r="F11" s="6" t="s">
        <v>1599</v>
      </c>
      <c r="G11" s="6" t="s">
        <v>43</v>
      </c>
      <c r="H11" s="6" t="s">
        <v>52</v>
      </c>
      <c r="I11" s="6" t="s">
        <v>84</v>
      </c>
      <c r="J11" s="6" t="s">
        <v>85</v>
      </c>
      <c r="K11" s="6" t="s">
        <v>60</v>
      </c>
      <c r="L11" s="6" t="s">
        <v>20</v>
      </c>
      <c r="M11" s="6" t="s">
        <v>45</v>
      </c>
      <c r="N11" s="6" t="s">
        <v>45</v>
      </c>
      <c r="O11" s="6" t="s">
        <v>45</v>
      </c>
      <c r="P11" s="6" t="s">
        <v>84</v>
      </c>
      <c r="Q11" s="6" t="s">
        <v>86</v>
      </c>
      <c r="R11" s="6">
        <v>750</v>
      </c>
      <c r="S11" s="6" t="s">
        <v>39</v>
      </c>
      <c r="T11" s="6">
        <v>900</v>
      </c>
      <c r="U11" s="6" t="s">
        <v>45</v>
      </c>
      <c r="V11" s="6" t="s">
        <v>84</v>
      </c>
      <c r="W11" s="6" t="s">
        <v>86</v>
      </c>
      <c r="X11" s="6" t="s">
        <v>60</v>
      </c>
      <c r="Y11" s="6" t="s">
        <v>87</v>
      </c>
      <c r="Z11" s="6" t="s">
        <v>1600</v>
      </c>
      <c r="AA11" s="6" t="s">
        <v>65</v>
      </c>
      <c r="AB11" s="15" t="s">
        <v>88</v>
      </c>
      <c r="AC11" s="16" t="s">
        <v>45</v>
      </c>
      <c r="AD11" s="16" t="s">
        <v>23</v>
      </c>
      <c r="AE11" s="16" t="s">
        <v>50</v>
      </c>
      <c r="AF11" s="16" t="s">
        <v>50</v>
      </c>
      <c r="AG11" s="17" t="s">
        <v>60</v>
      </c>
      <c r="AH11" s="17" t="s">
        <v>62</v>
      </c>
      <c r="AI11" s="17" t="s">
        <v>241</v>
      </c>
      <c r="AJ11" s="17" t="s">
        <v>45</v>
      </c>
      <c r="AK11" s="17" t="s">
        <v>45</v>
      </c>
      <c r="AL11" s="106" t="s">
        <v>1601</v>
      </c>
      <c r="AM11" s="107"/>
      <c r="AN11" s="107"/>
      <c r="AO11" s="107"/>
      <c r="AP11" s="108"/>
    </row>
    <row r="12" spans="1:44" s="14" customFormat="1" ht="48.75" customHeight="1" x14ac:dyDescent="0.4">
      <c r="A12" s="11">
        <v>21</v>
      </c>
      <c r="B12" s="11">
        <v>302</v>
      </c>
      <c r="C12" s="11" t="s">
        <v>79</v>
      </c>
      <c r="D12" s="13" t="s">
        <v>1602</v>
      </c>
      <c r="E12" s="33" t="s">
        <v>18</v>
      </c>
      <c r="F12" s="11" t="s">
        <v>1603</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640</v>
      </c>
      <c r="U12" s="11" t="s">
        <v>45</v>
      </c>
      <c r="V12" s="11" t="s">
        <v>84</v>
      </c>
      <c r="W12" s="11" t="s">
        <v>86</v>
      </c>
      <c r="X12" s="40" t="s">
        <v>60</v>
      </c>
      <c r="Y12" s="40" t="s">
        <v>87</v>
      </c>
      <c r="Z12" s="40" t="s">
        <v>1604</v>
      </c>
      <c r="AA12" s="40" t="s">
        <v>65</v>
      </c>
      <c r="AB12" s="12" t="s">
        <v>88</v>
      </c>
      <c r="AC12" s="11" t="s">
        <v>23</v>
      </c>
      <c r="AD12" s="11" t="s">
        <v>23</v>
      </c>
      <c r="AE12" s="11" t="s">
        <v>50</v>
      </c>
      <c r="AF12" s="11" t="s">
        <v>50</v>
      </c>
      <c r="AG12" s="13" t="s">
        <v>60</v>
      </c>
      <c r="AH12" s="13" t="s">
        <v>62</v>
      </c>
      <c r="AI12" s="13" t="s">
        <v>23</v>
      </c>
      <c r="AJ12" s="13" t="s">
        <v>45</v>
      </c>
      <c r="AK12" s="13" t="s">
        <v>23</v>
      </c>
      <c r="AL12" s="133" t="s">
        <v>1605</v>
      </c>
      <c r="AM12" s="134"/>
      <c r="AN12" s="134"/>
      <c r="AO12" s="134"/>
      <c r="AP12" s="135"/>
    </row>
    <row r="13" spans="1:44" s="10" customFormat="1" ht="15" customHeight="1" x14ac:dyDescent="0.4">
      <c r="A13" s="6">
        <v>21</v>
      </c>
      <c r="B13" s="6">
        <v>402</v>
      </c>
      <c r="C13" s="6" t="s">
        <v>79</v>
      </c>
      <c r="D13" s="18" t="s">
        <v>1573</v>
      </c>
      <c r="E13" s="34" t="s">
        <v>18</v>
      </c>
      <c r="F13" s="6" t="s">
        <v>1574</v>
      </c>
      <c r="G13" s="6" t="s">
        <v>43</v>
      </c>
      <c r="H13" s="6" t="s">
        <v>52</v>
      </c>
      <c r="I13" s="6" t="s">
        <v>84</v>
      </c>
      <c r="J13" s="6" t="s">
        <v>85</v>
      </c>
      <c r="K13" s="6" t="s">
        <v>60</v>
      </c>
      <c r="L13" s="6" t="s">
        <v>92</v>
      </c>
      <c r="M13" s="6" t="s">
        <v>45</v>
      </c>
      <c r="N13" s="6" t="s">
        <v>45</v>
      </c>
      <c r="O13" s="6" t="s">
        <v>23</v>
      </c>
      <c r="P13" s="6" t="s">
        <v>84</v>
      </c>
      <c r="Q13" s="6" t="s">
        <v>86</v>
      </c>
      <c r="R13" s="6">
        <v>750</v>
      </c>
      <c r="S13" s="6" t="s">
        <v>39</v>
      </c>
      <c r="T13" s="6">
        <v>900</v>
      </c>
      <c r="U13" s="6" t="s">
        <v>45</v>
      </c>
      <c r="V13" s="6" t="s">
        <v>84</v>
      </c>
      <c r="W13" s="6" t="s">
        <v>86</v>
      </c>
      <c r="X13" s="6" t="s">
        <v>60</v>
      </c>
      <c r="Y13" s="6" t="s">
        <v>141</v>
      </c>
      <c r="Z13" s="6"/>
      <c r="AA13" s="6" t="s">
        <v>65</v>
      </c>
      <c r="AB13" s="15" t="s">
        <v>88</v>
      </c>
      <c r="AC13" s="16" t="s">
        <v>23</v>
      </c>
      <c r="AD13" s="16" t="s">
        <v>23</v>
      </c>
      <c r="AE13" s="16" t="s">
        <v>116</v>
      </c>
      <c r="AF13" s="16" t="s">
        <v>116</v>
      </c>
      <c r="AG13" s="17" t="s">
        <v>60</v>
      </c>
      <c r="AH13" s="17" t="s">
        <v>62</v>
      </c>
      <c r="AI13" s="17" t="s">
        <v>45</v>
      </c>
      <c r="AJ13" s="17" t="s">
        <v>45</v>
      </c>
      <c r="AK13" s="17" t="s">
        <v>45</v>
      </c>
      <c r="AL13" s="106" t="s">
        <v>1575</v>
      </c>
      <c r="AM13" s="107"/>
      <c r="AN13" s="107"/>
      <c r="AO13" s="107"/>
      <c r="AP13" s="108"/>
    </row>
    <row r="14" spans="1:44" s="14" customFormat="1" ht="15" customHeight="1" x14ac:dyDescent="0.4">
      <c r="A14" s="11">
        <v>21</v>
      </c>
      <c r="B14" s="11">
        <v>502</v>
      </c>
      <c r="C14" s="11" t="s">
        <v>79</v>
      </c>
      <c r="D14" s="13" t="s">
        <v>1576</v>
      </c>
      <c r="E14" s="33" t="s">
        <v>18</v>
      </c>
      <c r="F14" s="11" t="s">
        <v>1577</v>
      </c>
      <c r="G14" s="11" t="s">
        <v>43</v>
      </c>
      <c r="H14" s="11" t="s">
        <v>52</v>
      </c>
      <c r="I14" s="11" t="s">
        <v>84</v>
      </c>
      <c r="J14" s="11" t="s">
        <v>85</v>
      </c>
      <c r="K14" s="11" t="s">
        <v>60</v>
      </c>
      <c r="L14" s="11" t="s">
        <v>24</v>
      </c>
      <c r="M14" s="11" t="s">
        <v>45</v>
      </c>
      <c r="N14" s="11" t="s">
        <v>45</v>
      </c>
      <c r="O14" s="11" t="s">
        <v>23</v>
      </c>
      <c r="P14" s="11" t="s">
        <v>84</v>
      </c>
      <c r="Q14" s="11" t="s">
        <v>86</v>
      </c>
      <c r="R14" s="11">
        <v>750</v>
      </c>
      <c r="S14" s="40" t="s">
        <v>39</v>
      </c>
      <c r="T14" s="11">
        <v>900</v>
      </c>
      <c r="U14" s="11" t="s">
        <v>45</v>
      </c>
      <c r="V14" s="11" t="s">
        <v>84</v>
      </c>
      <c r="W14" s="11" t="s">
        <v>86</v>
      </c>
      <c r="X14" s="40" t="s">
        <v>19</v>
      </c>
      <c r="Y14" s="40"/>
      <c r="Z14" s="40"/>
      <c r="AA14" s="40"/>
      <c r="AB14" s="12" t="s">
        <v>19</v>
      </c>
      <c r="AC14" s="11" t="s">
        <v>23</v>
      </c>
      <c r="AD14" s="11" t="s">
        <v>45</v>
      </c>
      <c r="AE14" s="11" t="s">
        <v>50</v>
      </c>
      <c r="AF14" s="11" t="s">
        <v>50</v>
      </c>
      <c r="AG14" s="13" t="s">
        <v>60</v>
      </c>
      <c r="AH14" s="13" t="s">
        <v>62</v>
      </c>
      <c r="AI14" s="13" t="s">
        <v>45</v>
      </c>
      <c r="AJ14" s="13" t="s">
        <v>45</v>
      </c>
      <c r="AK14" s="13" t="s">
        <v>45</v>
      </c>
      <c r="AL14" s="133" t="s">
        <v>1578</v>
      </c>
      <c r="AM14" s="134"/>
      <c r="AN14" s="134"/>
      <c r="AO14" s="134"/>
      <c r="AP14" s="135"/>
    </row>
    <row r="15" spans="1:44" s="10" customFormat="1" ht="36.75" customHeight="1" x14ac:dyDescent="0.4">
      <c r="A15" s="6">
        <v>21</v>
      </c>
      <c r="B15" s="6">
        <v>103</v>
      </c>
      <c r="C15" s="6" t="s">
        <v>79</v>
      </c>
      <c r="D15" s="18" t="s">
        <v>1633</v>
      </c>
      <c r="E15" s="34" t="s">
        <v>18</v>
      </c>
      <c r="F15" s="6" t="s">
        <v>1634</v>
      </c>
      <c r="G15" s="6" t="s">
        <v>40</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1635</v>
      </c>
      <c r="AA15" s="6" t="s">
        <v>65</v>
      </c>
      <c r="AB15" s="15" t="s">
        <v>19</v>
      </c>
      <c r="AC15" s="16" t="s">
        <v>45</v>
      </c>
      <c r="AD15" s="16" t="s">
        <v>45</v>
      </c>
      <c r="AE15" s="16" t="s">
        <v>116</v>
      </c>
      <c r="AF15" s="16" t="s">
        <v>50</v>
      </c>
      <c r="AG15" s="17" t="s">
        <v>60</v>
      </c>
      <c r="AH15" s="17" t="s">
        <v>62</v>
      </c>
      <c r="AI15" s="17" t="s">
        <v>45</v>
      </c>
      <c r="AJ15" s="17" t="s">
        <v>23</v>
      </c>
      <c r="AK15" s="17" t="s">
        <v>45</v>
      </c>
      <c r="AL15" s="106" t="s">
        <v>1636</v>
      </c>
      <c r="AM15" s="107"/>
      <c r="AN15" s="107"/>
      <c r="AO15" s="107"/>
      <c r="AP15" s="108"/>
    </row>
    <row r="16" spans="1:44" s="14" customFormat="1" ht="39" customHeight="1" x14ac:dyDescent="0.4">
      <c r="A16" s="11">
        <v>21</v>
      </c>
      <c r="B16" s="11">
        <v>203</v>
      </c>
      <c r="C16" s="11" t="s">
        <v>79</v>
      </c>
      <c r="D16" s="13" t="s">
        <v>1637</v>
      </c>
      <c r="E16" s="33" t="s">
        <v>18</v>
      </c>
      <c r="F16" s="11" t="s">
        <v>1638</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1639</v>
      </c>
      <c r="AA16" s="40" t="s">
        <v>65</v>
      </c>
      <c r="AB16" s="12" t="s">
        <v>88</v>
      </c>
      <c r="AC16" s="11" t="s">
        <v>45</v>
      </c>
      <c r="AD16" s="11" t="s">
        <v>45</v>
      </c>
      <c r="AE16" s="11" t="s">
        <v>50</v>
      </c>
      <c r="AF16" s="11" t="s">
        <v>50</v>
      </c>
      <c r="AG16" s="13" t="s">
        <v>60</v>
      </c>
      <c r="AH16" s="13" t="s">
        <v>62</v>
      </c>
      <c r="AI16" s="13" t="s">
        <v>45</v>
      </c>
      <c r="AJ16" s="13" t="s">
        <v>45</v>
      </c>
      <c r="AK16" s="13" t="s">
        <v>23</v>
      </c>
      <c r="AL16" s="133" t="s">
        <v>1640</v>
      </c>
      <c r="AM16" s="134"/>
      <c r="AN16" s="134"/>
      <c r="AO16" s="134"/>
      <c r="AP16" s="135"/>
    </row>
    <row r="17" spans="1:42" s="10" customFormat="1" ht="39.75" customHeight="1" x14ac:dyDescent="0.4">
      <c r="A17" s="6">
        <v>21</v>
      </c>
      <c r="B17" s="6">
        <v>303</v>
      </c>
      <c r="C17" s="6" t="s">
        <v>79</v>
      </c>
      <c r="D17" s="18" t="s">
        <v>1645</v>
      </c>
      <c r="E17" s="34" t="s">
        <v>18</v>
      </c>
      <c r="F17" s="6" t="s">
        <v>1646</v>
      </c>
      <c r="G17" s="6" t="s">
        <v>43</v>
      </c>
      <c r="H17" s="6" t="s">
        <v>52</v>
      </c>
      <c r="I17" s="6" t="s">
        <v>84</v>
      </c>
      <c r="J17" s="6" t="s">
        <v>85</v>
      </c>
      <c r="K17" s="6" t="s">
        <v>60</v>
      </c>
      <c r="L17" s="6" t="s">
        <v>92</v>
      </c>
      <c r="M17" s="6" t="s">
        <v>45</v>
      </c>
      <c r="N17" s="6" t="s">
        <v>23</v>
      </c>
      <c r="O17" s="6" t="s">
        <v>23</v>
      </c>
      <c r="P17" s="6" t="s">
        <v>84</v>
      </c>
      <c r="Q17" s="6" t="s">
        <v>86</v>
      </c>
      <c r="R17" s="6">
        <v>750</v>
      </c>
      <c r="S17" s="6" t="s">
        <v>39</v>
      </c>
      <c r="T17" s="6">
        <v>900</v>
      </c>
      <c r="U17" s="6" t="s">
        <v>45</v>
      </c>
      <c r="V17" s="6" t="s">
        <v>84</v>
      </c>
      <c r="W17" s="6" t="s">
        <v>86</v>
      </c>
      <c r="X17" s="6" t="s">
        <v>60</v>
      </c>
      <c r="Y17" s="6" t="s">
        <v>141</v>
      </c>
      <c r="Z17" s="6"/>
      <c r="AA17" s="6" t="s">
        <v>65</v>
      </c>
      <c r="AB17" s="15" t="s">
        <v>88</v>
      </c>
      <c r="AC17" s="16" t="s">
        <v>45</v>
      </c>
      <c r="AD17" s="16" t="s">
        <v>45</v>
      </c>
      <c r="AE17" s="16" t="s">
        <v>50</v>
      </c>
      <c r="AF17" s="16" t="s">
        <v>50</v>
      </c>
      <c r="AG17" s="17" t="s">
        <v>60</v>
      </c>
      <c r="AH17" s="17" t="s">
        <v>62</v>
      </c>
      <c r="AI17" s="17" t="s">
        <v>241</v>
      </c>
      <c r="AJ17" s="17" t="s">
        <v>45</v>
      </c>
      <c r="AK17" s="17" t="s">
        <v>45</v>
      </c>
      <c r="AL17" s="106" t="s">
        <v>1647</v>
      </c>
      <c r="AM17" s="107"/>
      <c r="AN17" s="107"/>
      <c r="AO17" s="107"/>
      <c r="AP17" s="108"/>
    </row>
    <row r="18" spans="1:42" s="14" customFormat="1" ht="41.25" customHeight="1" x14ac:dyDescent="0.4">
      <c r="A18" s="11">
        <v>21</v>
      </c>
      <c r="B18" s="11">
        <v>403</v>
      </c>
      <c r="C18" s="11" t="s">
        <v>79</v>
      </c>
      <c r="D18" s="13" t="s">
        <v>1648</v>
      </c>
      <c r="E18" s="33" t="s">
        <v>18</v>
      </c>
      <c r="F18" s="11" t="s">
        <v>1649</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740</v>
      </c>
      <c r="U18" s="11" t="s">
        <v>45</v>
      </c>
      <c r="V18" s="11" t="s">
        <v>84</v>
      </c>
      <c r="W18" s="11" t="s">
        <v>86</v>
      </c>
      <c r="X18" s="40" t="s">
        <v>19</v>
      </c>
      <c r="Y18" s="40"/>
      <c r="Z18" s="40"/>
      <c r="AA18" s="40" t="s">
        <v>65</v>
      </c>
      <c r="AB18" s="12" t="s">
        <v>88</v>
      </c>
      <c r="AC18" s="11" t="s">
        <v>45</v>
      </c>
      <c r="AD18" s="11" t="s">
        <v>45</v>
      </c>
      <c r="AE18" s="11" t="s">
        <v>116</v>
      </c>
      <c r="AF18" s="11" t="s">
        <v>50</v>
      </c>
      <c r="AG18" s="13" t="s">
        <v>60</v>
      </c>
      <c r="AH18" s="13" t="s">
        <v>62</v>
      </c>
      <c r="AI18" s="13" t="s">
        <v>23</v>
      </c>
      <c r="AJ18" s="13" t="s">
        <v>23</v>
      </c>
      <c r="AK18" s="13" t="s">
        <v>23</v>
      </c>
      <c r="AL18" s="133" t="s">
        <v>1650</v>
      </c>
      <c r="AM18" s="134"/>
      <c r="AN18" s="134"/>
      <c r="AO18" s="134"/>
      <c r="AP18" s="135"/>
    </row>
    <row r="19" spans="1:42" s="10" customFormat="1" ht="39" customHeight="1" x14ac:dyDescent="0.4">
      <c r="A19" s="6">
        <v>21</v>
      </c>
      <c r="B19" s="6">
        <v>503</v>
      </c>
      <c r="C19" s="6" t="s">
        <v>79</v>
      </c>
      <c r="D19" s="18" t="s">
        <v>1651</v>
      </c>
      <c r="E19" s="34" t="s">
        <v>18</v>
      </c>
      <c r="F19" s="6" t="s">
        <v>1652</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141</v>
      </c>
      <c r="Z19" s="6"/>
      <c r="AA19" s="6" t="s">
        <v>65</v>
      </c>
      <c r="AB19" s="15" t="s">
        <v>88</v>
      </c>
      <c r="AC19" s="16" t="s">
        <v>23</v>
      </c>
      <c r="AD19" s="16" t="s">
        <v>45</v>
      </c>
      <c r="AE19" s="16" t="s">
        <v>878</v>
      </c>
      <c r="AF19" s="16" t="s">
        <v>878</v>
      </c>
      <c r="AG19" s="17" t="s">
        <v>60</v>
      </c>
      <c r="AH19" s="17" t="s">
        <v>62</v>
      </c>
      <c r="AI19" s="17" t="s">
        <v>23</v>
      </c>
      <c r="AJ19" s="17" t="s">
        <v>45</v>
      </c>
      <c r="AK19" s="17" t="s">
        <v>45</v>
      </c>
      <c r="AL19" s="106" t="s">
        <v>1653</v>
      </c>
      <c r="AM19" s="107"/>
      <c r="AN19" s="107"/>
      <c r="AO19" s="107"/>
      <c r="AP19" s="108"/>
    </row>
    <row r="20" spans="1:42" s="14" customFormat="1" ht="15" customHeight="1" x14ac:dyDescent="0.4">
      <c r="A20" s="11">
        <v>21</v>
      </c>
      <c r="B20" s="11">
        <v>104</v>
      </c>
      <c r="C20" s="11" t="s">
        <v>79</v>
      </c>
      <c r="D20" s="13" t="s">
        <v>1658</v>
      </c>
      <c r="E20" s="33" t="s">
        <v>18</v>
      </c>
      <c r="F20" s="11" t="s">
        <v>1659</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87</v>
      </c>
      <c r="Z20" s="40" t="s">
        <v>1660</v>
      </c>
      <c r="AA20" s="40" t="s">
        <v>65</v>
      </c>
      <c r="AB20" s="12" t="s">
        <v>88</v>
      </c>
      <c r="AC20" s="11" t="s">
        <v>45</v>
      </c>
      <c r="AD20" s="11" t="s">
        <v>45</v>
      </c>
      <c r="AE20" s="11" t="s">
        <v>50</v>
      </c>
      <c r="AF20" s="11" t="s">
        <v>50</v>
      </c>
      <c r="AG20" s="13" t="s">
        <v>60</v>
      </c>
      <c r="AH20" s="13" t="s">
        <v>62</v>
      </c>
      <c r="AI20" s="13" t="s">
        <v>45</v>
      </c>
      <c r="AJ20" s="13" t="s">
        <v>45</v>
      </c>
      <c r="AK20" s="13" t="s">
        <v>45</v>
      </c>
      <c r="AL20" s="133" t="s">
        <v>1661</v>
      </c>
      <c r="AM20" s="134"/>
      <c r="AN20" s="134"/>
      <c r="AO20" s="134"/>
      <c r="AP20" s="135"/>
    </row>
    <row r="21" spans="1:42" s="10" customFormat="1" ht="35.25" customHeight="1" x14ac:dyDescent="0.4">
      <c r="A21" s="6">
        <v>21</v>
      </c>
      <c r="B21" s="6">
        <v>204</v>
      </c>
      <c r="C21" s="6" t="s">
        <v>79</v>
      </c>
      <c r="D21" s="18" t="s">
        <v>1923</v>
      </c>
      <c r="E21" s="34" t="s">
        <v>18</v>
      </c>
      <c r="F21" s="6" t="s">
        <v>1924</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141</v>
      </c>
      <c r="Z21" s="6"/>
      <c r="AA21" s="6" t="s">
        <v>65</v>
      </c>
      <c r="AB21" s="15" t="s">
        <v>19</v>
      </c>
      <c r="AC21" s="16" t="s">
        <v>45</v>
      </c>
      <c r="AD21" s="16" t="s">
        <v>45</v>
      </c>
      <c r="AE21" s="16" t="s">
        <v>50</v>
      </c>
      <c r="AF21" s="16" t="s">
        <v>50</v>
      </c>
      <c r="AG21" s="17" t="s">
        <v>60</v>
      </c>
      <c r="AH21" s="17" t="s">
        <v>62</v>
      </c>
      <c r="AI21" s="17" t="s">
        <v>45</v>
      </c>
      <c r="AJ21" s="17" t="s">
        <v>45</v>
      </c>
      <c r="AK21" s="17" t="s">
        <v>45</v>
      </c>
      <c r="AL21" s="106" t="s">
        <v>1926</v>
      </c>
      <c r="AM21" s="107"/>
      <c r="AN21" s="107"/>
      <c r="AO21" s="107"/>
      <c r="AP21" s="108"/>
    </row>
    <row r="22" spans="1:42" s="14" customFormat="1" ht="44.25" customHeight="1" x14ac:dyDescent="0.4">
      <c r="A22" s="11">
        <v>21</v>
      </c>
      <c r="B22" s="11">
        <v>304</v>
      </c>
      <c r="C22" s="11" t="s">
        <v>79</v>
      </c>
      <c r="D22" s="13" t="s">
        <v>1624</v>
      </c>
      <c r="E22" s="33" t="s">
        <v>18</v>
      </c>
      <c r="F22" s="11" t="s">
        <v>1625</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c r="Z22" s="40"/>
      <c r="AA22" s="40" t="s">
        <v>65</v>
      </c>
      <c r="AB22" s="12" t="s">
        <v>88</v>
      </c>
      <c r="AC22" s="11" t="s">
        <v>23</v>
      </c>
      <c r="AD22" s="11" t="s">
        <v>23</v>
      </c>
      <c r="AE22" s="11" t="s">
        <v>50</v>
      </c>
      <c r="AF22" s="11" t="s">
        <v>50</v>
      </c>
      <c r="AG22" s="13" t="s">
        <v>60</v>
      </c>
      <c r="AH22" s="13" t="s">
        <v>62</v>
      </c>
      <c r="AI22" s="13" t="s">
        <v>45</v>
      </c>
      <c r="AJ22" s="13" t="s">
        <v>45</v>
      </c>
      <c r="AK22" s="13" t="s">
        <v>45</v>
      </c>
      <c r="AL22" s="133" t="s">
        <v>1626</v>
      </c>
      <c r="AM22" s="134"/>
      <c r="AN22" s="134"/>
      <c r="AO22" s="134"/>
      <c r="AP22" s="135"/>
    </row>
    <row r="23" spans="1:42" s="10" customFormat="1" ht="35.25" customHeight="1" x14ac:dyDescent="0.4">
      <c r="A23" s="6">
        <v>21</v>
      </c>
      <c r="B23" s="6">
        <v>404</v>
      </c>
      <c r="C23" s="6" t="s">
        <v>79</v>
      </c>
      <c r="D23" s="18" t="s">
        <v>1627</v>
      </c>
      <c r="E23" s="34" t="s">
        <v>18</v>
      </c>
      <c r="F23" s="6" t="s">
        <v>1628</v>
      </c>
      <c r="G23" s="6" t="s">
        <v>43</v>
      </c>
      <c r="H23" s="6" t="s">
        <v>52</v>
      </c>
      <c r="I23" s="6" t="s">
        <v>84</v>
      </c>
      <c r="J23" s="6" t="s">
        <v>85</v>
      </c>
      <c r="K23" s="6" t="s">
        <v>60</v>
      </c>
      <c r="L23" s="6" t="s">
        <v>92</v>
      </c>
      <c r="M23" s="6" t="s">
        <v>45</v>
      </c>
      <c r="N23" s="6" t="s">
        <v>45</v>
      </c>
      <c r="O23" s="6" t="s">
        <v>45</v>
      </c>
      <c r="P23" s="6" t="s">
        <v>84</v>
      </c>
      <c r="Q23" s="6" t="s">
        <v>86</v>
      </c>
      <c r="R23" s="6">
        <v>750</v>
      </c>
      <c r="S23" s="6" t="s">
        <v>39</v>
      </c>
      <c r="T23" s="6">
        <v>900</v>
      </c>
      <c r="U23" s="6" t="s">
        <v>45</v>
      </c>
      <c r="V23" s="6" t="s">
        <v>84</v>
      </c>
      <c r="W23" s="6" t="s">
        <v>86</v>
      </c>
      <c r="X23" s="6" t="s">
        <v>60</v>
      </c>
      <c r="Y23" s="6" t="s">
        <v>141</v>
      </c>
      <c r="Z23" s="6"/>
      <c r="AA23" s="6" t="s">
        <v>65</v>
      </c>
      <c r="AB23" s="15" t="s">
        <v>19</v>
      </c>
      <c r="AC23" s="16" t="s">
        <v>23</v>
      </c>
      <c r="AD23" s="16" t="s">
        <v>23</v>
      </c>
      <c r="AE23" s="16" t="s">
        <v>50</v>
      </c>
      <c r="AF23" s="16" t="s">
        <v>50</v>
      </c>
      <c r="AG23" s="17" t="s">
        <v>60</v>
      </c>
      <c r="AH23" s="17" t="s">
        <v>62</v>
      </c>
      <c r="AI23" s="17" t="s">
        <v>23</v>
      </c>
      <c r="AJ23" s="17" t="s">
        <v>45</v>
      </c>
      <c r="AK23" s="17" t="s">
        <v>45</v>
      </c>
      <c r="AL23" s="106" t="s">
        <v>1629</v>
      </c>
      <c r="AM23" s="107"/>
      <c r="AN23" s="107"/>
      <c r="AO23" s="107"/>
      <c r="AP23" s="108"/>
    </row>
    <row r="24" spans="1:42" s="14" customFormat="1" ht="57.75" customHeight="1" x14ac:dyDescent="0.4">
      <c r="A24" s="11">
        <v>21</v>
      </c>
      <c r="B24" s="11">
        <v>504</v>
      </c>
      <c r="C24" s="11" t="s">
        <v>79</v>
      </c>
      <c r="D24" s="13" t="s">
        <v>1630</v>
      </c>
      <c r="E24" s="33" t="s">
        <v>18</v>
      </c>
      <c r="F24" s="11" t="s">
        <v>1631</v>
      </c>
      <c r="G24" s="11" t="s">
        <v>43</v>
      </c>
      <c r="H24" s="11" t="s">
        <v>52</v>
      </c>
      <c r="I24" s="11" t="s">
        <v>84</v>
      </c>
      <c r="J24" s="11" t="s">
        <v>85</v>
      </c>
      <c r="K24" s="11" t="s">
        <v>19</v>
      </c>
      <c r="L24" s="11" t="s">
        <v>24</v>
      </c>
      <c r="M24" s="11" t="s">
        <v>45</v>
      </c>
      <c r="N24" s="11" t="s">
        <v>45</v>
      </c>
      <c r="O24" s="11" t="s">
        <v>45</v>
      </c>
      <c r="P24" s="11" t="s">
        <v>84</v>
      </c>
      <c r="Q24" s="11" t="s">
        <v>86</v>
      </c>
      <c r="R24" s="11">
        <v>750</v>
      </c>
      <c r="S24" s="40" t="s">
        <v>39</v>
      </c>
      <c r="T24" s="11">
        <v>900</v>
      </c>
      <c r="U24" s="11" t="s">
        <v>45</v>
      </c>
      <c r="V24" s="11" t="s">
        <v>84</v>
      </c>
      <c r="W24" s="11" t="s">
        <v>86</v>
      </c>
      <c r="X24" s="40" t="s">
        <v>19</v>
      </c>
      <c r="Y24" s="40"/>
      <c r="Z24" s="40"/>
      <c r="AA24" s="40" t="s">
        <v>65</v>
      </c>
      <c r="AB24" s="12" t="s">
        <v>19</v>
      </c>
      <c r="AC24" s="11" t="s">
        <v>45</v>
      </c>
      <c r="AD24" s="11" t="s">
        <v>45</v>
      </c>
      <c r="AE24" s="11" t="s">
        <v>50</v>
      </c>
      <c r="AF24" s="11" t="s">
        <v>50</v>
      </c>
      <c r="AG24" s="13" t="s">
        <v>19</v>
      </c>
      <c r="AH24" s="13" t="s">
        <v>62</v>
      </c>
      <c r="AI24" s="13" t="s">
        <v>23</v>
      </c>
      <c r="AJ24" s="13" t="s">
        <v>45</v>
      </c>
      <c r="AK24" s="13" t="s">
        <v>45</v>
      </c>
      <c r="AL24" s="133" t="s">
        <v>1632</v>
      </c>
      <c r="AM24" s="134"/>
      <c r="AN24" s="134"/>
      <c r="AO24" s="134"/>
      <c r="AP24" s="135"/>
    </row>
    <row r="25" spans="1:42" s="10" customFormat="1" ht="15" customHeight="1" x14ac:dyDescent="0.4">
      <c r="A25" s="6">
        <v>21</v>
      </c>
      <c r="B25" s="6">
        <v>105</v>
      </c>
      <c r="C25" s="6" t="s">
        <v>79</v>
      </c>
      <c r="D25" s="18" t="s">
        <v>1736</v>
      </c>
      <c r="E25" s="34" t="s">
        <v>18</v>
      </c>
      <c r="F25" s="18" t="s">
        <v>1737</v>
      </c>
      <c r="G25" s="6" t="s">
        <v>43</v>
      </c>
      <c r="H25" s="6" t="s">
        <v>52</v>
      </c>
      <c r="I25" s="6" t="s">
        <v>84</v>
      </c>
      <c r="J25" s="6" t="s">
        <v>85</v>
      </c>
      <c r="K25" s="6" t="s">
        <v>60</v>
      </c>
      <c r="L25" s="6" t="s">
        <v>92</v>
      </c>
      <c r="M25" s="6" t="s">
        <v>45</v>
      </c>
      <c r="N25" s="6" t="s">
        <v>45</v>
      </c>
      <c r="O25" s="6" t="s">
        <v>23</v>
      </c>
      <c r="P25" s="6" t="s">
        <v>84</v>
      </c>
      <c r="Q25" s="6" t="s">
        <v>86</v>
      </c>
      <c r="R25" s="6">
        <v>740</v>
      </c>
      <c r="S25" s="6" t="s">
        <v>39</v>
      </c>
      <c r="T25" s="6">
        <v>900</v>
      </c>
      <c r="U25" s="6" t="s">
        <v>45</v>
      </c>
      <c r="V25" s="6" t="s">
        <v>84</v>
      </c>
      <c r="W25" s="6" t="s">
        <v>86</v>
      </c>
      <c r="X25" s="6" t="s">
        <v>60</v>
      </c>
      <c r="Y25" s="6" t="s">
        <v>141</v>
      </c>
      <c r="Z25" s="6"/>
      <c r="AA25" s="6" t="s">
        <v>65</v>
      </c>
      <c r="AB25" s="15" t="s">
        <v>88</v>
      </c>
      <c r="AC25" s="16" t="s">
        <v>23</v>
      </c>
      <c r="AD25" s="16" t="s">
        <v>23</v>
      </c>
      <c r="AE25" s="16" t="s">
        <v>50</v>
      </c>
      <c r="AF25" s="16" t="s">
        <v>50</v>
      </c>
      <c r="AG25" s="17" t="s">
        <v>60</v>
      </c>
      <c r="AH25" s="17" t="s">
        <v>62</v>
      </c>
      <c r="AI25" s="17" t="s">
        <v>45</v>
      </c>
      <c r="AJ25" s="17" t="s">
        <v>45</v>
      </c>
      <c r="AK25" s="17" t="s">
        <v>45</v>
      </c>
      <c r="AL25" s="106" t="s">
        <v>1738</v>
      </c>
      <c r="AM25" s="107"/>
      <c r="AN25" s="107"/>
      <c r="AO25" s="107"/>
      <c r="AP25" s="108"/>
    </row>
    <row r="26" spans="1:42" s="14" customFormat="1" ht="41.25" customHeight="1" x14ac:dyDescent="0.4">
      <c r="A26" s="11">
        <v>21</v>
      </c>
      <c r="B26" s="11">
        <v>205</v>
      </c>
      <c r="C26" s="11" t="s">
        <v>79</v>
      </c>
      <c r="D26" s="13" t="s">
        <v>1668</v>
      </c>
      <c r="E26" s="33" t="s">
        <v>18</v>
      </c>
      <c r="F26" s="11" t="s">
        <v>1669</v>
      </c>
      <c r="G26" s="11" t="s">
        <v>43</v>
      </c>
      <c r="H26" s="11" t="s">
        <v>52</v>
      </c>
      <c r="I26" s="11" t="s">
        <v>84</v>
      </c>
      <c r="J26" s="11" t="s">
        <v>85</v>
      </c>
      <c r="K26" s="11" t="s">
        <v>37</v>
      </c>
      <c r="L26" s="11" t="s">
        <v>92</v>
      </c>
      <c r="M26" s="11" t="s">
        <v>45</v>
      </c>
      <c r="N26" s="11" t="s">
        <v>45</v>
      </c>
      <c r="O26" s="11" t="s">
        <v>23</v>
      </c>
      <c r="P26" s="11" t="s">
        <v>84</v>
      </c>
      <c r="Q26" s="11" t="s">
        <v>86</v>
      </c>
      <c r="R26" s="11">
        <v>750</v>
      </c>
      <c r="S26" s="40" t="s">
        <v>39</v>
      </c>
      <c r="T26" s="11">
        <v>900</v>
      </c>
      <c r="U26" s="11" t="s">
        <v>45</v>
      </c>
      <c r="V26" s="11" t="s">
        <v>84</v>
      </c>
      <c r="W26" s="11" t="s">
        <v>86</v>
      </c>
      <c r="X26" s="40" t="s">
        <v>60</v>
      </c>
      <c r="Y26" s="40" t="s">
        <v>87</v>
      </c>
      <c r="Z26" s="40" t="s">
        <v>1670</v>
      </c>
      <c r="AA26" s="40" t="s">
        <v>65</v>
      </c>
      <c r="AB26" s="12" t="s">
        <v>88</v>
      </c>
      <c r="AC26" s="11" t="s">
        <v>45</v>
      </c>
      <c r="AD26" s="11" t="s">
        <v>23</v>
      </c>
      <c r="AE26" s="11" t="s">
        <v>50</v>
      </c>
      <c r="AF26" s="11" t="s">
        <v>50</v>
      </c>
      <c r="AG26" s="13" t="s">
        <v>60</v>
      </c>
      <c r="AH26" s="13" t="s">
        <v>62</v>
      </c>
      <c r="AI26" s="13" t="s">
        <v>45</v>
      </c>
      <c r="AJ26" s="13" t="s">
        <v>45</v>
      </c>
      <c r="AK26" s="13" t="s">
        <v>45</v>
      </c>
      <c r="AL26" s="133" t="s">
        <v>1671</v>
      </c>
      <c r="AM26" s="134"/>
      <c r="AN26" s="134"/>
      <c r="AO26" s="134"/>
      <c r="AP26" s="135"/>
    </row>
    <row r="27" spans="1:42" s="10" customFormat="1" ht="15" customHeight="1" x14ac:dyDescent="0.4">
      <c r="A27" s="6">
        <v>21</v>
      </c>
      <c r="B27" s="6">
        <v>305</v>
      </c>
      <c r="C27" s="6" t="s">
        <v>79</v>
      </c>
      <c r="D27" s="18" t="s">
        <v>1672</v>
      </c>
      <c r="E27" s="34" t="s">
        <v>18</v>
      </c>
      <c r="F27" s="6" t="s">
        <v>1673</v>
      </c>
      <c r="G27" s="6" t="s">
        <v>43</v>
      </c>
      <c r="H27" s="6" t="s">
        <v>52</v>
      </c>
      <c r="I27" s="6" t="s">
        <v>84</v>
      </c>
      <c r="J27" s="6" t="s">
        <v>85</v>
      </c>
      <c r="K27" s="6" t="s">
        <v>60</v>
      </c>
      <c r="L27" s="6" t="s">
        <v>92</v>
      </c>
      <c r="M27" s="6" t="s">
        <v>45</v>
      </c>
      <c r="N27" s="6" t="s">
        <v>45</v>
      </c>
      <c r="O27" s="6" t="s">
        <v>23</v>
      </c>
      <c r="P27" s="6" t="s">
        <v>84</v>
      </c>
      <c r="Q27" s="6" t="s">
        <v>86</v>
      </c>
      <c r="R27" s="6">
        <v>740</v>
      </c>
      <c r="S27" s="6" t="s">
        <v>39</v>
      </c>
      <c r="T27" s="6">
        <v>900</v>
      </c>
      <c r="U27" s="6" t="s">
        <v>45</v>
      </c>
      <c r="V27" s="6" t="s">
        <v>84</v>
      </c>
      <c r="W27" s="6" t="s">
        <v>86</v>
      </c>
      <c r="X27" s="6" t="s">
        <v>60</v>
      </c>
      <c r="Y27" s="6" t="s">
        <v>141</v>
      </c>
      <c r="Z27" s="6"/>
      <c r="AA27" s="6" t="s">
        <v>65</v>
      </c>
      <c r="AB27" s="15" t="s">
        <v>88</v>
      </c>
      <c r="AC27" s="16" t="s">
        <v>45</v>
      </c>
      <c r="AD27" s="16" t="s">
        <v>23</v>
      </c>
      <c r="AE27" s="16" t="s">
        <v>50</v>
      </c>
      <c r="AF27" s="16" t="s">
        <v>50</v>
      </c>
      <c r="AG27" s="17" t="s">
        <v>60</v>
      </c>
      <c r="AH27" s="17" t="s">
        <v>62</v>
      </c>
      <c r="AI27" s="17" t="s">
        <v>45</v>
      </c>
      <c r="AJ27" s="17" t="s">
        <v>45</v>
      </c>
      <c r="AK27" s="17" t="s">
        <v>23</v>
      </c>
      <c r="AL27" s="106" t="s">
        <v>1674</v>
      </c>
      <c r="AM27" s="107"/>
      <c r="AN27" s="107"/>
      <c r="AO27" s="107"/>
      <c r="AP27" s="108"/>
    </row>
    <row r="28" spans="1:42" s="14" customFormat="1" ht="39" customHeight="1" x14ac:dyDescent="0.4">
      <c r="A28" s="11">
        <v>21</v>
      </c>
      <c r="B28" s="11">
        <v>405</v>
      </c>
      <c r="C28" s="11" t="s">
        <v>79</v>
      </c>
      <c r="D28" s="13" t="s">
        <v>1282</v>
      </c>
      <c r="E28" s="33" t="s">
        <v>18</v>
      </c>
      <c r="F28" s="11" t="s">
        <v>1283</v>
      </c>
      <c r="G28" s="11" t="s">
        <v>43</v>
      </c>
      <c r="H28" s="11" t="s">
        <v>52</v>
      </c>
      <c r="I28" s="11" t="s">
        <v>84</v>
      </c>
      <c r="J28" s="11" t="s">
        <v>85</v>
      </c>
      <c r="K28" s="11" t="s">
        <v>60</v>
      </c>
      <c r="L28" s="11" t="s">
        <v>92</v>
      </c>
      <c r="M28" s="11" t="s">
        <v>45</v>
      </c>
      <c r="N28" s="11" t="s">
        <v>45</v>
      </c>
      <c r="O28" s="11" t="s">
        <v>23</v>
      </c>
      <c r="P28" s="11" t="s">
        <v>84</v>
      </c>
      <c r="Q28" s="11" t="s">
        <v>1284</v>
      </c>
      <c r="R28" s="11">
        <v>740</v>
      </c>
      <c r="S28" s="40" t="s">
        <v>39</v>
      </c>
      <c r="T28" s="11">
        <v>900</v>
      </c>
      <c r="U28" s="11" t="s">
        <v>45</v>
      </c>
      <c r="V28" s="11" t="s">
        <v>84</v>
      </c>
      <c r="W28" s="11" t="s">
        <v>1284</v>
      </c>
      <c r="X28" s="40" t="s">
        <v>60</v>
      </c>
      <c r="Y28" s="40" t="s">
        <v>87</v>
      </c>
      <c r="Z28" s="40" t="s">
        <v>1285</v>
      </c>
      <c r="AA28" s="40" t="s">
        <v>65</v>
      </c>
      <c r="AB28" s="12" t="s">
        <v>88</v>
      </c>
      <c r="AC28" s="11" t="s">
        <v>45</v>
      </c>
      <c r="AD28" s="11" t="s">
        <v>23</v>
      </c>
      <c r="AE28" s="11" t="s">
        <v>50</v>
      </c>
      <c r="AF28" s="11" t="s">
        <v>50</v>
      </c>
      <c r="AG28" s="13" t="s">
        <v>60</v>
      </c>
      <c r="AH28" s="13" t="s">
        <v>62</v>
      </c>
      <c r="AI28" s="13" t="s">
        <v>45</v>
      </c>
      <c r="AJ28" s="13" t="s">
        <v>45</v>
      </c>
      <c r="AK28" s="13" t="s">
        <v>23</v>
      </c>
      <c r="AL28" s="133" t="s">
        <v>1286</v>
      </c>
      <c r="AM28" s="134"/>
      <c r="AN28" s="134"/>
      <c r="AO28" s="134"/>
      <c r="AP28" s="135"/>
    </row>
    <row r="29" spans="1:42" s="10" customFormat="1" ht="36.75" customHeight="1" x14ac:dyDescent="0.4">
      <c r="A29" s="6">
        <v>21</v>
      </c>
      <c r="B29" s="6">
        <v>505</v>
      </c>
      <c r="C29" s="6" t="s">
        <v>79</v>
      </c>
      <c r="D29" s="18" t="s">
        <v>1654</v>
      </c>
      <c r="E29" s="34" t="s">
        <v>18</v>
      </c>
      <c r="F29" s="46" t="s">
        <v>1655</v>
      </c>
      <c r="G29" s="6" t="s">
        <v>43</v>
      </c>
      <c r="H29" s="6" t="s">
        <v>52</v>
      </c>
      <c r="I29" s="6" t="s">
        <v>84</v>
      </c>
      <c r="J29" s="6" t="s">
        <v>85</v>
      </c>
      <c r="K29" s="6" t="s">
        <v>60</v>
      </c>
      <c r="L29" s="6" t="s">
        <v>92</v>
      </c>
      <c r="M29" s="6" t="s">
        <v>45</v>
      </c>
      <c r="N29" s="6" t="s">
        <v>45</v>
      </c>
      <c r="O29" s="6" t="s">
        <v>45</v>
      </c>
      <c r="P29" s="6" t="s">
        <v>84</v>
      </c>
      <c r="Q29" s="6" t="s">
        <v>86</v>
      </c>
      <c r="R29" s="6">
        <v>750</v>
      </c>
      <c r="S29" s="6" t="s">
        <v>39</v>
      </c>
      <c r="T29" s="6">
        <v>900</v>
      </c>
      <c r="U29" s="6" t="s">
        <v>45</v>
      </c>
      <c r="V29" s="6" t="s">
        <v>84</v>
      </c>
      <c r="W29" s="6" t="s">
        <v>86</v>
      </c>
      <c r="X29" s="6" t="s">
        <v>60</v>
      </c>
      <c r="Y29" s="6" t="s">
        <v>87</v>
      </c>
      <c r="Z29" s="6" t="s">
        <v>1656</v>
      </c>
      <c r="AA29" s="6" t="s">
        <v>65</v>
      </c>
      <c r="AB29" s="15" t="s">
        <v>88</v>
      </c>
      <c r="AC29" s="16" t="s">
        <v>23</v>
      </c>
      <c r="AD29" s="16" t="s">
        <v>23</v>
      </c>
      <c r="AE29" s="16" t="s">
        <v>50</v>
      </c>
      <c r="AF29" s="16" t="s">
        <v>50</v>
      </c>
      <c r="AG29" s="17" t="s">
        <v>60</v>
      </c>
      <c r="AH29" s="17" t="s">
        <v>62</v>
      </c>
      <c r="AI29" s="17" t="s">
        <v>45</v>
      </c>
      <c r="AJ29" s="17" t="s">
        <v>45</v>
      </c>
      <c r="AK29" s="17" t="s">
        <v>45</v>
      </c>
      <c r="AL29" s="78" t="s">
        <v>1657</v>
      </c>
      <c r="AM29" s="79"/>
      <c r="AN29" s="79"/>
      <c r="AO29" s="79"/>
      <c r="AP29" s="80"/>
    </row>
    <row r="30" spans="1:42" s="14" customFormat="1" ht="15" customHeight="1" x14ac:dyDescent="0.4">
      <c r="A30" s="11">
        <v>21</v>
      </c>
      <c r="B30" s="11">
        <v>106</v>
      </c>
      <c r="C30" s="11" t="s">
        <v>79</v>
      </c>
      <c r="D30" s="13" t="s">
        <v>1739</v>
      </c>
      <c r="E30" s="33" t="s">
        <v>18</v>
      </c>
      <c r="F30" s="11" t="s">
        <v>1740</v>
      </c>
      <c r="G30" s="11" t="s">
        <v>43</v>
      </c>
      <c r="H30" s="11" t="s">
        <v>52</v>
      </c>
      <c r="I30" s="11" t="s">
        <v>84</v>
      </c>
      <c r="J30" s="11" t="s">
        <v>85</v>
      </c>
      <c r="K30" s="11" t="s">
        <v>60</v>
      </c>
      <c r="L30" s="11" t="s">
        <v>92</v>
      </c>
      <c r="M30" s="11" t="s">
        <v>45</v>
      </c>
      <c r="N30" s="11" t="s">
        <v>45</v>
      </c>
      <c r="O30" s="11" t="s">
        <v>45</v>
      </c>
      <c r="P30" s="11" t="s">
        <v>84</v>
      </c>
      <c r="Q30" s="11" t="s">
        <v>86</v>
      </c>
      <c r="R30" s="11">
        <v>750</v>
      </c>
      <c r="S30" s="40" t="s">
        <v>39</v>
      </c>
      <c r="T30" s="11">
        <v>900</v>
      </c>
      <c r="U30" s="11" t="s">
        <v>45</v>
      </c>
      <c r="V30" s="11" t="s">
        <v>84</v>
      </c>
      <c r="W30" s="11" t="s">
        <v>86</v>
      </c>
      <c r="X30" s="40" t="s">
        <v>60</v>
      </c>
      <c r="Y30" s="40" t="s">
        <v>141</v>
      </c>
      <c r="Z30" s="40"/>
      <c r="AA30" s="40" t="s">
        <v>65</v>
      </c>
      <c r="AB30" s="12" t="s">
        <v>88</v>
      </c>
      <c r="AC30" s="11" t="s">
        <v>45</v>
      </c>
      <c r="AD30" s="11" t="s">
        <v>45</v>
      </c>
      <c r="AE30" s="11" t="s">
        <v>50</v>
      </c>
      <c r="AF30" s="11" t="s">
        <v>50</v>
      </c>
      <c r="AG30" s="13" t="s">
        <v>60</v>
      </c>
      <c r="AH30" s="13" t="s">
        <v>62</v>
      </c>
      <c r="AI30" s="13" t="s">
        <v>45</v>
      </c>
      <c r="AJ30" s="13" t="s">
        <v>45</v>
      </c>
      <c r="AK30" s="13" t="s">
        <v>45</v>
      </c>
      <c r="AL30" s="94" t="s">
        <v>1741</v>
      </c>
      <c r="AM30" s="95"/>
      <c r="AN30" s="95"/>
      <c r="AO30" s="95"/>
      <c r="AP30" s="96"/>
    </row>
    <row r="31" spans="1:42" s="10" customFormat="1" ht="15" customHeight="1" x14ac:dyDescent="0.4">
      <c r="A31" s="6">
        <v>21</v>
      </c>
      <c r="B31" s="6">
        <v>206</v>
      </c>
      <c r="C31" s="6" t="s">
        <v>79</v>
      </c>
      <c r="D31" s="18" t="s">
        <v>1742</v>
      </c>
      <c r="E31" s="34" t="s">
        <v>18</v>
      </c>
      <c r="F31" s="6" t="s">
        <v>1743</v>
      </c>
      <c r="G31" s="6" t="s">
        <v>43</v>
      </c>
      <c r="H31" s="6" t="s">
        <v>52</v>
      </c>
      <c r="I31" s="6" t="s">
        <v>84</v>
      </c>
      <c r="J31" s="6" t="s">
        <v>85</v>
      </c>
      <c r="K31" s="6" t="s">
        <v>60</v>
      </c>
      <c r="L31" s="6" t="s">
        <v>92</v>
      </c>
      <c r="M31" s="6" t="s">
        <v>45</v>
      </c>
      <c r="N31" s="6" t="s">
        <v>45</v>
      </c>
      <c r="O31" s="6" t="s">
        <v>23</v>
      </c>
      <c r="P31" s="6" t="s">
        <v>84</v>
      </c>
      <c r="Q31" s="6" t="s">
        <v>86</v>
      </c>
      <c r="R31" s="6">
        <v>750</v>
      </c>
      <c r="S31" s="6" t="s">
        <v>39</v>
      </c>
      <c r="T31" s="6">
        <v>900</v>
      </c>
      <c r="U31" s="6" t="s">
        <v>45</v>
      </c>
      <c r="V31" s="6" t="s">
        <v>84</v>
      </c>
      <c r="W31" s="6" t="s">
        <v>86</v>
      </c>
      <c r="X31" s="6" t="s">
        <v>60</v>
      </c>
      <c r="Y31" s="6" t="s">
        <v>87</v>
      </c>
      <c r="Z31" s="6" t="s">
        <v>1747</v>
      </c>
      <c r="AA31" s="6" t="s">
        <v>65</v>
      </c>
      <c r="AB31" s="15" t="s">
        <v>88</v>
      </c>
      <c r="AC31" s="16" t="s">
        <v>45</v>
      </c>
      <c r="AD31" s="16" t="s">
        <v>45</v>
      </c>
      <c r="AE31" s="16" t="s">
        <v>50</v>
      </c>
      <c r="AF31" s="16" t="s">
        <v>50</v>
      </c>
      <c r="AG31" s="17" t="s">
        <v>19</v>
      </c>
      <c r="AH31" s="17" t="s">
        <v>62</v>
      </c>
      <c r="AI31" s="17" t="s">
        <v>45</v>
      </c>
      <c r="AJ31" s="17" t="s">
        <v>45</v>
      </c>
      <c r="AK31" s="17" t="s">
        <v>45</v>
      </c>
      <c r="AL31" s="78" t="s">
        <v>1744</v>
      </c>
      <c r="AM31" s="79"/>
      <c r="AN31" s="79"/>
      <c r="AO31" s="79"/>
      <c r="AP31" s="80"/>
    </row>
    <row r="32" spans="1:42" s="14" customFormat="1" ht="38.25" customHeight="1" x14ac:dyDescent="0.4">
      <c r="A32" s="11">
        <v>21</v>
      </c>
      <c r="B32" s="11">
        <v>306</v>
      </c>
      <c r="C32" s="11" t="s">
        <v>79</v>
      </c>
      <c r="D32" s="13" t="s">
        <v>1745</v>
      </c>
      <c r="E32" s="33" t="s">
        <v>18</v>
      </c>
      <c r="F32" s="11" t="s">
        <v>1746</v>
      </c>
      <c r="G32" s="11" t="s">
        <v>43</v>
      </c>
      <c r="H32" s="11" t="s">
        <v>52</v>
      </c>
      <c r="I32" s="11" t="s">
        <v>84</v>
      </c>
      <c r="J32" s="11" t="s">
        <v>85</v>
      </c>
      <c r="K32" s="11" t="s">
        <v>60</v>
      </c>
      <c r="L32" s="11" t="s">
        <v>92</v>
      </c>
      <c r="M32" s="11" t="s">
        <v>45</v>
      </c>
      <c r="N32" s="11" t="s">
        <v>45</v>
      </c>
      <c r="O32" s="11" t="s">
        <v>45</v>
      </c>
      <c r="P32" s="11" t="s">
        <v>84</v>
      </c>
      <c r="Q32" s="11" t="s">
        <v>86</v>
      </c>
      <c r="R32" s="11">
        <v>500</v>
      </c>
      <c r="S32" s="40" t="s">
        <v>39</v>
      </c>
      <c r="T32" s="11">
        <v>900</v>
      </c>
      <c r="U32" s="11" t="s">
        <v>45</v>
      </c>
      <c r="V32" s="11" t="s">
        <v>84</v>
      </c>
      <c r="W32" s="11" t="s">
        <v>86</v>
      </c>
      <c r="X32" s="40" t="s">
        <v>60</v>
      </c>
      <c r="Y32" s="40" t="s">
        <v>87</v>
      </c>
      <c r="Z32" s="40" t="s">
        <v>1748</v>
      </c>
      <c r="AA32" s="40" t="s">
        <v>65</v>
      </c>
      <c r="AB32" s="12" t="s">
        <v>88</v>
      </c>
      <c r="AC32" s="11" t="s">
        <v>45</v>
      </c>
      <c r="AD32" s="11" t="s">
        <v>45</v>
      </c>
      <c r="AE32" s="11" t="s">
        <v>50</v>
      </c>
      <c r="AF32" s="11" t="s">
        <v>50</v>
      </c>
      <c r="AG32" s="13" t="s">
        <v>60</v>
      </c>
      <c r="AH32" s="13" t="s">
        <v>62</v>
      </c>
      <c r="AI32" s="13" t="s">
        <v>45</v>
      </c>
      <c r="AJ32" s="13" t="s">
        <v>45</v>
      </c>
      <c r="AK32" s="13" t="s">
        <v>45</v>
      </c>
      <c r="AL32" s="133" t="s">
        <v>1749</v>
      </c>
      <c r="AM32" s="134"/>
      <c r="AN32" s="134"/>
      <c r="AO32" s="134"/>
      <c r="AP32" s="135"/>
    </row>
    <row r="33" spans="1:43" s="10" customFormat="1" ht="44.25" customHeight="1" x14ac:dyDescent="0.4">
      <c r="A33" s="6">
        <v>21</v>
      </c>
      <c r="B33" s="6">
        <v>406</v>
      </c>
      <c r="C33" s="6" t="s">
        <v>79</v>
      </c>
      <c r="D33" s="18" t="s">
        <v>1750</v>
      </c>
      <c r="E33" s="34" t="s">
        <v>18</v>
      </c>
      <c r="F33" s="6" t="s">
        <v>1751</v>
      </c>
      <c r="G33" s="6" t="s">
        <v>43</v>
      </c>
      <c r="H33" s="6" t="s">
        <v>52</v>
      </c>
      <c r="I33" s="6" t="s">
        <v>84</v>
      </c>
      <c r="J33" s="6" t="s">
        <v>85</v>
      </c>
      <c r="K33" s="6" t="s">
        <v>19</v>
      </c>
      <c r="L33" s="6" t="s">
        <v>92</v>
      </c>
      <c r="M33" s="6" t="s">
        <v>45</v>
      </c>
      <c r="N33" s="6" t="s">
        <v>45</v>
      </c>
      <c r="O33" s="6" t="s">
        <v>23</v>
      </c>
      <c r="P33" s="6" t="s">
        <v>84</v>
      </c>
      <c r="Q33" s="6" t="s">
        <v>86</v>
      </c>
      <c r="R33" s="6">
        <v>600</v>
      </c>
      <c r="S33" s="6" t="s">
        <v>39</v>
      </c>
      <c r="T33" s="6">
        <v>900</v>
      </c>
      <c r="U33" s="6" t="s">
        <v>45</v>
      </c>
      <c r="V33" s="6" t="s">
        <v>84</v>
      </c>
      <c r="W33" s="6" t="s">
        <v>86</v>
      </c>
      <c r="X33" s="6" t="s">
        <v>60</v>
      </c>
      <c r="Y33" s="6" t="s">
        <v>87</v>
      </c>
      <c r="Z33" s="6" t="s">
        <v>1752</v>
      </c>
      <c r="AA33" s="6" t="s">
        <v>65</v>
      </c>
      <c r="AB33" s="15" t="s">
        <v>88</v>
      </c>
      <c r="AC33" s="16" t="s">
        <v>45</v>
      </c>
      <c r="AD33" s="16" t="s">
        <v>23</v>
      </c>
      <c r="AE33" s="16" t="s">
        <v>50</v>
      </c>
      <c r="AF33" s="16" t="s">
        <v>50</v>
      </c>
      <c r="AG33" s="17" t="s">
        <v>60</v>
      </c>
      <c r="AH33" s="17" t="s">
        <v>62</v>
      </c>
      <c r="AI33" s="17" t="s">
        <v>45</v>
      </c>
      <c r="AJ33" s="17" t="s">
        <v>45</v>
      </c>
      <c r="AK33" s="17" t="s">
        <v>45</v>
      </c>
      <c r="AL33" s="106" t="s">
        <v>1753</v>
      </c>
      <c r="AM33" s="107"/>
      <c r="AN33" s="107"/>
      <c r="AO33" s="107"/>
      <c r="AP33" s="108"/>
    </row>
    <row r="34" spans="1:43" s="14" customFormat="1" ht="32.25" customHeight="1" x14ac:dyDescent="0.4">
      <c r="A34" s="11">
        <v>21</v>
      </c>
      <c r="B34" s="11">
        <v>506</v>
      </c>
      <c r="C34" s="11" t="s">
        <v>79</v>
      </c>
      <c r="D34" s="13" t="s">
        <v>2029</v>
      </c>
      <c r="E34" s="33" t="s">
        <v>18</v>
      </c>
      <c r="F34" s="11" t="s">
        <v>2030</v>
      </c>
      <c r="G34" s="11" t="s">
        <v>43</v>
      </c>
      <c r="H34" s="11" t="s">
        <v>52</v>
      </c>
      <c r="I34" s="11" t="s">
        <v>84</v>
      </c>
      <c r="J34" s="11" t="s">
        <v>85</v>
      </c>
      <c r="K34" s="11" t="s">
        <v>489</v>
      </c>
      <c r="L34" s="11" t="s">
        <v>92</v>
      </c>
      <c r="M34" s="11" t="s">
        <v>45</v>
      </c>
      <c r="N34" s="11" t="s">
        <v>45</v>
      </c>
      <c r="O34" s="11" t="s">
        <v>23</v>
      </c>
      <c r="P34" s="11" t="s">
        <v>84</v>
      </c>
      <c r="Q34" s="11" t="s">
        <v>86</v>
      </c>
      <c r="R34" s="11">
        <v>750</v>
      </c>
      <c r="S34" s="40" t="s">
        <v>39</v>
      </c>
      <c r="T34" s="11">
        <v>900</v>
      </c>
      <c r="U34" s="11" t="s">
        <v>23</v>
      </c>
      <c r="V34" s="11" t="s">
        <v>84</v>
      </c>
      <c r="W34" s="11" t="s">
        <v>86</v>
      </c>
      <c r="X34" s="40" t="s">
        <v>60</v>
      </c>
      <c r="Y34" s="40" t="s">
        <v>87</v>
      </c>
      <c r="Z34" s="40" t="s">
        <v>2031</v>
      </c>
      <c r="AA34" s="40" t="s">
        <v>65</v>
      </c>
      <c r="AB34" s="12" t="s">
        <v>88</v>
      </c>
      <c r="AC34" s="11" t="s">
        <v>23</v>
      </c>
      <c r="AD34" s="11" t="s">
        <v>23</v>
      </c>
      <c r="AE34" s="11" t="s">
        <v>50</v>
      </c>
      <c r="AF34" s="11" t="s">
        <v>50</v>
      </c>
      <c r="AG34" s="13" t="s">
        <v>60</v>
      </c>
      <c r="AH34" s="13" t="s">
        <v>62</v>
      </c>
      <c r="AI34" s="13" t="s">
        <v>45</v>
      </c>
      <c r="AJ34" s="13" t="s">
        <v>45</v>
      </c>
      <c r="AK34" s="13" t="s">
        <v>23</v>
      </c>
      <c r="AL34" s="133" t="s">
        <v>2032</v>
      </c>
      <c r="AM34" s="134"/>
      <c r="AN34" s="134"/>
      <c r="AO34" s="134"/>
      <c r="AP34" s="135"/>
    </row>
    <row r="35" spans="1:43" s="2" customFormat="1" ht="11.25" customHeight="1" x14ac:dyDescent="0.4">
      <c r="A35" s="118" t="s">
        <v>12</v>
      </c>
      <c r="B35" s="119"/>
      <c r="C35" s="119"/>
      <c r="D35" s="119"/>
      <c r="E35" s="120"/>
      <c r="F35" s="127">
        <f>COUNTA(D5:D34)</f>
        <v>30</v>
      </c>
      <c r="G35" s="20" t="str">
        <f>"所有→"&amp;COUNTIF(G5:G34,"所有")&amp;"戸"</f>
        <v>所有→29戸</v>
      </c>
      <c r="H35" s="20" t="str">
        <f>"未更新→"&amp;COUNTIF(H5:H34,"未更新")&amp;"戸"</f>
        <v>未更新→30戸</v>
      </c>
      <c r="I35" s="20" t="str">
        <f>"クロス→"&amp;COUNTIF(I5:I34,"クロス")&amp;"戸"</f>
        <v>クロス→30戸</v>
      </c>
      <c r="J35" s="20" t="str">
        <f>"ベニヤ→"&amp;COUNTIF(J5:J34,"ベニヤ")&amp;"戸"</f>
        <v>ベニヤ→30戸</v>
      </c>
      <c r="K35" s="20" t="str">
        <f>"既存→"&amp;COUNTIF(K5:K34,"既存")&amp;"戸"</f>
        <v>既存→3戸</v>
      </c>
      <c r="L35" s="20" t="str">
        <f>"普通便座→"&amp;COUNTIF(L5:L34,"普通便座")&amp;"戸"</f>
        <v>普通便座→4戸</v>
      </c>
      <c r="M35" s="20" t="str">
        <f>"有→"&amp;COUNTIF(M5:M34,"有")&amp;"戸"</f>
        <v>有→1戸</v>
      </c>
      <c r="N35" s="20" t="str">
        <f>"有→"&amp;COUNTIF(N5:N34,"有")&amp;"戸"</f>
        <v>有→2戸</v>
      </c>
      <c r="O35" s="20" t="str">
        <f>"有→"&amp;COUNTIF(O5:O34,"有")&amp;"戸"</f>
        <v>有→21戸</v>
      </c>
      <c r="P35" s="20" t="str">
        <f>"クロス→"&amp;COUNTIF(P5:P34,"クロス")&amp;"戸"</f>
        <v>クロス→30戸</v>
      </c>
      <c r="Q35" s="20" t="str">
        <f>"CF→"&amp;COUNTIF(Q5:Q34,"CF")&amp;"戸"</f>
        <v>CF→29戸</v>
      </c>
      <c r="R35" s="20" t="str">
        <f>"1000→"&amp;COUNTIF(R5:R34,"1000")&amp;"戸"</f>
        <v>1000→0戸</v>
      </c>
      <c r="S35" s="20" t="str">
        <f>"可→"&amp;COUNTIF(S5:S34,"可")&amp;"戸"</f>
        <v>可→30戸</v>
      </c>
      <c r="T35" s="20" t="str">
        <f>"900→"&amp;COUNTIF(T5:T34,"900")&amp;"戸"</f>
        <v>900→28戸</v>
      </c>
      <c r="U35" s="20" t="str">
        <f>"有→"&amp;COUNTIF(U5:U34,"有")&amp;"戸"</f>
        <v>有→1戸</v>
      </c>
      <c r="V35" s="20" t="str">
        <f>"クロス→"&amp;COUNTIF(V5:V34,"クロス")&amp;"戸"</f>
        <v>クロス→30戸</v>
      </c>
      <c r="W35" s="20" t="str">
        <f>"CF→"&amp;COUNTIF(W5:W34,"CF")&amp;"戸"</f>
        <v>CF→29戸</v>
      </c>
      <c r="X35" s="20" t="str">
        <f>"既存→"&amp;COUNTIF(X5:X34,"既存")&amp;"戸"</f>
        <v>既存→3戸</v>
      </c>
      <c r="Y35" s="20" t="str">
        <f>"TOTO→"&amp;COUNTIF(Y5:Y34,"TOTO")&amp;"戸"</f>
        <v>TOTO→15戸</v>
      </c>
      <c r="Z35" s="130">
        <f>COUNTA(Z5:Z34)</f>
        <v>15</v>
      </c>
      <c r="AA35" s="20" t="str">
        <f>"可→"&amp;COUNTIF(AA5:AA34,"可")&amp;"戸"</f>
        <v>可→0戸</v>
      </c>
      <c r="AB35" s="20" t="str">
        <f>"既存→"&amp;COUNTIF(AB5:AB34,"既存")&amp;"戸"</f>
        <v>既存→6戸</v>
      </c>
      <c r="AC35" s="130">
        <f>COUNTIF(AC5:AC34,"有")</f>
        <v>9</v>
      </c>
      <c r="AD35" s="130">
        <f>COUNTIF(AD5:AD34,"有")</f>
        <v>13</v>
      </c>
      <c r="AE35" s="20" t="str">
        <f>"ポリ板→"&amp;COUNTIF(AE5:AE34,"ポリ板")&amp;"戸"</f>
        <v>ポリ板→22戸</v>
      </c>
      <c r="AF35" s="20" t="str">
        <f>"ポリ板→"&amp;COUNTIF(AF5:AF34,"ポリ板")&amp;"戸"</f>
        <v>ポリ板→27戸</v>
      </c>
      <c r="AG35" s="20" t="str">
        <f>"既存→"&amp;COUNTIF(AG5:AG34,"既存")&amp;"戸"</f>
        <v>既存→2戸</v>
      </c>
      <c r="AH35" s="20" t="str">
        <f>"洗面所→"&amp;COUNTIF(AH5:AH34,"洗面所")&amp;"戸"</f>
        <v>洗面所→30戸</v>
      </c>
      <c r="AI35" s="130">
        <f>COUNTIF(AI5:AI34,"有")</f>
        <v>6</v>
      </c>
      <c r="AJ35" s="130">
        <f>COUNTIF(AJ5:AJ34,"有")</f>
        <v>2</v>
      </c>
      <c r="AK35" s="130">
        <f>COUNTIF(AK5:AK34,"有")</f>
        <v>8</v>
      </c>
      <c r="AL35" s="109"/>
      <c r="AM35" s="110"/>
      <c r="AN35" s="110"/>
      <c r="AO35" s="110"/>
      <c r="AP35" s="111"/>
      <c r="AQ35" s="44"/>
    </row>
    <row r="36" spans="1:43" s="2" customFormat="1" ht="11.25" customHeight="1" x14ac:dyDescent="0.4">
      <c r="A36" s="121"/>
      <c r="B36" s="122"/>
      <c r="C36" s="122"/>
      <c r="D36" s="122"/>
      <c r="E36" s="123"/>
      <c r="F36" s="128"/>
      <c r="G36" s="35" t="str">
        <f>"賃貸→"&amp;COUNTIF(G5:G34,"賃貸")&amp;"戸"</f>
        <v>賃貸→0戸</v>
      </c>
      <c r="H36" s="35" t="str">
        <f>"更新済み→"&amp;COUNTIF(H5:H34,"更新済み")&amp;"戸"</f>
        <v>更新済み→0戸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暖房便座→1戸</v>
      </c>
      <c r="M36" s="35" t="str">
        <f>"無→"&amp;COUNTIF(M5:M34,"無")&amp;"戸"</f>
        <v>無→29戸</v>
      </c>
      <c r="N36" s="35" t="str">
        <f>"無→"&amp;COUNTIF(N5:N34,"無")&amp;"戸"</f>
        <v>無→28戸</v>
      </c>
      <c r="O36" s="35" t="str">
        <f>"無→"&amp;COUNTIF(O5:O34,"無")&amp;"戸"</f>
        <v>無→9戸</v>
      </c>
      <c r="P36" s="35" t="str">
        <f>"珪藻土→"&amp;COUNTIF(P5:P34,"珪藻土")&amp;"戸"</f>
        <v>珪藻土→0戸</v>
      </c>
      <c r="Q36" s="35" t="str">
        <f>"塩ビタイル→"&amp;COUNTIF(Q5:Q34,"塩ビタイル")&amp;"戸"</f>
        <v>塩ビタイル→0戸</v>
      </c>
      <c r="R36" s="35" t="str">
        <f>"900→"&amp;COUNTIF(R5:R34,"900")&amp;"戸"</f>
        <v>900→0戸</v>
      </c>
      <c r="S36" s="35" t="str">
        <f>"不可→"&amp;COUNTIF(S5:S34,"不可")&amp;"戸"</f>
        <v>不可→0戸</v>
      </c>
      <c r="T36" s="35" t="str">
        <f>"800→"&amp;COUNTIF(T5:T34,"800")&amp;"戸"</f>
        <v>800→0戸</v>
      </c>
      <c r="U36" s="35" t="str">
        <f>"無→"&amp;COUNTIF(U5:U34,"無")&amp;"戸"</f>
        <v>無→29戸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リフォーム済み→27戸</v>
      </c>
      <c r="Y36" s="35" t="str">
        <f>"LIXIL→"&amp;COUNTIF(Y5:Y34,"LIXIL")&amp;"戸"</f>
        <v>LIXIL→0戸</v>
      </c>
      <c r="Z36" s="131"/>
      <c r="AA36" s="35" t="str">
        <f>"不可→"&amp;COUNTIF(AA5:AA34,"不可")&amp;"戸"</f>
        <v>不可→29戸</v>
      </c>
      <c r="AB36" s="36" t="str">
        <f>"システム→"&amp;COUNTIF(AB5:AB34,"システム")&amp;"戸"</f>
        <v>システム→24戸</v>
      </c>
      <c r="AC36" s="131"/>
      <c r="AD36" s="131"/>
      <c r="AE36" s="35" t="str">
        <f>"SUS→"&amp;COUNTIF(AE5:AE34,"SUS")&amp;"戸"</f>
        <v>SUS→6戸</v>
      </c>
      <c r="AF36" s="35" t="str">
        <f>"SUS→"&amp;COUNTIF(AF5:AF34,"SUS")&amp;"戸"</f>
        <v>SUS→1戸</v>
      </c>
      <c r="AG36" s="35" t="str">
        <f>"リフォーム済み→"&amp;COUNTIF(AG5:AG34,"リフォーム済み")&amp;"戸"</f>
        <v>リフォーム済み→28戸</v>
      </c>
      <c r="AH36" s="35" t="str">
        <f>"ベランダ→"&amp;COUNTIF(AH5:AH34,"ベランダ")&amp;"戸"</f>
        <v>ベランダ→0戸</v>
      </c>
      <c r="AI36" s="131"/>
      <c r="AJ36" s="131"/>
      <c r="AK36" s="131"/>
      <c r="AL36" s="112"/>
      <c r="AM36" s="113"/>
      <c r="AN36" s="113"/>
      <c r="AO36" s="113"/>
      <c r="AP36" s="114"/>
      <c r="AQ36" s="44"/>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レストパル→1戸</v>
      </c>
      <c r="L37" s="35" t="str">
        <f>"WL→"&amp;COUNTIF(L5:L34,"WL")&amp;"戸"</f>
        <v>WL→25戸</v>
      </c>
      <c r="M37" s="23"/>
      <c r="N37" s="23"/>
      <c r="O37" s="23"/>
      <c r="P37" s="35" t="str">
        <f>"塗装→"&amp;COUNTIF(P5:P34,"塗装")&amp;"戸"</f>
        <v>塗装→0戸</v>
      </c>
      <c r="Q37" s="35" t="str">
        <f>"フローリング→"&amp;COUNTIF(Q5:Q34,"フローリング")&amp;"戸"</f>
        <v>フローリング→0戸</v>
      </c>
      <c r="R37" s="35" t="str">
        <f>"750→"&amp;COUNTIF(R5:R34,"750")&amp;"戸"</f>
        <v>750→25戸</v>
      </c>
      <c r="S37" s="35"/>
      <c r="T37" s="35" t="str">
        <f>"740→"&amp;COUNTIF(T5:T34,"740")&amp;"戸"</f>
        <v>740→1戸</v>
      </c>
      <c r="U37" s="22"/>
      <c r="V37" s="35" t="str">
        <f>"塗装→"&amp;COUNTIF(V5:V34,"塗装")&amp;"戸"</f>
        <v>塗装→0戸</v>
      </c>
      <c r="W37" s="35" t="str">
        <f>"フローリング→"&amp;COUNTIF(W5:W34,"フローリング")&amp;"戸"</f>
        <v>フローリング→0戸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ホーロー→2戸</v>
      </c>
      <c r="AF37" s="35" t="str">
        <f>"ホーロー→"&amp;COUNTIF(AF5:AF34,"ホーロー")&amp;"戸"</f>
        <v>ホーロー→2戸</v>
      </c>
      <c r="AG37" s="35"/>
      <c r="AH37" s="35"/>
      <c r="AI37" s="131"/>
      <c r="AJ37" s="131"/>
      <c r="AK37" s="131"/>
      <c r="AL37" s="112"/>
      <c r="AM37" s="113"/>
      <c r="AN37" s="113"/>
      <c r="AO37" s="113"/>
      <c r="AP37" s="114"/>
      <c r="AQ37" s="44"/>
    </row>
    <row r="38" spans="1:43" s="2" customFormat="1" ht="11.25" customHeight="1" x14ac:dyDescent="0.4">
      <c r="A38" s="124"/>
      <c r="B38" s="125"/>
      <c r="C38" s="125"/>
      <c r="D38" s="125"/>
      <c r="E38" s="126"/>
      <c r="F38" s="129"/>
      <c r="G38" s="35" t="str">
        <f>"空家→"&amp;COUNTIF(G5:G34,"空家")&amp;"戸"</f>
        <v>空家→1戸</v>
      </c>
      <c r="H38" s="39"/>
      <c r="I38" s="28"/>
      <c r="J38" s="27"/>
      <c r="K38" s="35" t="str">
        <f>"一体型→"&amp;COUNTIF(K5:K34,"一体型")&amp;"戸"</f>
        <v>一体型→1戸</v>
      </c>
      <c r="L38" s="28"/>
      <c r="M38" s="28"/>
      <c r="N38" s="28"/>
      <c r="O38" s="28"/>
      <c r="P38" s="28"/>
      <c r="Q38" s="28"/>
      <c r="R38" s="35" t="str">
        <f>"740→"&amp;COUNTIF(R5:R34,"740")&amp;"戸"</f>
        <v>740→3戸</v>
      </c>
      <c r="S38" s="27"/>
      <c r="T38" s="35" t="str">
        <f>"640→"&amp;COUNTIF(T5:T34,"640")&amp;"戸"</f>
        <v>640→1戸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4"/>
    </row>
    <row r="39" spans="1:43" s="2" customFormat="1" x14ac:dyDescent="0.4">
      <c r="A39" s="31"/>
      <c r="AG39" s="37"/>
      <c r="AH39" s="37"/>
      <c r="AO39" s="1"/>
    </row>
  </sheetData>
  <autoFilter ref="AI3:AK4" xr:uid="{4AC59ABB-A707-4FAC-BA5B-A6A7A115A795}"/>
  <mergeCells count="57">
    <mergeCell ref="AD35:AD38"/>
    <mergeCell ref="AL26:AP26"/>
    <mergeCell ref="AL27:AP27"/>
    <mergeCell ref="A35:E38"/>
    <mergeCell ref="F35:F38"/>
    <mergeCell ref="AL28:AP28"/>
    <mergeCell ref="AL29:AP29"/>
    <mergeCell ref="AL30:AP30"/>
    <mergeCell ref="AL31:AP31"/>
    <mergeCell ref="AL32:AP32"/>
    <mergeCell ref="AL33:AP33"/>
    <mergeCell ref="AL34:AP34"/>
    <mergeCell ref="AL35:AP38"/>
    <mergeCell ref="Z35:Z38"/>
    <mergeCell ref="AC35:AC38"/>
    <mergeCell ref="AI35:AI38"/>
    <mergeCell ref="AJ35:AJ38"/>
    <mergeCell ref="AL19:AP19"/>
    <mergeCell ref="AL11:AP11"/>
    <mergeCell ref="AL12:AP12"/>
    <mergeCell ref="AL13:AP13"/>
    <mergeCell ref="AL14:AP14"/>
    <mergeCell ref="AL15:AP15"/>
    <mergeCell ref="AL16:AP16"/>
    <mergeCell ref="AL17:AP17"/>
    <mergeCell ref="AK35:AK38"/>
    <mergeCell ref="AL25:AP25"/>
    <mergeCell ref="AL20:AP20"/>
    <mergeCell ref="AL21:AP21"/>
    <mergeCell ref="AL22:AP22"/>
    <mergeCell ref="AL23:AP23"/>
    <mergeCell ref="AL24:AP24"/>
    <mergeCell ref="A1:AN2"/>
    <mergeCell ref="A3:A4"/>
    <mergeCell ref="B3:B4"/>
    <mergeCell ref="C3:C4"/>
    <mergeCell ref="D3:E4"/>
    <mergeCell ref="F3:F4"/>
    <mergeCell ref="G3:G4"/>
    <mergeCell ref="H3:H4"/>
    <mergeCell ref="I3:J3"/>
    <mergeCell ref="K3:Q3"/>
    <mergeCell ref="R3:W3"/>
    <mergeCell ref="AI3:AI4"/>
    <mergeCell ref="AL3:AP4"/>
    <mergeCell ref="X3:AA3"/>
    <mergeCell ref="AB3:AF3"/>
    <mergeCell ref="AG3:AH3"/>
    <mergeCell ref="AL18:AP18"/>
    <mergeCell ref="AJ3:AJ4"/>
    <mergeCell ref="AK3:AK4"/>
    <mergeCell ref="AL8:AP8"/>
    <mergeCell ref="AL9:AP9"/>
    <mergeCell ref="AL10:AP10"/>
    <mergeCell ref="AL5:AP5"/>
    <mergeCell ref="AL6:AP6"/>
    <mergeCell ref="AL7:AP7"/>
  </mergeCells>
  <phoneticPr fontId="1"/>
  <dataValidations count="1">
    <dataValidation imeMode="off" allowBlank="1" showInputMessage="1" showErrorMessage="1" sqref="C1:C3 A39:C1048576 A1:A35 B1:B34 C5:C34" xr:uid="{4429FEF7-9058-4DA5-9416-BD92C9CA0EDB}"/>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37" man="1"/>
  </colBreaks>
  <extLst>
    <ext xmlns:x14="http://schemas.microsoft.com/office/spreadsheetml/2009/9/main" uri="{CCE6A557-97BC-4b89-ADB6-D9C93CAAB3DF}">
      <x14:dataValidations xmlns:xm="http://schemas.microsoft.com/office/excel/2006/main" count="19">
        <x14:dataValidation type="list" allowBlank="1" showInputMessage="1" showErrorMessage="1" xr:uid="{54E4C246-685A-4FC5-A025-8EB68DD46547}">
          <x14:formula1>
            <xm:f>Sheet1!$C$9:$C$11</xm:f>
          </x14:formula1>
          <xm:sqref>W29:W34 Q29:Q34 Q5:Q27 W5:W27</xm:sqref>
        </x14:dataValidation>
        <x14:dataValidation type="list" allowBlank="1" showInputMessage="1" showErrorMessage="1" xr:uid="{A6AD3DD7-F021-46CE-B443-0C9C47AE63CA}">
          <x14:formula1>
            <xm:f>Sheet1!$A$1:$A$4</xm:f>
          </x14:formula1>
          <xm:sqref>G5:G34</xm:sqref>
        </x14:dataValidation>
        <x14:dataValidation type="list" allowBlank="1" showInputMessage="1" showErrorMessage="1" xr:uid="{F8761B2C-F048-4E23-8E1E-5D34422570A3}">
          <x14:formula1>
            <xm:f>Sheet1!$A$6:$A$7</xm:f>
          </x14:formula1>
          <xm:sqref>H5:H34</xm:sqref>
        </x14:dataValidation>
        <x14:dataValidation type="list" allowBlank="1" showInputMessage="1" showErrorMessage="1" xr:uid="{75BA60FC-4344-4FEB-813A-A4650B4F9E18}">
          <x14:formula1>
            <xm:f>Sheet1!$A$9:$A$11</xm:f>
          </x14:formula1>
          <xm:sqref>V5:V34 P5:P34 I5:I34</xm:sqref>
        </x14:dataValidation>
        <x14:dataValidation type="list" allowBlank="1" showInputMessage="1" showErrorMessage="1" xr:uid="{C320B770-0F6A-45CB-A016-D76C845E3822}">
          <x14:formula1>
            <xm:f>Sheet1!$D$1:$D$3</xm:f>
          </x14:formula1>
          <xm:sqref>J5:J34</xm:sqref>
        </x14:dataValidation>
        <x14:dataValidation type="list" allowBlank="1" showInputMessage="1" showErrorMessage="1" xr:uid="{96AA00B6-173C-4140-B622-A88C4E733D5D}">
          <x14:formula1>
            <xm:f>Sheet1!$G$9:$G$12</xm:f>
          </x14:formula1>
          <xm:sqref>K5:K25 K27:K34</xm:sqref>
        </x14:dataValidation>
        <x14:dataValidation type="list" allowBlank="1" showInputMessage="1" showErrorMessage="1" xr:uid="{EC81D2D6-9F81-49B3-A6F5-932BE2B7D14C}">
          <x14:formula1>
            <xm:f>Sheet1!$E$9:$E$11</xm:f>
          </x14:formula1>
          <xm:sqref>L5:L34</xm:sqref>
        </x14:dataValidation>
        <x14:dataValidation type="list" allowBlank="1" showInputMessage="1" showErrorMessage="1" xr:uid="{A9FE7257-C75A-4A65-AFA9-7128D8700123}">
          <x14:formula1>
            <xm:f>Sheet1!$C$6:$C$7</xm:f>
          </x14:formula1>
          <xm:sqref>U5:U34 M5:O34 AC5:AD34 AJ5:AK21 AJ23:AK23 AJ25:AK29 AJ31:AK34</xm:sqref>
        </x14:dataValidation>
        <x14:dataValidation type="list" allowBlank="1" showInputMessage="1" showErrorMessage="1" xr:uid="{53452BBA-1647-497B-BD2B-90C8C1EA5D0E}">
          <x14:formula1>
            <xm:f>Sheet1!$A$17:$A$20</xm:f>
          </x14:formula1>
          <xm:sqref>R26 R5:R24 R29:R31 R33:R34</xm:sqref>
        </x14:dataValidation>
        <x14:dataValidation type="list" allowBlank="1" showInputMessage="1" showErrorMessage="1" xr:uid="{E6732885-252D-4625-A20B-5517483ADD03}">
          <x14:formula1>
            <xm:f>Sheet1!$C$17:$C$20</xm:f>
          </x14:formula1>
          <xm:sqref>T5:T34</xm:sqref>
        </x14:dataValidation>
        <x14:dataValidation type="list" allowBlank="1" showInputMessage="1" showErrorMessage="1" xr:uid="{65B66FE0-4863-462A-AD86-C439734E8038}">
          <x14:formula1>
            <xm:f>Sheet1!$A$13:$A$15</xm:f>
          </x14:formula1>
          <xm:sqref>AB5:AB34</xm:sqref>
        </x14:dataValidation>
        <x14:dataValidation type="list" allowBlank="1" showInputMessage="1" showErrorMessage="1" xr:uid="{7B636D85-1014-487D-BF54-C29A1BF9EA1C}">
          <x14:formula1>
            <xm:f>Sheet1!$G$1:$G$4</xm:f>
          </x14:formula1>
          <xm:sqref>AE5:AF34</xm:sqref>
        </x14:dataValidation>
        <x14:dataValidation type="list" allowBlank="1" showInputMessage="1" showErrorMessage="1" xr:uid="{62AB6D66-C336-4AAA-BFCB-34B9D3C66B1D}">
          <x14:formula1>
            <xm:f>Sheet1!$E$17:$E$18</xm:f>
          </x14:formula1>
          <xm:sqref>AG5:AG34</xm:sqref>
        </x14:dataValidation>
        <x14:dataValidation type="list" allowBlank="1" showInputMessage="1" showErrorMessage="1" xr:uid="{BC97A577-2BD6-4FA2-9052-3735677371A3}">
          <x14:formula1>
            <xm:f>Sheet1!$G$17:$G$18</xm:f>
          </x14:formula1>
          <xm:sqref>AH5:AH34</xm:sqref>
        </x14:dataValidation>
        <x14:dataValidation type="list" allowBlank="1" showInputMessage="1" showErrorMessage="1" xr:uid="{8B528A02-C12A-44A6-8F4A-018484AFC485}">
          <x14:formula1>
            <xm:f>Sheet1!$I$1:$I$2</xm:f>
          </x14:formula1>
          <xm:sqref>X5:X34</xm:sqref>
        </x14:dataValidation>
        <x14:dataValidation type="list" allowBlank="1" showInputMessage="1" showErrorMessage="1" xr:uid="{9214BDB2-90B1-4BFA-984B-E06911B544CD}">
          <x14:formula1>
            <xm:f>Sheet1!$G$6:$G$7</xm:f>
          </x14:formula1>
          <xm:sqref>S5:S34 AA5:AA34</xm:sqref>
        </x14:dataValidation>
        <x14:dataValidation type="list" allowBlank="1" showInputMessage="1" showErrorMessage="1" xr:uid="{D3600A8C-202D-4D87-90ED-5561A9250820}">
          <x14:formula1>
            <xm:f>Sheet1!$C$6:$C$8</xm:f>
          </x14:formula1>
          <xm:sqref>AI5:AI34 AJ22:AK22 AJ24:AK24 AJ30:AK30</xm:sqref>
        </x14:dataValidation>
        <x14:dataValidation type="list" allowBlank="1" showInputMessage="1" showErrorMessage="1" xr:uid="{F8E37078-B37B-4C0C-B170-87AA79584B21}">
          <x14:formula1>
            <xm:f>Sheet1!$I$9:$I$13</xm:f>
          </x14:formula1>
          <xm:sqref>Y5:Y8 Y10:Y34</xm:sqref>
        </x14:dataValidation>
        <x14:dataValidation type="list" allowBlank="1" showInputMessage="1" showErrorMessage="1" xr:uid="{F41E32AE-3367-4028-9FEF-E9A5F4E63152}">
          <x14:formula1>
            <xm:f>Sheet1!$G$9:$G$13</xm:f>
          </x14:formula1>
          <xm:sqref>K26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648B9-DC9C-4B5F-ADD0-3046B0E742A6}">
  <sheetPr codeName="Sheet22">
    <tabColor rgb="FF92D050"/>
  </sheetPr>
  <dimension ref="A1:AR29"/>
  <sheetViews>
    <sheetView view="pageBreakPreview" zoomScaleNormal="40" zoomScaleSheetLayoutView="70" workbookViewId="0">
      <pane xSplit="5" ySplit="4" topLeftCell="AI11" activePane="bottomRight" state="frozen"/>
      <selection activeCell="N11" sqref="N11"/>
      <selection pane="topRight" activeCell="N11" sqref="N11"/>
      <selection pane="bottomLeft" activeCell="N11" sqref="N11"/>
      <selection pane="bottomRight" activeCell="AI11" sqref="AI11"/>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39" width="9.125" style="2" customWidth="1"/>
    <col min="40" max="40" width="25.25" style="2" customWidth="1"/>
    <col min="41" max="41" width="9.5" style="1" customWidth="1"/>
    <col min="42" max="42" width="10" style="2" customWidth="1"/>
    <col min="43" max="44" width="12" style="2" customWidth="1"/>
    <col min="45" max="49" width="12" style="1" customWidth="1"/>
    <col min="50" max="16384" width="8.625" style="1"/>
  </cols>
  <sheetData>
    <row r="1" spans="1:44"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row>
    <row r="2" spans="1:44"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row>
    <row r="3" spans="1:44"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Q3" s="1"/>
      <c r="AR3" s="1"/>
    </row>
    <row r="4" spans="1:44" s="2" customFormat="1" ht="15" customHeight="1" x14ac:dyDescent="0.4">
      <c r="A4" s="83"/>
      <c r="B4" s="84"/>
      <c r="C4" s="86"/>
      <c r="D4" s="89"/>
      <c r="E4" s="90"/>
      <c r="F4" s="84"/>
      <c r="G4" s="86"/>
      <c r="H4" s="86"/>
      <c r="I4" s="5" t="s">
        <v>16</v>
      </c>
      <c r="J4" s="5" t="s">
        <v>27</v>
      </c>
      <c r="K4" s="5" t="s">
        <v>2</v>
      </c>
      <c r="L4" s="5" t="s">
        <v>28</v>
      </c>
      <c r="M4" s="5" t="s">
        <v>14</v>
      </c>
      <c r="N4" s="5" t="s">
        <v>898</v>
      </c>
      <c r="O4" s="5" t="s">
        <v>1096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4" s="10" customFormat="1" ht="40.5" customHeight="1" x14ac:dyDescent="0.4">
      <c r="A5" s="6">
        <v>22</v>
      </c>
      <c r="B5" s="6">
        <v>101</v>
      </c>
      <c r="C5" s="6" t="s">
        <v>79</v>
      </c>
      <c r="D5" s="18" t="s">
        <v>2670</v>
      </c>
      <c r="E5" s="32" t="s">
        <v>18</v>
      </c>
      <c r="F5" s="6" t="s">
        <v>2671</v>
      </c>
      <c r="G5" s="6" t="s">
        <v>40</v>
      </c>
      <c r="H5" s="6" t="s">
        <v>52</v>
      </c>
      <c r="I5" s="6" t="s">
        <v>84</v>
      </c>
      <c r="J5" s="6" t="s">
        <v>85</v>
      </c>
      <c r="K5" s="6" t="s">
        <v>60</v>
      </c>
      <c r="L5" s="6" t="s">
        <v>92</v>
      </c>
      <c r="M5" s="6" t="s">
        <v>45</v>
      </c>
      <c r="N5" s="6" t="s">
        <v>23</v>
      </c>
      <c r="O5" s="6" t="s">
        <v>23</v>
      </c>
      <c r="P5" s="6" t="s">
        <v>84</v>
      </c>
      <c r="Q5" s="6" t="s">
        <v>86</v>
      </c>
      <c r="R5" s="6">
        <v>700</v>
      </c>
      <c r="S5" s="16" t="s">
        <v>39</v>
      </c>
      <c r="T5" s="6">
        <v>900</v>
      </c>
      <c r="U5" s="6" t="s">
        <v>45</v>
      </c>
      <c r="V5" s="6" t="s">
        <v>84</v>
      </c>
      <c r="W5" s="6" t="s">
        <v>86</v>
      </c>
      <c r="X5" s="16" t="s">
        <v>60</v>
      </c>
      <c r="Y5" s="16" t="s">
        <v>87</v>
      </c>
      <c r="Z5" s="16" t="s">
        <v>2672</v>
      </c>
      <c r="AA5" s="16" t="s">
        <v>39</v>
      </c>
      <c r="AB5" s="7" t="s">
        <v>88</v>
      </c>
      <c r="AC5" s="8" t="s">
        <v>45</v>
      </c>
      <c r="AD5" s="8" t="s">
        <v>45</v>
      </c>
      <c r="AE5" s="8" t="s">
        <v>116</v>
      </c>
      <c r="AF5" s="16" t="s">
        <v>50</v>
      </c>
      <c r="AG5" s="17" t="s">
        <v>60</v>
      </c>
      <c r="AH5" s="17" t="s">
        <v>62</v>
      </c>
      <c r="AI5" s="17" t="s">
        <v>45</v>
      </c>
      <c r="AJ5" s="17" t="s">
        <v>23</v>
      </c>
      <c r="AK5" s="9" t="s">
        <v>45</v>
      </c>
      <c r="AL5" s="140" t="s">
        <v>2678</v>
      </c>
      <c r="AM5" s="141"/>
      <c r="AN5" s="141"/>
      <c r="AO5" s="141"/>
      <c r="AP5" s="142"/>
    </row>
    <row r="6" spans="1:44" s="14" customFormat="1" ht="15" customHeight="1" x14ac:dyDescent="0.4">
      <c r="A6" s="11">
        <v>22</v>
      </c>
      <c r="B6" s="11">
        <v>201</v>
      </c>
      <c r="C6" s="11" t="s">
        <v>79</v>
      </c>
      <c r="D6" s="13" t="s">
        <v>1501</v>
      </c>
      <c r="E6" s="33" t="s">
        <v>18</v>
      </c>
      <c r="F6" s="11" t="s">
        <v>1502</v>
      </c>
      <c r="G6" s="11" t="s">
        <v>43</v>
      </c>
      <c r="H6" s="11" t="s">
        <v>52</v>
      </c>
      <c r="I6" s="11" t="s">
        <v>84</v>
      </c>
      <c r="J6" s="11" t="s">
        <v>85</v>
      </c>
      <c r="K6" s="11" t="s">
        <v>60</v>
      </c>
      <c r="L6" s="11" t="s">
        <v>92</v>
      </c>
      <c r="M6" s="11" t="s">
        <v>45</v>
      </c>
      <c r="N6" s="11" t="s">
        <v>45</v>
      </c>
      <c r="O6" s="11" t="s">
        <v>45</v>
      </c>
      <c r="P6" s="11" t="s">
        <v>84</v>
      </c>
      <c r="Q6" s="11" t="s">
        <v>86</v>
      </c>
      <c r="R6" s="11">
        <v>750</v>
      </c>
      <c r="S6" s="40" t="s">
        <v>39</v>
      </c>
      <c r="T6" s="11">
        <v>800</v>
      </c>
      <c r="U6" s="11" t="s">
        <v>45</v>
      </c>
      <c r="V6" s="11" t="s">
        <v>84</v>
      </c>
      <c r="W6" s="11" t="s">
        <v>86</v>
      </c>
      <c r="X6" s="40" t="s">
        <v>60</v>
      </c>
      <c r="Y6" s="40" t="s">
        <v>141</v>
      </c>
      <c r="Z6" s="40"/>
      <c r="AA6" s="40" t="s">
        <v>65</v>
      </c>
      <c r="AB6" s="12" t="s">
        <v>88</v>
      </c>
      <c r="AC6" s="11" t="s">
        <v>45</v>
      </c>
      <c r="AD6" s="11" t="s">
        <v>23</v>
      </c>
      <c r="AE6" s="11" t="s">
        <v>50</v>
      </c>
      <c r="AF6" s="11" t="s">
        <v>50</v>
      </c>
      <c r="AG6" s="13" t="s">
        <v>60</v>
      </c>
      <c r="AH6" s="13" t="s">
        <v>62</v>
      </c>
      <c r="AI6" s="13" t="s">
        <v>45</v>
      </c>
      <c r="AJ6" s="13" t="s">
        <v>45</v>
      </c>
      <c r="AK6" s="13" t="s">
        <v>45</v>
      </c>
      <c r="AL6" s="94" t="s">
        <v>1503</v>
      </c>
      <c r="AM6" s="95"/>
      <c r="AN6" s="95"/>
      <c r="AO6" s="95"/>
      <c r="AP6" s="96"/>
    </row>
    <row r="7" spans="1:44" s="10" customFormat="1" ht="36" customHeight="1" x14ac:dyDescent="0.4">
      <c r="A7" s="6">
        <v>22</v>
      </c>
      <c r="B7" s="6">
        <v>301</v>
      </c>
      <c r="C7" s="6" t="s">
        <v>79</v>
      </c>
      <c r="D7" s="18" t="s">
        <v>1504</v>
      </c>
      <c r="E7" s="34" t="s">
        <v>18</v>
      </c>
      <c r="F7" s="46" t="s">
        <v>1505</v>
      </c>
      <c r="G7" s="6" t="s">
        <v>43</v>
      </c>
      <c r="H7" s="6" t="s">
        <v>52</v>
      </c>
      <c r="I7" s="6" t="s">
        <v>84</v>
      </c>
      <c r="J7" s="6" t="s">
        <v>85</v>
      </c>
      <c r="K7" s="6" t="s">
        <v>60</v>
      </c>
      <c r="L7" s="6" t="s">
        <v>92</v>
      </c>
      <c r="M7" s="6" t="s">
        <v>45</v>
      </c>
      <c r="N7" s="6" t="s">
        <v>45</v>
      </c>
      <c r="O7" s="6" t="s">
        <v>23</v>
      </c>
      <c r="P7" s="6" t="s">
        <v>84</v>
      </c>
      <c r="Q7" s="6" t="s">
        <v>86</v>
      </c>
      <c r="R7" s="6">
        <v>750</v>
      </c>
      <c r="S7" s="6" t="s">
        <v>39</v>
      </c>
      <c r="T7" s="6">
        <v>900</v>
      </c>
      <c r="U7" s="6" t="s">
        <v>45</v>
      </c>
      <c r="V7" s="6" t="s">
        <v>84</v>
      </c>
      <c r="W7" s="6" t="s">
        <v>86</v>
      </c>
      <c r="X7" s="6" t="s">
        <v>19</v>
      </c>
      <c r="Y7" s="6"/>
      <c r="Z7" s="6"/>
      <c r="AA7" s="6" t="s">
        <v>65</v>
      </c>
      <c r="AB7" s="15" t="s">
        <v>88</v>
      </c>
      <c r="AC7" s="16" t="s">
        <v>45</v>
      </c>
      <c r="AD7" s="16" t="s">
        <v>23</v>
      </c>
      <c r="AE7" s="16" t="s">
        <v>50</v>
      </c>
      <c r="AF7" s="16" t="s">
        <v>50</v>
      </c>
      <c r="AG7" s="17" t="s">
        <v>60</v>
      </c>
      <c r="AH7" s="17" t="s">
        <v>62</v>
      </c>
      <c r="AI7" s="17" t="s">
        <v>23</v>
      </c>
      <c r="AJ7" s="17" t="s">
        <v>45</v>
      </c>
      <c r="AK7" s="17" t="s">
        <v>45</v>
      </c>
      <c r="AL7" s="78" t="s">
        <v>1506</v>
      </c>
      <c r="AM7" s="79"/>
      <c r="AN7" s="79"/>
      <c r="AO7" s="79"/>
      <c r="AP7" s="80"/>
    </row>
    <row r="8" spans="1:44" s="14" customFormat="1" ht="15" customHeight="1" x14ac:dyDescent="0.4">
      <c r="A8" s="11">
        <v>22</v>
      </c>
      <c r="B8" s="11">
        <v>401</v>
      </c>
      <c r="C8" s="11" t="s">
        <v>79</v>
      </c>
      <c r="D8" s="13" t="s">
        <v>1507</v>
      </c>
      <c r="E8" s="33" t="s">
        <v>18</v>
      </c>
      <c r="F8" s="11" t="s">
        <v>1508</v>
      </c>
      <c r="G8" s="11" t="s">
        <v>43</v>
      </c>
      <c r="H8" s="11" t="s">
        <v>52</v>
      </c>
      <c r="I8" s="11" t="s">
        <v>84</v>
      </c>
      <c r="J8" s="11" t="s">
        <v>85</v>
      </c>
      <c r="K8" s="11" t="s">
        <v>60</v>
      </c>
      <c r="L8" s="11" t="s">
        <v>20</v>
      </c>
      <c r="M8" s="11" t="s">
        <v>45</v>
      </c>
      <c r="N8" s="11" t="s">
        <v>23</v>
      </c>
      <c r="O8" s="11" t="s">
        <v>23</v>
      </c>
      <c r="P8" s="11" t="s">
        <v>84</v>
      </c>
      <c r="Q8" s="11" t="s">
        <v>86</v>
      </c>
      <c r="R8" s="11">
        <v>740</v>
      </c>
      <c r="S8" s="40" t="s">
        <v>39</v>
      </c>
      <c r="T8" s="11">
        <v>900</v>
      </c>
      <c r="U8" s="11" t="s">
        <v>45</v>
      </c>
      <c r="V8" s="11" t="s">
        <v>84</v>
      </c>
      <c r="W8" s="11" t="s">
        <v>86</v>
      </c>
      <c r="X8" s="40" t="s">
        <v>60</v>
      </c>
      <c r="Y8" s="40" t="s">
        <v>141</v>
      </c>
      <c r="Z8" s="40"/>
      <c r="AA8" s="40" t="s">
        <v>65</v>
      </c>
      <c r="AB8" s="12" t="s">
        <v>88</v>
      </c>
      <c r="AC8" s="11" t="s">
        <v>23</v>
      </c>
      <c r="AD8" s="11" t="s">
        <v>23</v>
      </c>
      <c r="AE8" s="11" t="s">
        <v>50</v>
      </c>
      <c r="AF8" s="11" t="s">
        <v>50</v>
      </c>
      <c r="AG8" s="13" t="s">
        <v>60</v>
      </c>
      <c r="AH8" s="13" t="s">
        <v>62</v>
      </c>
      <c r="AI8" s="13" t="s">
        <v>23</v>
      </c>
      <c r="AJ8" s="13" t="s">
        <v>45</v>
      </c>
      <c r="AK8" s="13" t="s">
        <v>23</v>
      </c>
      <c r="AL8" s="94" t="s">
        <v>1509</v>
      </c>
      <c r="AM8" s="95"/>
      <c r="AN8" s="95"/>
      <c r="AO8" s="95"/>
      <c r="AP8" s="96"/>
    </row>
    <row r="9" spans="1:44" s="10" customFormat="1" ht="15" customHeight="1" x14ac:dyDescent="0.4">
      <c r="A9" s="6">
        <v>22</v>
      </c>
      <c r="B9" s="6">
        <v>501</v>
      </c>
      <c r="C9" s="6" t="s">
        <v>79</v>
      </c>
      <c r="D9" s="18" t="s">
        <v>1510</v>
      </c>
      <c r="E9" s="34" t="s">
        <v>18</v>
      </c>
      <c r="F9" s="6" t="s">
        <v>1511</v>
      </c>
      <c r="G9" s="6" t="s">
        <v>43</v>
      </c>
      <c r="H9" s="6" t="s">
        <v>52</v>
      </c>
      <c r="I9" s="6" t="s">
        <v>84</v>
      </c>
      <c r="J9" s="6" t="s">
        <v>85</v>
      </c>
      <c r="K9" s="6" t="s">
        <v>60</v>
      </c>
      <c r="L9" s="6" t="s">
        <v>92</v>
      </c>
      <c r="M9" s="6" t="s">
        <v>45</v>
      </c>
      <c r="N9" s="6" t="s">
        <v>45</v>
      </c>
      <c r="O9" s="6" t="s">
        <v>23</v>
      </c>
      <c r="P9" s="6" t="s">
        <v>84</v>
      </c>
      <c r="Q9" s="6" t="s">
        <v>86</v>
      </c>
      <c r="R9" s="6">
        <v>740</v>
      </c>
      <c r="S9" s="6" t="s">
        <v>39</v>
      </c>
      <c r="T9" s="6">
        <v>900</v>
      </c>
      <c r="U9" s="6" t="s">
        <v>45</v>
      </c>
      <c r="V9" s="6" t="s">
        <v>84</v>
      </c>
      <c r="W9" s="6" t="s">
        <v>86</v>
      </c>
      <c r="X9" s="6" t="s">
        <v>60</v>
      </c>
      <c r="Y9" s="6" t="s">
        <v>87</v>
      </c>
      <c r="Z9" s="6" t="s">
        <v>1512</v>
      </c>
      <c r="AA9" s="6" t="s">
        <v>65</v>
      </c>
      <c r="AB9" s="15" t="s">
        <v>88</v>
      </c>
      <c r="AC9" s="16" t="s">
        <v>45</v>
      </c>
      <c r="AD9" s="16" t="s">
        <v>23</v>
      </c>
      <c r="AE9" s="16" t="s">
        <v>50</v>
      </c>
      <c r="AF9" s="16" t="s">
        <v>50</v>
      </c>
      <c r="AG9" s="17" t="s">
        <v>60</v>
      </c>
      <c r="AH9" s="17" t="s">
        <v>96</v>
      </c>
      <c r="AI9" s="17" t="s">
        <v>23</v>
      </c>
      <c r="AJ9" s="17" t="s">
        <v>45</v>
      </c>
      <c r="AK9" s="17" t="s">
        <v>45</v>
      </c>
      <c r="AL9" s="78" t="s">
        <v>1513</v>
      </c>
      <c r="AM9" s="79"/>
      <c r="AN9" s="79"/>
      <c r="AO9" s="79"/>
      <c r="AP9" s="80"/>
    </row>
    <row r="10" spans="1:44" s="14" customFormat="1" ht="15" customHeight="1" x14ac:dyDescent="0.4">
      <c r="A10" s="11">
        <v>22</v>
      </c>
      <c r="B10" s="11">
        <v>102</v>
      </c>
      <c r="C10" s="11" t="s">
        <v>79</v>
      </c>
      <c r="D10" s="13" t="s">
        <v>1462</v>
      </c>
      <c r="E10" s="33" t="s">
        <v>18</v>
      </c>
      <c r="F10" s="11" t="s">
        <v>1463</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0" t="s">
        <v>531</v>
      </c>
      <c r="Z10" s="40"/>
      <c r="AA10" s="40" t="s">
        <v>65</v>
      </c>
      <c r="AB10" s="12" t="s">
        <v>19</v>
      </c>
      <c r="AC10" s="11" t="s">
        <v>45</v>
      </c>
      <c r="AD10" s="11" t="s">
        <v>45</v>
      </c>
      <c r="AE10" s="11" t="s">
        <v>116</v>
      </c>
      <c r="AF10" s="11" t="s">
        <v>50</v>
      </c>
      <c r="AG10" s="13" t="s">
        <v>60</v>
      </c>
      <c r="AH10" s="13" t="s">
        <v>62</v>
      </c>
      <c r="AI10" s="13" t="s">
        <v>45</v>
      </c>
      <c r="AJ10" s="13" t="s">
        <v>45</v>
      </c>
      <c r="AK10" s="13" t="s">
        <v>45</v>
      </c>
      <c r="AL10" s="94" t="s">
        <v>1464</v>
      </c>
      <c r="AM10" s="95"/>
      <c r="AN10" s="95"/>
      <c r="AO10" s="95"/>
      <c r="AP10" s="96"/>
    </row>
    <row r="11" spans="1:44" s="10" customFormat="1" ht="44.25" customHeight="1" x14ac:dyDescent="0.4">
      <c r="A11" s="6">
        <v>22</v>
      </c>
      <c r="B11" s="6">
        <v>202</v>
      </c>
      <c r="C11" s="6" t="s">
        <v>79</v>
      </c>
      <c r="D11" s="18" t="s">
        <v>1465</v>
      </c>
      <c r="E11" s="34" t="s">
        <v>18</v>
      </c>
      <c r="F11" s="6" t="s">
        <v>1466</v>
      </c>
      <c r="G11" s="6" t="s">
        <v>43</v>
      </c>
      <c r="H11" s="6" t="s">
        <v>52</v>
      </c>
      <c r="I11" s="6" t="s">
        <v>84</v>
      </c>
      <c r="J11" s="6" t="s">
        <v>85</v>
      </c>
      <c r="K11" s="6" t="s">
        <v>60</v>
      </c>
      <c r="L11" s="6" t="s">
        <v>92</v>
      </c>
      <c r="M11" s="6" t="s">
        <v>45</v>
      </c>
      <c r="N11" s="6" t="s">
        <v>23</v>
      </c>
      <c r="O11" s="6" t="s">
        <v>23</v>
      </c>
      <c r="P11" s="6" t="s">
        <v>84</v>
      </c>
      <c r="Q11" s="6" t="s">
        <v>86</v>
      </c>
      <c r="R11" s="6">
        <v>750</v>
      </c>
      <c r="S11" s="6" t="s">
        <v>39</v>
      </c>
      <c r="T11" s="6">
        <v>900</v>
      </c>
      <c r="U11" s="6" t="s">
        <v>45</v>
      </c>
      <c r="V11" s="6" t="s">
        <v>84</v>
      </c>
      <c r="W11" s="6" t="s">
        <v>86</v>
      </c>
      <c r="X11" s="6" t="s">
        <v>60</v>
      </c>
      <c r="Y11" s="6" t="s">
        <v>531</v>
      </c>
      <c r="Z11" s="6"/>
      <c r="AA11" s="6" t="s">
        <v>65</v>
      </c>
      <c r="AB11" s="15" t="s">
        <v>19</v>
      </c>
      <c r="AC11" s="16" t="s">
        <v>45</v>
      </c>
      <c r="AD11" s="16" t="s">
        <v>45</v>
      </c>
      <c r="AE11" s="16" t="s">
        <v>116</v>
      </c>
      <c r="AF11" s="16" t="s">
        <v>50</v>
      </c>
      <c r="AG11" s="17" t="s">
        <v>60</v>
      </c>
      <c r="AH11" s="17" t="s">
        <v>62</v>
      </c>
      <c r="AI11" s="17" t="s">
        <v>23</v>
      </c>
      <c r="AJ11" s="17" t="s">
        <v>45</v>
      </c>
      <c r="AK11" s="17" t="s">
        <v>23</v>
      </c>
      <c r="AL11" s="106" t="s">
        <v>2754</v>
      </c>
      <c r="AM11" s="107"/>
      <c r="AN11" s="107"/>
      <c r="AO11" s="107"/>
      <c r="AP11" s="108"/>
    </row>
    <row r="12" spans="1:44" s="14" customFormat="1" ht="33.75" customHeight="1" x14ac:dyDescent="0.4">
      <c r="A12" s="11">
        <v>22</v>
      </c>
      <c r="B12" s="11">
        <v>302</v>
      </c>
      <c r="C12" s="11" t="s">
        <v>79</v>
      </c>
      <c r="D12" s="13" t="s">
        <v>1514</v>
      </c>
      <c r="E12" s="33" t="s">
        <v>18</v>
      </c>
      <c r="F12" s="45" t="s">
        <v>1515</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1516</v>
      </c>
      <c r="AA12" s="40" t="s">
        <v>65</v>
      </c>
      <c r="AB12" s="12" t="s">
        <v>19</v>
      </c>
      <c r="AC12" s="11" t="s">
        <v>45</v>
      </c>
      <c r="AD12" s="11" t="s">
        <v>45</v>
      </c>
      <c r="AE12" s="11" t="s">
        <v>116</v>
      </c>
      <c r="AF12" s="11" t="s">
        <v>50</v>
      </c>
      <c r="AG12" s="13" t="s">
        <v>60</v>
      </c>
      <c r="AH12" s="13" t="s">
        <v>62</v>
      </c>
      <c r="AI12" s="13" t="s">
        <v>45</v>
      </c>
      <c r="AJ12" s="13" t="s">
        <v>23</v>
      </c>
      <c r="AK12" s="13" t="s">
        <v>45</v>
      </c>
      <c r="AL12" s="94" t="s">
        <v>1517</v>
      </c>
      <c r="AM12" s="95"/>
      <c r="AN12" s="95"/>
      <c r="AO12" s="95"/>
      <c r="AP12" s="96"/>
    </row>
    <row r="13" spans="1:44" s="10" customFormat="1" ht="35.25" customHeight="1" x14ac:dyDescent="0.4">
      <c r="A13" s="6">
        <v>22</v>
      </c>
      <c r="B13" s="6">
        <v>402</v>
      </c>
      <c r="C13" s="6" t="s">
        <v>79</v>
      </c>
      <c r="D13" s="18" t="s">
        <v>1518</v>
      </c>
      <c r="E13" s="34" t="s">
        <v>18</v>
      </c>
      <c r="F13" s="6" t="s">
        <v>1519</v>
      </c>
      <c r="G13" s="6" t="s">
        <v>43</v>
      </c>
      <c r="H13" s="6" t="s">
        <v>52</v>
      </c>
      <c r="I13" s="6" t="s">
        <v>84</v>
      </c>
      <c r="J13" s="6" t="s">
        <v>85</v>
      </c>
      <c r="K13" s="6" t="s">
        <v>60</v>
      </c>
      <c r="L13" s="6" t="s">
        <v>92</v>
      </c>
      <c r="M13" s="6" t="s">
        <v>45</v>
      </c>
      <c r="N13" s="6" t="s">
        <v>45</v>
      </c>
      <c r="O13" s="6" t="s">
        <v>23</v>
      </c>
      <c r="P13" s="6" t="s">
        <v>84</v>
      </c>
      <c r="Q13" s="6" t="s">
        <v>86</v>
      </c>
      <c r="R13" s="6" t="s">
        <v>1520</v>
      </c>
      <c r="S13" s="6" t="s">
        <v>39</v>
      </c>
      <c r="T13" s="6">
        <v>900</v>
      </c>
      <c r="U13" s="6" t="s">
        <v>45</v>
      </c>
      <c r="V13" s="6" t="s">
        <v>84</v>
      </c>
      <c r="W13" s="6" t="s">
        <v>86</v>
      </c>
      <c r="X13" s="6" t="s">
        <v>60</v>
      </c>
      <c r="Y13" s="6" t="s">
        <v>344</v>
      </c>
      <c r="Z13" s="46" t="s">
        <v>1521</v>
      </c>
      <c r="AA13" s="6" t="s">
        <v>65</v>
      </c>
      <c r="AB13" s="15" t="s">
        <v>19</v>
      </c>
      <c r="AC13" s="16" t="s">
        <v>45</v>
      </c>
      <c r="AD13" s="16" t="s">
        <v>23</v>
      </c>
      <c r="AE13" s="16" t="s">
        <v>50</v>
      </c>
      <c r="AF13" s="16" t="s">
        <v>50</v>
      </c>
      <c r="AG13" s="17" t="s">
        <v>60</v>
      </c>
      <c r="AH13" s="17" t="s">
        <v>96</v>
      </c>
      <c r="AI13" s="17" t="s">
        <v>45</v>
      </c>
      <c r="AJ13" s="17" t="s">
        <v>45</v>
      </c>
      <c r="AK13" s="17" t="s">
        <v>45</v>
      </c>
      <c r="AL13" s="106" t="s">
        <v>1522</v>
      </c>
      <c r="AM13" s="107"/>
      <c r="AN13" s="107"/>
      <c r="AO13" s="107"/>
      <c r="AP13" s="108"/>
    </row>
    <row r="14" spans="1:44" s="14" customFormat="1" ht="42.75" customHeight="1" x14ac:dyDescent="0.4">
      <c r="A14" s="11">
        <v>22</v>
      </c>
      <c r="B14" s="11">
        <v>502</v>
      </c>
      <c r="C14" s="11" t="s">
        <v>79</v>
      </c>
      <c r="D14" s="13" t="s">
        <v>1523</v>
      </c>
      <c r="E14" s="33" t="s">
        <v>18</v>
      </c>
      <c r="F14" s="11" t="s">
        <v>1524</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60</v>
      </c>
      <c r="Y14" s="40" t="s">
        <v>87</v>
      </c>
      <c r="Z14" s="40" t="s">
        <v>1525</v>
      </c>
      <c r="AA14" s="40" t="s">
        <v>65</v>
      </c>
      <c r="AB14" s="12" t="s">
        <v>88</v>
      </c>
      <c r="AC14" s="11" t="s">
        <v>45</v>
      </c>
      <c r="AD14" s="11" t="s">
        <v>23</v>
      </c>
      <c r="AE14" s="11" t="s">
        <v>116</v>
      </c>
      <c r="AF14" s="11" t="s">
        <v>116</v>
      </c>
      <c r="AG14" s="13" t="s">
        <v>60</v>
      </c>
      <c r="AH14" s="13" t="s">
        <v>96</v>
      </c>
      <c r="AI14" s="13" t="s">
        <v>23</v>
      </c>
      <c r="AJ14" s="13" t="s">
        <v>45</v>
      </c>
      <c r="AK14" s="13" t="s">
        <v>45</v>
      </c>
      <c r="AL14" s="133" t="s">
        <v>1526</v>
      </c>
      <c r="AM14" s="134"/>
      <c r="AN14" s="134"/>
      <c r="AO14" s="134"/>
      <c r="AP14" s="135"/>
    </row>
    <row r="15" spans="1:44" s="10" customFormat="1" ht="44.25" customHeight="1" x14ac:dyDescent="0.4">
      <c r="A15" s="6">
        <v>22</v>
      </c>
      <c r="B15" s="6">
        <v>103</v>
      </c>
      <c r="C15" s="6" t="s">
        <v>79</v>
      </c>
      <c r="D15" s="18" t="s">
        <v>1557</v>
      </c>
      <c r="E15" s="34" t="s">
        <v>18</v>
      </c>
      <c r="F15" s="6" t="s">
        <v>1558</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1559</v>
      </c>
      <c r="AA15" s="6" t="s">
        <v>65</v>
      </c>
      <c r="AB15" s="15" t="s">
        <v>88</v>
      </c>
      <c r="AC15" s="16" t="s">
        <v>45</v>
      </c>
      <c r="AD15" s="16" t="s">
        <v>23</v>
      </c>
      <c r="AE15" s="16" t="s">
        <v>116</v>
      </c>
      <c r="AF15" s="16" t="s">
        <v>116</v>
      </c>
      <c r="AG15" s="17" t="s">
        <v>60</v>
      </c>
      <c r="AH15" s="17" t="s">
        <v>62</v>
      </c>
      <c r="AI15" s="17" t="s">
        <v>45</v>
      </c>
      <c r="AJ15" s="17" t="s">
        <v>45</v>
      </c>
      <c r="AK15" s="17" t="s">
        <v>23</v>
      </c>
      <c r="AL15" s="106" t="s">
        <v>1560</v>
      </c>
      <c r="AM15" s="107"/>
      <c r="AN15" s="107"/>
      <c r="AO15" s="107"/>
      <c r="AP15" s="108"/>
    </row>
    <row r="16" spans="1:44" s="14" customFormat="1" ht="42.75" customHeight="1" x14ac:dyDescent="0.4">
      <c r="A16" s="11">
        <v>22</v>
      </c>
      <c r="B16" s="11">
        <v>203</v>
      </c>
      <c r="C16" s="11" t="s">
        <v>79</v>
      </c>
      <c r="D16" s="13" t="s">
        <v>1606</v>
      </c>
      <c r="E16" s="33" t="s">
        <v>18</v>
      </c>
      <c r="F16" s="11" t="s">
        <v>1607</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87</v>
      </c>
      <c r="Z16" s="40" t="s">
        <v>1608</v>
      </c>
      <c r="AA16" s="40" t="s">
        <v>65</v>
      </c>
      <c r="AB16" s="12" t="s">
        <v>88</v>
      </c>
      <c r="AC16" s="11" t="s">
        <v>45</v>
      </c>
      <c r="AD16" s="11" t="s">
        <v>23</v>
      </c>
      <c r="AE16" s="11" t="s">
        <v>50</v>
      </c>
      <c r="AF16" s="11" t="s">
        <v>50</v>
      </c>
      <c r="AG16" s="13" t="s">
        <v>60</v>
      </c>
      <c r="AH16" s="13" t="s">
        <v>62</v>
      </c>
      <c r="AI16" s="13" t="s">
        <v>45</v>
      </c>
      <c r="AJ16" s="13" t="s">
        <v>45</v>
      </c>
      <c r="AK16" s="13" t="s">
        <v>45</v>
      </c>
      <c r="AL16" s="133" t="s">
        <v>1609</v>
      </c>
      <c r="AM16" s="134"/>
      <c r="AN16" s="134"/>
      <c r="AO16" s="134"/>
      <c r="AP16" s="135"/>
    </row>
    <row r="17" spans="1:43" s="10" customFormat="1" ht="50.25" customHeight="1" x14ac:dyDescent="0.4">
      <c r="A17" s="6">
        <v>22</v>
      </c>
      <c r="B17" s="6">
        <v>303</v>
      </c>
      <c r="C17" s="6" t="s">
        <v>79</v>
      </c>
      <c r="D17" s="18" t="s">
        <v>1534</v>
      </c>
      <c r="E17" s="34" t="s">
        <v>18</v>
      </c>
      <c r="F17" s="6" t="s">
        <v>1535</v>
      </c>
      <c r="G17" s="6" t="s">
        <v>43</v>
      </c>
      <c r="H17" s="6" t="s">
        <v>52</v>
      </c>
      <c r="I17" s="6" t="s">
        <v>84</v>
      </c>
      <c r="J17" s="6" t="s">
        <v>85</v>
      </c>
      <c r="K17" s="6" t="s">
        <v>60</v>
      </c>
      <c r="L17" s="6" t="s">
        <v>92</v>
      </c>
      <c r="M17" s="6" t="s">
        <v>45</v>
      </c>
      <c r="N17" s="6" t="s">
        <v>23</v>
      </c>
      <c r="O17" s="6" t="s">
        <v>45</v>
      </c>
      <c r="P17" s="6" t="s">
        <v>84</v>
      </c>
      <c r="Q17" s="6" t="s">
        <v>86</v>
      </c>
      <c r="R17" s="6">
        <v>740</v>
      </c>
      <c r="S17" s="6" t="s">
        <v>39</v>
      </c>
      <c r="T17" s="6">
        <v>900</v>
      </c>
      <c r="U17" s="6" t="s">
        <v>45</v>
      </c>
      <c r="V17" s="6" t="s">
        <v>84</v>
      </c>
      <c r="W17" s="6" t="s">
        <v>86</v>
      </c>
      <c r="X17" s="6" t="s">
        <v>60</v>
      </c>
      <c r="Y17" s="6" t="s">
        <v>87</v>
      </c>
      <c r="Z17" s="6" t="s">
        <v>1536</v>
      </c>
      <c r="AA17" s="6" t="s">
        <v>65</v>
      </c>
      <c r="AB17" s="15" t="s">
        <v>88</v>
      </c>
      <c r="AC17" s="16" t="s">
        <v>23</v>
      </c>
      <c r="AD17" s="16" t="s">
        <v>23</v>
      </c>
      <c r="AE17" s="16" t="s">
        <v>50</v>
      </c>
      <c r="AF17" s="16" t="s">
        <v>50</v>
      </c>
      <c r="AG17" s="17" t="s">
        <v>60</v>
      </c>
      <c r="AH17" s="17" t="s">
        <v>62</v>
      </c>
      <c r="AI17" s="17" t="s">
        <v>45</v>
      </c>
      <c r="AJ17" s="17" t="s">
        <v>45</v>
      </c>
      <c r="AK17" s="17" t="s">
        <v>23</v>
      </c>
      <c r="AL17" s="106" t="s">
        <v>1537</v>
      </c>
      <c r="AM17" s="107"/>
      <c r="AN17" s="107"/>
      <c r="AO17" s="107"/>
      <c r="AP17" s="108"/>
    </row>
    <row r="18" spans="1:43" s="14" customFormat="1" ht="39" customHeight="1" x14ac:dyDescent="0.4">
      <c r="A18" s="11">
        <v>22</v>
      </c>
      <c r="B18" s="11">
        <v>403</v>
      </c>
      <c r="C18" s="11" t="s">
        <v>79</v>
      </c>
      <c r="D18" s="13" t="s">
        <v>1561</v>
      </c>
      <c r="E18" s="33" t="s">
        <v>18</v>
      </c>
      <c r="F18" s="11" t="s">
        <v>1562</v>
      </c>
      <c r="G18" s="11" t="s">
        <v>43</v>
      </c>
      <c r="H18" s="11" t="s">
        <v>52</v>
      </c>
      <c r="I18" s="11" t="s">
        <v>84</v>
      </c>
      <c r="J18" s="11" t="s">
        <v>85</v>
      </c>
      <c r="K18" s="11" t="s">
        <v>60</v>
      </c>
      <c r="L18" s="11" t="s">
        <v>92</v>
      </c>
      <c r="M18" s="11" t="s">
        <v>45</v>
      </c>
      <c r="N18" s="11" t="s">
        <v>45</v>
      </c>
      <c r="O18" s="11" t="s">
        <v>23</v>
      </c>
      <c r="P18" s="11" t="s">
        <v>84</v>
      </c>
      <c r="Q18" s="11" t="s">
        <v>86</v>
      </c>
      <c r="R18" s="11">
        <v>750</v>
      </c>
      <c r="S18" s="40" t="s">
        <v>39</v>
      </c>
      <c r="T18" s="11">
        <v>900</v>
      </c>
      <c r="U18" s="11" t="s">
        <v>45</v>
      </c>
      <c r="V18" s="11" t="s">
        <v>84</v>
      </c>
      <c r="W18" s="11" t="s">
        <v>86</v>
      </c>
      <c r="X18" s="40" t="s">
        <v>60</v>
      </c>
      <c r="Y18" s="40" t="s">
        <v>87</v>
      </c>
      <c r="Z18" s="40" t="s">
        <v>1563</v>
      </c>
      <c r="AA18" s="40" t="s">
        <v>65</v>
      </c>
      <c r="AB18" s="12" t="s">
        <v>88</v>
      </c>
      <c r="AC18" s="11" t="s">
        <v>45</v>
      </c>
      <c r="AD18" s="11" t="s">
        <v>23</v>
      </c>
      <c r="AE18" s="11" t="s">
        <v>50</v>
      </c>
      <c r="AF18" s="11" t="s">
        <v>50</v>
      </c>
      <c r="AG18" s="13" t="s">
        <v>60</v>
      </c>
      <c r="AH18" s="13" t="s">
        <v>62</v>
      </c>
      <c r="AI18" s="13" t="s">
        <v>45</v>
      </c>
      <c r="AJ18" s="13" t="s">
        <v>45</v>
      </c>
      <c r="AK18" s="13" t="s">
        <v>45</v>
      </c>
      <c r="AL18" s="133" t="s">
        <v>1564</v>
      </c>
      <c r="AM18" s="134"/>
      <c r="AN18" s="134"/>
      <c r="AO18" s="134"/>
      <c r="AP18" s="135"/>
    </row>
    <row r="19" spans="1:43" s="10" customFormat="1" ht="54.75" customHeight="1" x14ac:dyDescent="0.4">
      <c r="A19" s="6">
        <v>22</v>
      </c>
      <c r="B19" s="6">
        <v>503</v>
      </c>
      <c r="C19" s="6" t="s">
        <v>79</v>
      </c>
      <c r="D19" s="18" t="s">
        <v>2023</v>
      </c>
      <c r="E19" s="34" t="s">
        <v>18</v>
      </c>
      <c r="F19" s="6" t="s">
        <v>2024</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531</v>
      </c>
      <c r="Z19" s="6"/>
      <c r="AA19" s="6" t="s">
        <v>65</v>
      </c>
      <c r="AB19" s="15" t="s">
        <v>19</v>
      </c>
      <c r="AC19" s="16" t="s">
        <v>45</v>
      </c>
      <c r="AD19" s="16" t="s">
        <v>45</v>
      </c>
      <c r="AE19" s="16" t="s">
        <v>116</v>
      </c>
      <c r="AF19" s="16" t="s">
        <v>50</v>
      </c>
      <c r="AG19" s="17" t="s">
        <v>60</v>
      </c>
      <c r="AH19" s="17" t="s">
        <v>62</v>
      </c>
      <c r="AI19" s="17" t="s">
        <v>45</v>
      </c>
      <c r="AJ19" s="17" t="s">
        <v>23</v>
      </c>
      <c r="AK19" s="17" t="s">
        <v>23</v>
      </c>
      <c r="AL19" s="106" t="s">
        <v>2025</v>
      </c>
      <c r="AM19" s="107"/>
      <c r="AN19" s="107"/>
      <c r="AO19" s="107"/>
      <c r="AP19" s="108"/>
    </row>
    <row r="20" spans="1:43" s="14" customFormat="1" ht="57.75" customHeight="1" x14ac:dyDescent="0.4">
      <c r="A20" s="11">
        <v>22</v>
      </c>
      <c r="B20" s="11">
        <v>104</v>
      </c>
      <c r="C20" s="11" t="s">
        <v>79</v>
      </c>
      <c r="D20" s="13" t="s">
        <v>1565</v>
      </c>
      <c r="E20" s="33" t="s">
        <v>18</v>
      </c>
      <c r="F20" s="11" t="s">
        <v>1566</v>
      </c>
      <c r="G20" s="11" t="s">
        <v>43</v>
      </c>
      <c r="H20" s="11" t="s">
        <v>52</v>
      </c>
      <c r="I20" s="11" t="s">
        <v>84</v>
      </c>
      <c r="J20" s="11" t="s">
        <v>85</v>
      </c>
      <c r="K20" s="11" t="s">
        <v>60</v>
      </c>
      <c r="L20" s="11" t="s">
        <v>92</v>
      </c>
      <c r="M20" s="11" t="s">
        <v>45</v>
      </c>
      <c r="N20" s="11" t="s">
        <v>45</v>
      </c>
      <c r="O20" s="11" t="s">
        <v>45</v>
      </c>
      <c r="P20" s="11" t="s">
        <v>84</v>
      </c>
      <c r="Q20" s="11" t="s">
        <v>86</v>
      </c>
      <c r="R20" s="11">
        <v>750</v>
      </c>
      <c r="S20" s="40" t="s">
        <v>39</v>
      </c>
      <c r="T20" s="11">
        <v>900</v>
      </c>
      <c r="U20" s="11" t="s">
        <v>45</v>
      </c>
      <c r="V20" s="11" t="s">
        <v>84</v>
      </c>
      <c r="W20" s="11" t="s">
        <v>86</v>
      </c>
      <c r="X20" s="40" t="s">
        <v>60</v>
      </c>
      <c r="Y20" s="40" t="s">
        <v>87</v>
      </c>
      <c r="Z20" s="40" t="s">
        <v>1567</v>
      </c>
      <c r="AA20" s="40" t="s">
        <v>65</v>
      </c>
      <c r="AB20" s="12" t="s">
        <v>19</v>
      </c>
      <c r="AC20" s="11" t="s">
        <v>45</v>
      </c>
      <c r="AD20" s="11" t="s">
        <v>45</v>
      </c>
      <c r="AE20" s="11" t="s">
        <v>50</v>
      </c>
      <c r="AF20" s="11" t="s">
        <v>50</v>
      </c>
      <c r="AG20" s="13" t="s">
        <v>60</v>
      </c>
      <c r="AH20" s="13" t="s">
        <v>62</v>
      </c>
      <c r="AI20" s="13" t="s">
        <v>45</v>
      </c>
      <c r="AJ20" s="13" t="s">
        <v>45</v>
      </c>
      <c r="AK20" s="13" t="s">
        <v>45</v>
      </c>
      <c r="AL20" s="133" t="s">
        <v>1568</v>
      </c>
      <c r="AM20" s="134"/>
      <c r="AN20" s="134"/>
      <c r="AO20" s="134"/>
      <c r="AP20" s="135"/>
    </row>
    <row r="21" spans="1:43" s="10" customFormat="1" ht="36" customHeight="1" x14ac:dyDescent="0.4">
      <c r="A21" s="6">
        <v>22</v>
      </c>
      <c r="B21" s="6">
        <v>204</v>
      </c>
      <c r="C21" s="6" t="s">
        <v>79</v>
      </c>
      <c r="D21" s="18" t="s">
        <v>1538</v>
      </c>
      <c r="E21" s="34" t="s">
        <v>18</v>
      </c>
      <c r="F21" s="46" t="s">
        <v>1539</v>
      </c>
      <c r="G21" s="6" t="s">
        <v>43</v>
      </c>
      <c r="H21" s="6" t="s">
        <v>52</v>
      </c>
      <c r="I21" s="6" t="s">
        <v>84</v>
      </c>
      <c r="J21" s="6" t="s">
        <v>85</v>
      </c>
      <c r="K21" s="6" t="s">
        <v>60</v>
      </c>
      <c r="L21" s="6" t="s">
        <v>92</v>
      </c>
      <c r="M21" s="6" t="s">
        <v>45</v>
      </c>
      <c r="N21" s="6" t="s">
        <v>45</v>
      </c>
      <c r="O21" s="6" t="s">
        <v>23</v>
      </c>
      <c r="P21" s="6" t="s">
        <v>84</v>
      </c>
      <c r="Q21" s="6" t="s">
        <v>86</v>
      </c>
      <c r="R21" s="6">
        <v>750</v>
      </c>
      <c r="S21" s="6" t="s">
        <v>39</v>
      </c>
      <c r="T21" s="6">
        <v>900</v>
      </c>
      <c r="U21" s="6" t="s">
        <v>45</v>
      </c>
      <c r="V21" s="6" t="s">
        <v>84</v>
      </c>
      <c r="W21" s="6" t="s">
        <v>86</v>
      </c>
      <c r="X21" s="6" t="s">
        <v>60</v>
      </c>
      <c r="Y21" s="6" t="s">
        <v>531</v>
      </c>
      <c r="Z21" s="6"/>
      <c r="AA21" s="6" t="s">
        <v>65</v>
      </c>
      <c r="AB21" s="15" t="s">
        <v>88</v>
      </c>
      <c r="AC21" s="16" t="s">
        <v>45</v>
      </c>
      <c r="AD21" s="16" t="s">
        <v>45</v>
      </c>
      <c r="AE21" s="16" t="s">
        <v>116</v>
      </c>
      <c r="AF21" s="16" t="s">
        <v>50</v>
      </c>
      <c r="AG21" s="17" t="s">
        <v>60</v>
      </c>
      <c r="AH21" s="17" t="s">
        <v>62</v>
      </c>
      <c r="AI21" s="17" t="s">
        <v>45</v>
      </c>
      <c r="AJ21" s="17" t="s">
        <v>45</v>
      </c>
      <c r="AK21" s="17" t="s">
        <v>45</v>
      </c>
      <c r="AL21" s="106" t="s">
        <v>1540</v>
      </c>
      <c r="AM21" s="107"/>
      <c r="AN21" s="107"/>
      <c r="AO21" s="107"/>
      <c r="AP21" s="108"/>
    </row>
    <row r="22" spans="1:43" s="14" customFormat="1" ht="15" customHeight="1" x14ac:dyDescent="0.4">
      <c r="A22" s="11">
        <v>22</v>
      </c>
      <c r="B22" s="11">
        <v>304</v>
      </c>
      <c r="C22" s="11" t="s">
        <v>79</v>
      </c>
      <c r="D22" s="13" t="s">
        <v>1541</v>
      </c>
      <c r="E22" s="33" t="s">
        <v>18</v>
      </c>
      <c r="F22" s="11" t="s">
        <v>1542</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531</v>
      </c>
      <c r="Z22" s="40"/>
      <c r="AA22" s="40" t="s">
        <v>65</v>
      </c>
      <c r="AB22" s="12" t="s">
        <v>88</v>
      </c>
      <c r="AC22" s="11" t="s">
        <v>45</v>
      </c>
      <c r="AD22" s="11" t="s">
        <v>23</v>
      </c>
      <c r="AE22" s="11" t="s">
        <v>50</v>
      </c>
      <c r="AF22" s="11" t="s">
        <v>50</v>
      </c>
      <c r="AG22" s="13" t="s">
        <v>60</v>
      </c>
      <c r="AH22" s="13" t="s">
        <v>62</v>
      </c>
      <c r="AI22" s="13" t="s">
        <v>45</v>
      </c>
      <c r="AJ22" s="13" t="s">
        <v>45</v>
      </c>
      <c r="AK22" s="13" t="s">
        <v>45</v>
      </c>
      <c r="AL22" s="133" t="s">
        <v>1543</v>
      </c>
      <c r="AM22" s="134"/>
      <c r="AN22" s="134"/>
      <c r="AO22" s="134"/>
      <c r="AP22" s="135"/>
    </row>
    <row r="23" spans="1:43" s="10" customFormat="1" ht="15" customHeight="1" x14ac:dyDescent="0.4">
      <c r="A23" s="6">
        <v>22</v>
      </c>
      <c r="B23" s="6">
        <v>404</v>
      </c>
      <c r="C23" s="6" t="s">
        <v>79</v>
      </c>
      <c r="D23" s="18" t="s">
        <v>1544</v>
      </c>
      <c r="E23" s="34" t="s">
        <v>18</v>
      </c>
      <c r="F23" s="6" t="s">
        <v>1545</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141</v>
      </c>
      <c r="Z23" s="6"/>
      <c r="AA23" s="6" t="s">
        <v>65</v>
      </c>
      <c r="AB23" s="15" t="s">
        <v>19</v>
      </c>
      <c r="AC23" s="16" t="s">
        <v>45</v>
      </c>
      <c r="AD23" s="16" t="s">
        <v>45</v>
      </c>
      <c r="AE23" s="16" t="s">
        <v>116</v>
      </c>
      <c r="AF23" s="16" t="s">
        <v>50</v>
      </c>
      <c r="AG23" s="17" t="s">
        <v>60</v>
      </c>
      <c r="AH23" s="17" t="s">
        <v>62</v>
      </c>
      <c r="AI23" s="17" t="s">
        <v>45</v>
      </c>
      <c r="AJ23" s="17" t="s">
        <v>45</v>
      </c>
      <c r="AK23" s="17" t="s">
        <v>45</v>
      </c>
      <c r="AL23" s="106" t="s">
        <v>1546</v>
      </c>
      <c r="AM23" s="107"/>
      <c r="AN23" s="107"/>
      <c r="AO23" s="107"/>
      <c r="AP23" s="108"/>
    </row>
    <row r="24" spans="1:43" s="14" customFormat="1" ht="40.5" customHeight="1" x14ac:dyDescent="0.4">
      <c r="A24" s="11">
        <v>22</v>
      </c>
      <c r="B24" s="11">
        <v>504</v>
      </c>
      <c r="C24" s="11" t="s">
        <v>79</v>
      </c>
      <c r="D24" s="13" t="s">
        <v>1467</v>
      </c>
      <c r="E24" s="33" t="s">
        <v>18</v>
      </c>
      <c r="F24" s="11" t="s">
        <v>1468</v>
      </c>
      <c r="G24" s="11" t="s">
        <v>43</v>
      </c>
      <c r="H24" s="11" t="s">
        <v>52</v>
      </c>
      <c r="I24" s="11" t="s">
        <v>84</v>
      </c>
      <c r="J24" s="11" t="s">
        <v>85</v>
      </c>
      <c r="K24" s="11" t="s">
        <v>431</v>
      </c>
      <c r="L24" s="11" t="s">
        <v>92</v>
      </c>
      <c r="M24" s="11" t="s">
        <v>45</v>
      </c>
      <c r="N24" s="11" t="s">
        <v>45</v>
      </c>
      <c r="O24" s="11" t="s">
        <v>23</v>
      </c>
      <c r="P24" s="11" t="s">
        <v>84</v>
      </c>
      <c r="Q24" s="11" t="s">
        <v>1469</v>
      </c>
      <c r="R24" s="11">
        <v>750</v>
      </c>
      <c r="S24" s="40" t="s">
        <v>39</v>
      </c>
      <c r="T24" s="11">
        <v>900</v>
      </c>
      <c r="U24" s="11" t="s">
        <v>45</v>
      </c>
      <c r="V24" s="11" t="s">
        <v>84</v>
      </c>
      <c r="W24" s="11" t="s">
        <v>1469</v>
      </c>
      <c r="X24" s="40" t="s">
        <v>19</v>
      </c>
      <c r="Y24" s="40" t="s">
        <v>1470</v>
      </c>
      <c r="Z24" s="40"/>
      <c r="AA24" s="40" t="s">
        <v>65</v>
      </c>
      <c r="AB24" s="12" t="s">
        <v>88</v>
      </c>
      <c r="AC24" s="11" t="s">
        <v>45</v>
      </c>
      <c r="AD24" s="11" t="s">
        <v>23</v>
      </c>
      <c r="AE24" s="11" t="s">
        <v>50</v>
      </c>
      <c r="AF24" s="11" t="s">
        <v>50</v>
      </c>
      <c r="AG24" s="13" t="s">
        <v>60</v>
      </c>
      <c r="AH24" s="13" t="s">
        <v>62</v>
      </c>
      <c r="AI24" s="13" t="s">
        <v>241</v>
      </c>
      <c r="AJ24" s="13" t="s">
        <v>45</v>
      </c>
      <c r="AK24" s="13" t="s">
        <v>45</v>
      </c>
      <c r="AL24" s="133" t="s">
        <v>1471</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所有→19戸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既存→0戸</v>
      </c>
      <c r="L25" s="20" t="str">
        <f>"普通便座→"&amp;COUNTIF(L5:L24,"普通便座")&amp;"戸"</f>
        <v>普通便座→0戸</v>
      </c>
      <c r="M25" s="20" t="str">
        <f>"有→"&amp;COUNTIF(M5:M24,"有")&amp;"戸"</f>
        <v>有→0戸</v>
      </c>
      <c r="N25" s="20" t="str">
        <f>"有→"&amp;COUNTIF(N5:N24,"有")&amp;"戸"</f>
        <v>有→4戸</v>
      </c>
      <c r="O25" s="20" t="str">
        <f>"有→"&amp;COUNTIF(O5:O24,"有")&amp;"戸"</f>
        <v>有→17戸</v>
      </c>
      <c r="P25" s="20" t="str">
        <f>"クロス→"&amp;COUNTIF(P5:P24,"クロス")&amp;"戸"</f>
        <v>クロス→20戸</v>
      </c>
      <c r="Q25" s="20" t="str">
        <f>"CF→"&amp;COUNTIF(Q5:Q24,"CF")&amp;"戸"</f>
        <v>CF→19戸</v>
      </c>
      <c r="R25" s="20" t="str">
        <f>"1000→"&amp;COUNTIF(R5:R24,"1000")&amp;"戸"</f>
        <v>1000→0戸</v>
      </c>
      <c r="S25" s="20" t="str">
        <f>"可→"&amp;COUNTIF(S5:S24,"可")&amp;"戸"</f>
        <v>可→20戸</v>
      </c>
      <c r="T25" s="20" t="str">
        <f>"900→"&amp;COUNTIF(T5:T24,"900")&amp;"戸"</f>
        <v>900→19戸</v>
      </c>
      <c r="U25" s="20" t="str">
        <f>"有→"&amp;COUNTIF(U5:U24,"有")&amp;"戸"</f>
        <v>有→0戸</v>
      </c>
      <c r="V25" s="20" t="str">
        <f>"クロス→"&amp;COUNTIF(V5:V24,"クロス")&amp;"戸"</f>
        <v>クロス→20戸</v>
      </c>
      <c r="W25" s="20" t="str">
        <f>"CF→"&amp;COUNTIF(W5:W24,"CF")&amp;"戸"</f>
        <v>CF→19戸</v>
      </c>
      <c r="X25" s="20" t="str">
        <f>"既存→"&amp;COUNTIF(X5:X24,"既存")&amp;"戸"</f>
        <v>既存→2戸</v>
      </c>
      <c r="Y25" s="20" t="str">
        <f>"TOTO→"&amp;COUNTIF(Y5:Y24,"TOTO")&amp;"戸"</f>
        <v>TOTO→9戸</v>
      </c>
      <c r="Z25" s="130">
        <f>-COUNTA(Z5:Z24)</f>
        <v>-10</v>
      </c>
      <c r="AA25" s="20" t="str">
        <f>"可→"&amp;COUNTIF(AA5:AA24,"可")&amp;"戸"</f>
        <v>可→1戸</v>
      </c>
      <c r="AB25" s="20" t="str">
        <f>"既存→"&amp;COUNTIF(AB5:AB24,"既存")&amp;"戸"</f>
        <v>既存→7戸</v>
      </c>
      <c r="AC25" s="130">
        <f>COUNTIF(AC5:AC24,"有")</f>
        <v>2</v>
      </c>
      <c r="AD25" s="130">
        <f>COUNTIF(AD5:AD24,"有")</f>
        <v>12</v>
      </c>
      <c r="AE25" s="20" t="str">
        <f>"ポリ板→"&amp;COUNTIF(AE5:AE24,"ポリ板")&amp;"戸"</f>
        <v>ポリ板→11戸</v>
      </c>
      <c r="AF25" s="20" t="str">
        <f>"ポリ板→"&amp;COUNTIF(AF5:AF24,"ポリ板")&amp;"戸"</f>
        <v>ポリ板→18戸</v>
      </c>
      <c r="AG25" s="20" t="str">
        <f>"既存→"&amp;COUNTIF(AG5:AG24,"既存")&amp;"戸"</f>
        <v>既存→0戸</v>
      </c>
      <c r="AH25" s="20" t="str">
        <f>"洗面所→"&amp;COUNTIF(AH5:AH24,"洗面所")&amp;"戸"</f>
        <v>洗面所→17戸</v>
      </c>
      <c r="AI25" s="130">
        <f>COUNTIF(AI5:AI24,"有")</f>
        <v>5</v>
      </c>
      <c r="AJ25" s="130">
        <f>COUNTIF(AJ5:AJ24,"有")</f>
        <v>3</v>
      </c>
      <c r="AK25" s="130">
        <f>COUNTIF(AK5:AK24,"有")</f>
        <v>5</v>
      </c>
      <c r="AL25" s="109"/>
      <c r="AM25" s="110"/>
      <c r="AN25" s="110"/>
      <c r="AO25" s="110"/>
      <c r="AP25" s="111"/>
      <c r="AQ25" s="44"/>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暖房便座→1戸</v>
      </c>
      <c r="M26" s="35" t="str">
        <f>"無→"&amp;COUNTIF(M5:M24,"無")&amp;"戸"</f>
        <v>無→20戸</v>
      </c>
      <c r="N26" s="35" t="str">
        <f>"無→"&amp;COUNTIF(N5:N24,"無")&amp;"戸"</f>
        <v>無→16戸</v>
      </c>
      <c r="O26" s="35" t="str">
        <f>"無→"&amp;COUNTIF(O5:O24,"無")&amp;"戸"</f>
        <v>無→3戸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不可→0戸</v>
      </c>
      <c r="T26" s="35" t="str">
        <f>"800→"&amp;COUNTIF(T5:T24,"800")&amp;"戸"</f>
        <v>800→1戸</v>
      </c>
      <c r="U26" s="35" t="str">
        <f>"無→"&amp;COUNTIF(U5:U24,"無")&amp;"戸"</f>
        <v>無→20戸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リフォーム済み→18戸</v>
      </c>
      <c r="Y26" s="35" t="str">
        <f>"LIXIL→"&amp;COUNTIF(Y5:Y24,"LIXIL")&amp;"戸"</f>
        <v>LIXIL→1戸</v>
      </c>
      <c r="Z26" s="131"/>
      <c r="AA26" s="35" t="str">
        <f>"不可→"&amp;COUNTIF(AA5:AA24,"不可")&amp;"戸"</f>
        <v>不可→19戸</v>
      </c>
      <c r="AB26" s="36" t="str">
        <f>"システム→"&amp;COUNTIF(AB5:AB24,"システム")&amp;"戸"</f>
        <v>システム→13戸</v>
      </c>
      <c r="AC26" s="131"/>
      <c r="AD26" s="131"/>
      <c r="AE26" s="35" t="str">
        <f>"SUS→"&amp;COUNTIF(AE5:AE24,"SUS")&amp;"戸"</f>
        <v>SUS→9戸</v>
      </c>
      <c r="AF26" s="35" t="str">
        <f>"SUS→"&amp;COUNTIF(AF5:AF24,"SUS")&amp;"戸"</f>
        <v>SUS→2戸</v>
      </c>
      <c r="AG26" s="35" t="str">
        <f>"リフォーム済み→"&amp;COUNTIF(AG5:AG24,"リフォーム済み")&amp;"戸"</f>
        <v>リフォーム済み→20戸</v>
      </c>
      <c r="AH26" s="35" t="str">
        <f>"ベランダ→"&amp;COUNTIF(AH5:AH24,"ベランダ")&amp;"戸"</f>
        <v>ベランダ→3戸</v>
      </c>
      <c r="AI26" s="131"/>
      <c r="AJ26" s="131"/>
      <c r="AK26" s="131"/>
      <c r="AL26" s="112"/>
      <c r="AM26" s="113"/>
      <c r="AN26" s="113"/>
      <c r="AO26" s="113"/>
      <c r="AP26" s="114"/>
      <c r="AQ26" s="44"/>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750→15戸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Panasonic→1戸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4"/>
    </row>
    <row r="28" spans="1:43" s="2" customFormat="1" ht="11.25" customHeight="1" x14ac:dyDescent="0.4">
      <c r="A28" s="124"/>
      <c r="B28" s="125"/>
      <c r="C28" s="125"/>
      <c r="D28" s="125"/>
      <c r="E28" s="126"/>
      <c r="F28" s="138"/>
      <c r="G28" s="35" t="str">
        <f>"空家→"&amp;COUNTIF(G5:G24,"空家")&amp;"戸"</f>
        <v>空家→1戸</v>
      </c>
      <c r="H28" s="39"/>
      <c r="I28" s="28"/>
      <c r="J28" s="27"/>
      <c r="K28" s="35" t="str">
        <f>"一体型→"&amp;COUNTIF(K5:K24,"一体型")&amp;"戸"</f>
        <v>一体型→1戸</v>
      </c>
      <c r="L28" s="28"/>
      <c r="M28" s="28"/>
      <c r="N28" s="28"/>
      <c r="O28" s="28"/>
      <c r="P28" s="28"/>
      <c r="Q28" s="28"/>
      <c r="R28" s="35" t="str">
        <f>"740→"&amp;COUNTIF(R5:R24,"740")&amp;"戸"</f>
        <v>740→3戸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132"/>
      <c r="AJ28" s="132"/>
      <c r="AK28" s="132"/>
      <c r="AL28" s="115"/>
      <c r="AM28" s="116"/>
      <c r="AN28" s="116"/>
      <c r="AO28" s="116"/>
      <c r="AP28" s="117"/>
      <c r="AQ28" s="44"/>
    </row>
    <row r="29" spans="1:43" s="2" customFormat="1" x14ac:dyDescent="0.4">
      <c r="A29" s="31"/>
      <c r="AG29" s="37"/>
      <c r="AH29" s="37"/>
      <c r="AO29" s="1"/>
    </row>
  </sheetData>
  <autoFilter ref="AI3:AK4" xr:uid="{45B648B9-DC9C-4B5F-ADD0-3046B0E742A6}"/>
  <mergeCells count="47">
    <mergeCell ref="A25:E28"/>
    <mergeCell ref="F25:F28"/>
    <mergeCell ref="AL23:AP23"/>
    <mergeCell ref="AL24:AP24"/>
    <mergeCell ref="Z25:Z28"/>
    <mergeCell ref="AC25:AC28"/>
    <mergeCell ref="AI25:AI28"/>
    <mergeCell ref="AJ25:AJ28"/>
    <mergeCell ref="AK25:AK28"/>
    <mergeCell ref="AL25:AP28"/>
    <mergeCell ref="AD25:AD28"/>
    <mergeCell ref="AL8:AP8"/>
    <mergeCell ref="AL9:AP9"/>
    <mergeCell ref="AL10:AP10"/>
    <mergeCell ref="AL11:AP11"/>
    <mergeCell ref="AL12:AP12"/>
    <mergeCell ref="R3:W3"/>
    <mergeCell ref="AI3:AI4"/>
    <mergeCell ref="AL5:AP5"/>
    <mergeCell ref="AL6:AP6"/>
    <mergeCell ref="AL7:AP7"/>
    <mergeCell ref="A1:AN2"/>
    <mergeCell ref="A3:A4"/>
    <mergeCell ref="B3:B4"/>
    <mergeCell ref="C3:C4"/>
    <mergeCell ref="D3:E4"/>
    <mergeCell ref="F3:F4"/>
    <mergeCell ref="G3:G4"/>
    <mergeCell ref="H3:H4"/>
    <mergeCell ref="I3:J3"/>
    <mergeCell ref="K3:Q3"/>
    <mergeCell ref="X3:AA3"/>
    <mergeCell ref="AB3:AF3"/>
    <mergeCell ref="AG3:AH3"/>
    <mergeCell ref="AJ3:AJ4"/>
    <mergeCell ref="AK3:AK4"/>
    <mergeCell ref="AL3:AP4"/>
    <mergeCell ref="AL13:AP13"/>
    <mergeCell ref="AL14:AP14"/>
    <mergeCell ref="AL15:AP15"/>
    <mergeCell ref="AL16:AP16"/>
    <mergeCell ref="AL17:AP17"/>
    <mergeCell ref="AL18:AP18"/>
    <mergeCell ref="AL19:AP19"/>
    <mergeCell ref="AL20:AP20"/>
    <mergeCell ref="AL21:AP21"/>
    <mergeCell ref="AL22:AP22"/>
  </mergeCells>
  <phoneticPr fontId="1"/>
  <dataValidations count="1">
    <dataValidation imeMode="off" allowBlank="1" showInputMessage="1" showErrorMessage="1" sqref="C1:C3 A29:C1048576 A1:A25 B1:B24 C5:C24" xr:uid="{6CB598DB-4A0F-414C-A411-8E8B951C4369}"/>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27"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CA06E64C-496D-41D6-98F2-4A818B49C041}">
          <x14:formula1>
            <xm:f>Sheet1!$G$6:$G$7</xm:f>
          </x14:formula1>
          <xm:sqref>S5:S24 AA5:AA24</xm:sqref>
        </x14:dataValidation>
        <x14:dataValidation type="list" allowBlank="1" showInputMessage="1" showErrorMessage="1" xr:uid="{BD451CCA-B001-4C52-96C1-1FD81D9AEDF6}">
          <x14:formula1>
            <xm:f>Sheet1!$I$1:$I$2</xm:f>
          </x14:formula1>
          <xm:sqref>X5:X24</xm:sqref>
        </x14:dataValidation>
        <x14:dataValidation type="list" allowBlank="1" showInputMessage="1" showErrorMessage="1" xr:uid="{9EDFF1A9-494F-4FD7-A4B5-82BE34695FC7}">
          <x14:formula1>
            <xm:f>Sheet1!$G$17:$G$18</xm:f>
          </x14:formula1>
          <xm:sqref>AH5:AH24</xm:sqref>
        </x14:dataValidation>
        <x14:dataValidation type="list" allowBlank="1" showInputMessage="1" showErrorMessage="1" xr:uid="{2DBA13BC-8FBE-4763-99F9-0E1AC2CD6F6E}">
          <x14:formula1>
            <xm:f>Sheet1!$E$17:$E$18</xm:f>
          </x14:formula1>
          <xm:sqref>AG5:AG24</xm:sqref>
        </x14:dataValidation>
        <x14:dataValidation type="list" allowBlank="1" showInputMessage="1" showErrorMessage="1" xr:uid="{A0056041-7A1D-4200-BD42-16504BCFC3F1}">
          <x14:formula1>
            <xm:f>Sheet1!$G$1:$G$4</xm:f>
          </x14:formula1>
          <xm:sqref>AE5:AF24</xm:sqref>
        </x14:dataValidation>
        <x14:dataValidation type="list" allowBlank="1" showInputMessage="1" showErrorMessage="1" xr:uid="{4B5D1DDF-FBAE-457B-8358-C3573505A76E}">
          <x14:formula1>
            <xm:f>Sheet1!$A$13:$A$15</xm:f>
          </x14:formula1>
          <xm:sqref>AB5:AB24</xm:sqref>
        </x14:dataValidation>
        <x14:dataValidation type="list" allowBlank="1" showInputMessage="1" showErrorMessage="1" xr:uid="{47D718E2-6A67-4DFA-8F38-80C61D9F877B}">
          <x14:formula1>
            <xm:f>Sheet1!$C$17:$C$20</xm:f>
          </x14:formula1>
          <xm:sqref>T5:T24</xm:sqref>
        </x14:dataValidation>
        <x14:dataValidation type="list" allowBlank="1" showInputMessage="1" showErrorMessage="1" xr:uid="{5D7A6B4B-D29A-4ADD-8E81-764593D2D2C9}">
          <x14:formula1>
            <xm:f>Sheet1!$A$17:$A$20</xm:f>
          </x14:formula1>
          <xm:sqref>R18:R24 R9:R12 R14:R16 R6:R7</xm:sqref>
        </x14:dataValidation>
        <x14:dataValidation type="list" allowBlank="1" showInputMessage="1" showErrorMessage="1" xr:uid="{AF8086A7-2972-47BA-9018-8445E92DD72E}">
          <x14:formula1>
            <xm:f>Sheet1!$C$6:$C$7</xm:f>
          </x14:formula1>
          <xm:sqref>U5:U24 AJ5:AK24 AC5:AD24 M5:O24</xm:sqref>
        </x14:dataValidation>
        <x14:dataValidation type="list" allowBlank="1" showInputMessage="1" showErrorMessage="1" xr:uid="{43D5DAB2-9983-4128-ADDA-77B2DCEEE0BF}">
          <x14:formula1>
            <xm:f>Sheet1!$E$9:$E$11</xm:f>
          </x14:formula1>
          <xm:sqref>L5:L24</xm:sqref>
        </x14:dataValidation>
        <x14:dataValidation type="list" allowBlank="1" showInputMessage="1" showErrorMessage="1" xr:uid="{751EF053-BFF4-44E0-804D-0B0177CF2F6D}">
          <x14:formula1>
            <xm:f>Sheet1!$G$9:$G$12</xm:f>
          </x14:formula1>
          <xm:sqref>K5:K23</xm:sqref>
        </x14:dataValidation>
        <x14:dataValidation type="list" allowBlank="1" showInputMessage="1" showErrorMessage="1" xr:uid="{F02B63B7-4F3F-426D-9031-674CA3935A7B}">
          <x14:formula1>
            <xm:f>Sheet1!$D$1:$D$3</xm:f>
          </x14:formula1>
          <xm:sqref>J5:J24</xm:sqref>
        </x14:dataValidation>
        <x14:dataValidation type="list" allowBlank="1" showInputMessage="1" showErrorMessage="1" xr:uid="{2DD09240-4C15-4B4F-A513-D22BDB17DE36}">
          <x14:formula1>
            <xm:f>Sheet1!$A$9:$A$11</xm:f>
          </x14:formula1>
          <xm:sqref>V5:V24 P5:P24 I5:I24</xm:sqref>
        </x14:dataValidation>
        <x14:dataValidation type="list" allowBlank="1" showInputMessage="1" showErrorMessage="1" xr:uid="{A40DE1D3-47E4-409E-BB8F-3D5947155022}">
          <x14:formula1>
            <xm:f>Sheet1!$A$6:$A$7</xm:f>
          </x14:formula1>
          <xm:sqref>H5:H24</xm:sqref>
        </x14:dataValidation>
        <x14:dataValidation type="list" allowBlank="1" showInputMessage="1" showErrorMessage="1" xr:uid="{773B8E92-1D10-41BD-96EE-A4F4416B7B55}">
          <x14:formula1>
            <xm:f>Sheet1!$A$1:$A$4</xm:f>
          </x14:formula1>
          <xm:sqref>G5:G24</xm:sqref>
        </x14:dataValidation>
        <x14:dataValidation type="list" allowBlank="1" showInputMessage="1" showErrorMessage="1" xr:uid="{8987A6F6-EA57-438F-89EC-0AC11B2F18B0}">
          <x14:formula1>
            <xm:f>Sheet1!$C$9:$C$11</xm:f>
          </x14:formula1>
          <xm:sqref>W5:W23 Q5:Q23</xm:sqref>
        </x14:dataValidation>
        <x14:dataValidation type="list" allowBlank="1" showInputMessage="1" showErrorMessage="1" xr:uid="{C2EEB13D-9F5E-47F9-84A2-32AF750DEED6}">
          <x14:formula1>
            <xm:f>Sheet1!$C$6:$C$8</xm:f>
          </x14:formula1>
          <xm:sqref>AI5:AI24</xm:sqref>
        </x14:dataValidation>
        <x14:dataValidation type="list" allowBlank="1" showInputMessage="1" showErrorMessage="1" xr:uid="{16F86D7F-6FD5-47CF-8C8A-6F96772B12AA}">
          <x14:formula1>
            <xm:f>Sheet1!$I$9:$I$13</xm:f>
          </x14:formula1>
          <xm:sqref>Y5:Y23</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F5939-C38E-4DF4-99AF-E240C77C2477}">
  <sheetPr codeName="Sheet23">
    <tabColor theme="4" tint="0.39997558519241921"/>
  </sheetPr>
  <dimension ref="A1:AU29"/>
  <sheetViews>
    <sheetView view="pageBreakPreview" zoomScaleNormal="40" zoomScaleSheetLayoutView="70" workbookViewId="0">
      <pane xSplit="5" ySplit="4" topLeftCell="AI5" activePane="bottomRight" state="frozen"/>
      <selection activeCell="A5" sqref="A5:F23"/>
      <selection pane="topRight" activeCell="A5" sqref="A5:F23"/>
      <selection pane="bottomLeft" activeCell="A5" sqref="A5:F23"/>
      <selection pane="bottomRight" activeCell="N6" sqref="N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2" width="9.125" style="2" customWidth="1"/>
    <col min="43" max="43" width="25.25" style="2" customWidth="1"/>
    <col min="44" max="44" width="9.5" style="1" customWidth="1"/>
    <col min="45" max="45" width="10" style="2" customWidth="1"/>
    <col min="46" max="47" width="12" style="2" customWidth="1"/>
    <col min="48" max="52" width="12" style="1" customWidth="1"/>
    <col min="53" max="16384" width="8.625" style="1"/>
  </cols>
  <sheetData>
    <row r="1" spans="1:47"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c r="AQ1" s="81"/>
    </row>
    <row r="2" spans="1:47"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c r="AQ2" s="82"/>
    </row>
    <row r="3" spans="1:47"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101"/>
      <c r="AQ3" s="88"/>
      <c r="AS3" s="1"/>
      <c r="AT3" s="1"/>
      <c r="AU3" s="1"/>
    </row>
    <row r="4" spans="1:47" s="2" customFormat="1" ht="15" customHeight="1" x14ac:dyDescent="0.4">
      <c r="A4" s="83"/>
      <c r="B4" s="84"/>
      <c r="C4" s="86"/>
      <c r="D4" s="89"/>
      <c r="E4" s="90"/>
      <c r="F4" s="84"/>
      <c r="G4" s="86"/>
      <c r="H4" s="86"/>
      <c r="I4" s="5" t="s">
        <v>16</v>
      </c>
      <c r="J4" s="5" t="s">
        <v>27</v>
      </c>
      <c r="K4" s="5" t="s">
        <v>2</v>
      </c>
      <c r="L4" s="5" t="s">
        <v>28</v>
      </c>
      <c r="M4" s="5" t="s">
        <v>14</v>
      </c>
      <c r="N4" s="5" t="s">
        <v>898</v>
      </c>
      <c r="O4" s="5" t="s">
        <v>966</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102"/>
      <c r="AQ4" s="90"/>
    </row>
    <row r="5" spans="1:47" s="10" customFormat="1" ht="15" customHeight="1" x14ac:dyDescent="0.4">
      <c r="A5" s="6">
        <v>23</v>
      </c>
      <c r="B5" s="6">
        <v>101</v>
      </c>
      <c r="C5" s="6" t="s">
        <v>80</v>
      </c>
      <c r="D5" s="18" t="s">
        <v>1107</v>
      </c>
      <c r="E5" s="32" t="s">
        <v>18</v>
      </c>
      <c r="F5" s="6" t="s">
        <v>1108</v>
      </c>
      <c r="G5" s="6" t="s">
        <v>43</v>
      </c>
      <c r="H5" s="6" t="s">
        <v>52</v>
      </c>
      <c r="I5" s="6" t="s">
        <v>84</v>
      </c>
      <c r="J5" s="6" t="s">
        <v>85</v>
      </c>
      <c r="K5" s="6" t="s">
        <v>60</v>
      </c>
      <c r="L5" s="6" t="s">
        <v>92</v>
      </c>
      <c r="M5" s="6" t="s">
        <v>45</v>
      </c>
      <c r="N5" s="6" t="s">
        <v>45</v>
      </c>
      <c r="O5" s="6" t="s">
        <v>45</v>
      </c>
      <c r="P5" s="6" t="s">
        <v>84</v>
      </c>
      <c r="Q5" s="6" t="s">
        <v>86</v>
      </c>
      <c r="R5" s="6" t="s">
        <v>1109</v>
      </c>
      <c r="S5" s="16" t="s">
        <v>39</v>
      </c>
      <c r="T5" s="6">
        <v>900</v>
      </c>
      <c r="U5" s="6" t="s">
        <v>45</v>
      </c>
      <c r="V5" s="6" t="s">
        <v>84</v>
      </c>
      <c r="W5" s="6" t="s">
        <v>86</v>
      </c>
      <c r="X5" s="16" t="s">
        <v>60</v>
      </c>
      <c r="Y5" s="16" t="s">
        <v>87</v>
      </c>
      <c r="Z5" s="16" t="s">
        <v>1110</v>
      </c>
      <c r="AA5" s="16" t="s">
        <v>65</v>
      </c>
      <c r="AB5" s="7" t="s">
        <v>88</v>
      </c>
      <c r="AC5" s="8" t="s">
        <v>45</v>
      </c>
      <c r="AD5" s="8" t="s">
        <v>23</v>
      </c>
      <c r="AE5" s="8" t="s">
        <v>50</v>
      </c>
      <c r="AF5" s="16" t="s">
        <v>50</v>
      </c>
      <c r="AG5" s="17" t="s">
        <v>60</v>
      </c>
      <c r="AH5" s="17" t="s">
        <v>62</v>
      </c>
      <c r="AI5" s="17" t="s">
        <v>45</v>
      </c>
      <c r="AJ5" s="17" t="s">
        <v>45</v>
      </c>
      <c r="AK5" s="9" t="s">
        <v>23</v>
      </c>
      <c r="AL5" s="103" t="s">
        <v>1111</v>
      </c>
      <c r="AM5" s="104"/>
      <c r="AN5" s="104"/>
      <c r="AO5" s="104"/>
      <c r="AP5" s="104"/>
      <c r="AQ5" s="105"/>
    </row>
    <row r="6" spans="1:47" s="14" customFormat="1" ht="15" customHeight="1" x14ac:dyDescent="0.4">
      <c r="A6" s="11">
        <v>23</v>
      </c>
      <c r="B6" s="11">
        <v>201</v>
      </c>
      <c r="C6" s="11" t="s">
        <v>80</v>
      </c>
      <c r="D6" s="13" t="s">
        <v>1112</v>
      </c>
      <c r="E6" s="33" t="s">
        <v>18</v>
      </c>
      <c r="F6" s="11" t="s">
        <v>1113</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1114</v>
      </c>
      <c r="AA6" s="40" t="s">
        <v>65</v>
      </c>
      <c r="AB6" s="12" t="s">
        <v>88</v>
      </c>
      <c r="AC6" s="11" t="s">
        <v>45</v>
      </c>
      <c r="AD6" s="11" t="s">
        <v>45</v>
      </c>
      <c r="AE6" s="11" t="s">
        <v>116</v>
      </c>
      <c r="AF6" s="11" t="s">
        <v>50</v>
      </c>
      <c r="AG6" s="13" t="s">
        <v>60</v>
      </c>
      <c r="AH6" s="13" t="s">
        <v>62</v>
      </c>
      <c r="AI6" s="13" t="s">
        <v>45</v>
      </c>
      <c r="AJ6" s="13" t="s">
        <v>45</v>
      </c>
      <c r="AK6" s="13" t="s">
        <v>23</v>
      </c>
      <c r="AL6" s="94" t="s">
        <v>1115</v>
      </c>
      <c r="AM6" s="95"/>
      <c r="AN6" s="95"/>
      <c r="AO6" s="95"/>
      <c r="AP6" s="95"/>
      <c r="AQ6" s="96"/>
    </row>
    <row r="7" spans="1:47" s="10" customFormat="1" ht="35.25" customHeight="1" x14ac:dyDescent="0.4">
      <c r="A7" s="6">
        <v>23</v>
      </c>
      <c r="B7" s="6">
        <v>301</v>
      </c>
      <c r="C7" s="6" t="s">
        <v>80</v>
      </c>
      <c r="D7" s="18" t="s">
        <v>1102</v>
      </c>
      <c r="E7" s="34" t="s">
        <v>18</v>
      </c>
      <c r="F7" s="6" t="s">
        <v>1103</v>
      </c>
      <c r="G7" s="6" t="s">
        <v>43</v>
      </c>
      <c r="H7" s="6" t="s">
        <v>52</v>
      </c>
      <c r="I7" s="6" t="s">
        <v>84</v>
      </c>
      <c r="J7" s="6" t="s">
        <v>85</v>
      </c>
      <c r="K7" s="6" t="s">
        <v>19</v>
      </c>
      <c r="L7" s="6" t="s">
        <v>92</v>
      </c>
      <c r="M7" s="6" t="s">
        <v>23</v>
      </c>
      <c r="N7" s="6" t="s">
        <v>45</v>
      </c>
      <c r="O7" s="6" t="s">
        <v>23</v>
      </c>
      <c r="P7" s="6" t="s">
        <v>84</v>
      </c>
      <c r="Q7" s="6" t="s">
        <v>86</v>
      </c>
      <c r="R7" s="6">
        <v>750</v>
      </c>
      <c r="S7" s="6" t="s">
        <v>39</v>
      </c>
      <c r="T7" s="6">
        <v>900</v>
      </c>
      <c r="U7" s="6" t="s">
        <v>23</v>
      </c>
      <c r="V7" s="6" t="s">
        <v>84</v>
      </c>
      <c r="W7" s="6" t="s">
        <v>86</v>
      </c>
      <c r="X7" s="6" t="s">
        <v>60</v>
      </c>
      <c r="Y7" s="6" t="s">
        <v>87</v>
      </c>
      <c r="Z7" s="6" t="s">
        <v>1104</v>
      </c>
      <c r="AA7" s="6" t="s">
        <v>65</v>
      </c>
      <c r="AB7" s="15" t="s">
        <v>88</v>
      </c>
      <c r="AC7" s="16" t="s">
        <v>23</v>
      </c>
      <c r="AD7" s="16" t="s">
        <v>23</v>
      </c>
      <c r="AE7" s="16" t="s">
        <v>116</v>
      </c>
      <c r="AF7" s="16" t="s">
        <v>116</v>
      </c>
      <c r="AG7" s="17" t="s">
        <v>60</v>
      </c>
      <c r="AH7" s="17" t="s">
        <v>62</v>
      </c>
      <c r="AI7" s="17" t="s">
        <v>45</v>
      </c>
      <c r="AJ7" s="17" t="s">
        <v>45</v>
      </c>
      <c r="AK7" s="17" t="s">
        <v>23</v>
      </c>
      <c r="AL7" s="106" t="s">
        <v>1105</v>
      </c>
      <c r="AM7" s="107"/>
      <c r="AN7" s="107"/>
      <c r="AO7" s="107"/>
      <c r="AP7" s="107"/>
      <c r="AQ7" s="108"/>
    </row>
    <row r="8" spans="1:47" s="14" customFormat="1" ht="15" customHeight="1" x14ac:dyDescent="0.4">
      <c r="A8" s="11">
        <v>23</v>
      </c>
      <c r="B8" s="11">
        <v>401</v>
      </c>
      <c r="C8" s="11" t="s">
        <v>80</v>
      </c>
      <c r="D8" s="13"/>
      <c r="E8" s="33" t="s">
        <v>18</v>
      </c>
      <c r="F8" s="11"/>
      <c r="G8" s="11" t="s">
        <v>40</v>
      </c>
      <c r="H8" s="11" t="s">
        <v>52</v>
      </c>
      <c r="I8" s="11" t="s">
        <v>84</v>
      </c>
      <c r="J8" s="11" t="s">
        <v>85</v>
      </c>
      <c r="K8" s="11" t="s">
        <v>19</v>
      </c>
      <c r="L8" s="11" t="s">
        <v>24</v>
      </c>
      <c r="M8" s="11" t="s">
        <v>45</v>
      </c>
      <c r="N8" s="11" t="s">
        <v>45</v>
      </c>
      <c r="O8" s="11" t="s">
        <v>23</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50</v>
      </c>
      <c r="AF8" s="11" t="s">
        <v>50</v>
      </c>
      <c r="AG8" s="13" t="s">
        <v>60</v>
      </c>
      <c r="AH8" s="13" t="s">
        <v>62</v>
      </c>
      <c r="AI8" s="13" t="s">
        <v>45</v>
      </c>
      <c r="AJ8" s="13" t="s">
        <v>23</v>
      </c>
      <c r="AK8" s="13" t="s">
        <v>45</v>
      </c>
      <c r="AL8" s="94" t="s">
        <v>1106</v>
      </c>
      <c r="AM8" s="95"/>
      <c r="AN8" s="95"/>
      <c r="AO8" s="95"/>
      <c r="AP8" s="95"/>
      <c r="AQ8" s="96"/>
    </row>
    <row r="9" spans="1:47" s="10" customFormat="1" ht="42.75" customHeight="1" x14ac:dyDescent="0.4">
      <c r="A9" s="6">
        <v>23</v>
      </c>
      <c r="B9" s="6">
        <v>501</v>
      </c>
      <c r="C9" s="6" t="s">
        <v>80</v>
      </c>
      <c r="D9" s="18" t="s">
        <v>1074</v>
      </c>
      <c r="E9" s="34" t="s">
        <v>18</v>
      </c>
      <c r="F9" s="46" t="s">
        <v>1075</v>
      </c>
      <c r="G9" s="6" t="s">
        <v>43</v>
      </c>
      <c r="H9" s="6" t="s">
        <v>52</v>
      </c>
      <c r="I9" s="6" t="s">
        <v>84</v>
      </c>
      <c r="J9" s="6" t="s">
        <v>85</v>
      </c>
      <c r="K9" s="6" t="s">
        <v>19</v>
      </c>
      <c r="L9" s="6" t="s">
        <v>92</v>
      </c>
      <c r="M9" s="6" t="s">
        <v>45</v>
      </c>
      <c r="N9" s="6" t="s">
        <v>23</v>
      </c>
      <c r="O9" s="6" t="s">
        <v>45</v>
      </c>
      <c r="P9" s="6" t="s">
        <v>84</v>
      </c>
      <c r="Q9" s="6" t="s">
        <v>86</v>
      </c>
      <c r="R9" s="6" t="s">
        <v>1076</v>
      </c>
      <c r="S9" s="6" t="s">
        <v>39</v>
      </c>
      <c r="T9" s="6">
        <v>900</v>
      </c>
      <c r="U9" s="6" t="s">
        <v>45</v>
      </c>
      <c r="V9" s="6" t="s">
        <v>84</v>
      </c>
      <c r="W9" s="6" t="s">
        <v>86</v>
      </c>
      <c r="X9" s="6" t="s">
        <v>60</v>
      </c>
      <c r="Y9" s="6" t="s">
        <v>87</v>
      </c>
      <c r="Z9" s="6" t="s">
        <v>1077</v>
      </c>
      <c r="AA9" s="6" t="s">
        <v>39</v>
      </c>
      <c r="AB9" s="15" t="s">
        <v>19</v>
      </c>
      <c r="AC9" s="16" t="s">
        <v>23</v>
      </c>
      <c r="AD9" s="16" t="s">
        <v>45</v>
      </c>
      <c r="AE9" s="16" t="s">
        <v>116</v>
      </c>
      <c r="AF9" s="16" t="s">
        <v>50</v>
      </c>
      <c r="AG9" s="17" t="s">
        <v>60</v>
      </c>
      <c r="AH9" s="17" t="s">
        <v>62</v>
      </c>
      <c r="AI9" s="17" t="s">
        <v>45</v>
      </c>
      <c r="AJ9" s="17" t="s">
        <v>23</v>
      </c>
      <c r="AK9" s="17" t="s">
        <v>23</v>
      </c>
      <c r="AL9" s="78" t="s">
        <v>1078</v>
      </c>
      <c r="AM9" s="79"/>
      <c r="AN9" s="79"/>
      <c r="AO9" s="79"/>
      <c r="AP9" s="79"/>
      <c r="AQ9" s="80"/>
    </row>
    <row r="10" spans="1:47" s="14" customFormat="1" ht="43.5" customHeight="1" x14ac:dyDescent="0.4">
      <c r="A10" s="11">
        <v>23</v>
      </c>
      <c r="B10" s="11">
        <v>102</v>
      </c>
      <c r="C10" s="11" t="s">
        <v>80</v>
      </c>
      <c r="D10" s="13" t="s">
        <v>1123</v>
      </c>
      <c r="E10" s="33" t="s">
        <v>18</v>
      </c>
      <c r="F10" s="11" t="s">
        <v>1124</v>
      </c>
      <c r="G10" s="11" t="s">
        <v>40</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86</v>
      </c>
      <c r="X10" s="40" t="s">
        <v>60</v>
      </c>
      <c r="Y10" s="40" t="s">
        <v>1125</v>
      </c>
      <c r="Z10" s="40">
        <v>557005</v>
      </c>
      <c r="AA10" s="40" t="s">
        <v>65</v>
      </c>
      <c r="AB10" s="12" t="s">
        <v>19</v>
      </c>
      <c r="AC10" s="11" t="s">
        <v>45</v>
      </c>
      <c r="AD10" s="11" t="s">
        <v>45</v>
      </c>
      <c r="AE10" s="11" t="s">
        <v>50</v>
      </c>
      <c r="AF10" s="11" t="s">
        <v>50</v>
      </c>
      <c r="AG10" s="13" t="s">
        <v>60</v>
      </c>
      <c r="AH10" s="13" t="s">
        <v>62</v>
      </c>
      <c r="AI10" s="13" t="s">
        <v>45</v>
      </c>
      <c r="AJ10" s="13" t="s">
        <v>45</v>
      </c>
      <c r="AK10" s="13" t="s">
        <v>45</v>
      </c>
      <c r="AL10" s="133" t="s">
        <v>1126</v>
      </c>
      <c r="AM10" s="95"/>
      <c r="AN10" s="95"/>
      <c r="AO10" s="95"/>
      <c r="AP10" s="95"/>
      <c r="AQ10" s="96"/>
    </row>
    <row r="11" spans="1:47" s="10" customFormat="1" ht="23.25" customHeight="1" x14ac:dyDescent="0.4">
      <c r="A11" s="6">
        <v>23</v>
      </c>
      <c r="B11" s="6">
        <v>202</v>
      </c>
      <c r="C11" s="6" t="s">
        <v>80</v>
      </c>
      <c r="D11" s="18" t="s">
        <v>1116</v>
      </c>
      <c r="E11" s="34" t="s">
        <v>18</v>
      </c>
      <c r="F11" s="46" t="s">
        <v>1117</v>
      </c>
      <c r="G11" s="6" t="s">
        <v>43</v>
      </c>
      <c r="H11" s="6" t="s">
        <v>52</v>
      </c>
      <c r="I11" s="6" t="s">
        <v>84</v>
      </c>
      <c r="J11" s="6" t="s">
        <v>85</v>
      </c>
      <c r="K11" s="6" t="s">
        <v>60</v>
      </c>
      <c r="L11" s="6" t="s">
        <v>92</v>
      </c>
      <c r="M11" s="6" t="s">
        <v>45</v>
      </c>
      <c r="N11" s="6" t="s">
        <v>45</v>
      </c>
      <c r="O11" s="6" t="s">
        <v>23</v>
      </c>
      <c r="P11" s="6" t="s">
        <v>84</v>
      </c>
      <c r="Q11" s="6" t="s">
        <v>86</v>
      </c>
      <c r="R11" s="6">
        <v>600</v>
      </c>
      <c r="S11" s="6" t="s">
        <v>39</v>
      </c>
      <c r="T11" s="6">
        <v>900</v>
      </c>
      <c r="U11" s="6" t="s">
        <v>45</v>
      </c>
      <c r="V11" s="6" t="s">
        <v>84</v>
      </c>
      <c r="W11" s="6" t="s">
        <v>86</v>
      </c>
      <c r="X11" s="6" t="s">
        <v>60</v>
      </c>
      <c r="Y11" s="6" t="s">
        <v>87</v>
      </c>
      <c r="Z11" s="6" t="s">
        <v>1118</v>
      </c>
      <c r="AA11" s="6" t="s">
        <v>39</v>
      </c>
      <c r="AB11" s="15" t="s">
        <v>19</v>
      </c>
      <c r="AC11" s="16" t="s">
        <v>45</v>
      </c>
      <c r="AD11" s="16" t="s">
        <v>45</v>
      </c>
      <c r="AE11" s="16" t="s">
        <v>116</v>
      </c>
      <c r="AF11" s="16" t="s">
        <v>50</v>
      </c>
      <c r="AG11" s="17" t="s">
        <v>60</v>
      </c>
      <c r="AH11" s="17" t="s">
        <v>62</v>
      </c>
      <c r="AI11" s="17" t="s">
        <v>23</v>
      </c>
      <c r="AJ11" s="17" t="s">
        <v>45</v>
      </c>
      <c r="AK11" s="17" t="s">
        <v>45</v>
      </c>
      <c r="AL11" s="78" t="s">
        <v>1119</v>
      </c>
      <c r="AM11" s="79"/>
      <c r="AN11" s="79"/>
      <c r="AO11" s="79"/>
      <c r="AP11" s="79"/>
      <c r="AQ11" s="80"/>
    </row>
    <row r="12" spans="1:47" s="14" customFormat="1" ht="15" customHeight="1" x14ac:dyDescent="0.4">
      <c r="A12" s="11">
        <v>23</v>
      </c>
      <c r="B12" s="11">
        <v>302</v>
      </c>
      <c r="C12" s="11" t="s">
        <v>80</v>
      </c>
      <c r="D12" s="13" t="s">
        <v>1120</v>
      </c>
      <c r="E12" s="33" t="s">
        <v>18</v>
      </c>
      <c r="F12" s="11" t="s">
        <v>1121</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531</v>
      </c>
      <c r="Z12" s="40"/>
      <c r="AA12" s="40" t="s">
        <v>65</v>
      </c>
      <c r="AB12" s="12" t="s">
        <v>19</v>
      </c>
      <c r="AC12" s="11" t="s">
        <v>45</v>
      </c>
      <c r="AD12" s="11" t="s">
        <v>45</v>
      </c>
      <c r="AE12" s="11" t="s">
        <v>116</v>
      </c>
      <c r="AF12" s="11" t="s">
        <v>50</v>
      </c>
      <c r="AG12" s="13" t="s">
        <v>60</v>
      </c>
      <c r="AH12" s="13" t="s">
        <v>62</v>
      </c>
      <c r="AI12" s="13" t="s">
        <v>45</v>
      </c>
      <c r="AJ12" s="13" t="s">
        <v>23</v>
      </c>
      <c r="AK12" s="13" t="s">
        <v>45</v>
      </c>
      <c r="AL12" s="94" t="s">
        <v>1122</v>
      </c>
      <c r="AM12" s="95"/>
      <c r="AN12" s="95"/>
      <c r="AO12" s="95"/>
      <c r="AP12" s="95"/>
      <c r="AQ12" s="96"/>
    </row>
    <row r="13" spans="1:47" s="10" customFormat="1" ht="15" customHeight="1" x14ac:dyDescent="0.4">
      <c r="A13" s="6">
        <v>23</v>
      </c>
      <c r="B13" s="6">
        <v>402</v>
      </c>
      <c r="C13" s="6" t="s">
        <v>80</v>
      </c>
      <c r="D13" s="18" t="s">
        <v>1098</v>
      </c>
      <c r="E13" s="34" t="s">
        <v>18</v>
      </c>
      <c r="F13" s="6" t="s">
        <v>1099</v>
      </c>
      <c r="G13" s="6" t="s">
        <v>43</v>
      </c>
      <c r="H13" s="6" t="s">
        <v>52</v>
      </c>
      <c r="I13" s="6" t="s">
        <v>84</v>
      </c>
      <c r="J13" s="6" t="s">
        <v>85</v>
      </c>
      <c r="K13" s="6" t="s">
        <v>60</v>
      </c>
      <c r="L13" s="6" t="s">
        <v>92</v>
      </c>
      <c r="M13" s="6" t="s">
        <v>45</v>
      </c>
      <c r="N13" s="6" t="s">
        <v>45</v>
      </c>
      <c r="O13" s="6" t="s">
        <v>23</v>
      </c>
      <c r="P13" s="6" t="s">
        <v>84</v>
      </c>
      <c r="Q13" s="6" t="s">
        <v>86</v>
      </c>
      <c r="R13" s="6">
        <v>750</v>
      </c>
      <c r="S13" s="6" t="s">
        <v>39</v>
      </c>
      <c r="T13" s="6">
        <v>800</v>
      </c>
      <c r="U13" s="6" t="s">
        <v>45</v>
      </c>
      <c r="V13" s="6" t="s">
        <v>84</v>
      </c>
      <c r="W13" s="6" t="s">
        <v>86</v>
      </c>
      <c r="X13" s="6" t="s">
        <v>60</v>
      </c>
      <c r="Y13" s="6" t="s">
        <v>87</v>
      </c>
      <c r="Z13" s="6" t="s">
        <v>1100</v>
      </c>
      <c r="AA13" s="6" t="s">
        <v>65</v>
      </c>
      <c r="AB13" s="15" t="s">
        <v>88</v>
      </c>
      <c r="AC13" s="16" t="s">
        <v>45</v>
      </c>
      <c r="AD13" s="16" t="s">
        <v>23</v>
      </c>
      <c r="AE13" s="16" t="s">
        <v>50</v>
      </c>
      <c r="AF13" s="16" t="s">
        <v>50</v>
      </c>
      <c r="AG13" s="17" t="s">
        <v>60</v>
      </c>
      <c r="AH13" s="17" t="s">
        <v>62</v>
      </c>
      <c r="AI13" s="17" t="s">
        <v>45</v>
      </c>
      <c r="AJ13" s="17" t="s">
        <v>45</v>
      </c>
      <c r="AK13" s="17" t="s">
        <v>45</v>
      </c>
      <c r="AL13" s="78" t="s">
        <v>1101</v>
      </c>
      <c r="AM13" s="79"/>
      <c r="AN13" s="79"/>
      <c r="AO13" s="79"/>
      <c r="AP13" s="79"/>
      <c r="AQ13" s="80"/>
    </row>
    <row r="14" spans="1:47" s="14" customFormat="1" ht="15" customHeight="1" x14ac:dyDescent="0.4">
      <c r="A14" s="11">
        <v>23</v>
      </c>
      <c r="B14" s="11">
        <v>502</v>
      </c>
      <c r="C14" s="11" t="s">
        <v>80</v>
      </c>
      <c r="D14" s="13" t="s">
        <v>1079</v>
      </c>
      <c r="E14" s="33" t="s">
        <v>18</v>
      </c>
      <c r="F14" s="11" t="s">
        <v>1080</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800</v>
      </c>
      <c r="U14" s="11" t="s">
        <v>45</v>
      </c>
      <c r="V14" s="11" t="s">
        <v>84</v>
      </c>
      <c r="W14" s="11" t="s">
        <v>86</v>
      </c>
      <c r="X14" s="40" t="s">
        <v>60</v>
      </c>
      <c r="Y14" s="40" t="s">
        <v>87</v>
      </c>
      <c r="Z14" s="40" t="s">
        <v>1081</v>
      </c>
      <c r="AA14" s="40" t="s">
        <v>65</v>
      </c>
      <c r="AB14" s="12" t="s">
        <v>19</v>
      </c>
      <c r="AC14" s="11" t="s">
        <v>45</v>
      </c>
      <c r="AD14" s="11" t="s">
        <v>45</v>
      </c>
      <c r="AE14" s="11" t="s">
        <v>50</v>
      </c>
      <c r="AF14" s="11" t="s">
        <v>50</v>
      </c>
      <c r="AG14" s="13" t="s">
        <v>60</v>
      </c>
      <c r="AH14" s="13" t="s">
        <v>62</v>
      </c>
      <c r="AI14" s="13" t="s">
        <v>23</v>
      </c>
      <c r="AJ14" s="13" t="s">
        <v>45</v>
      </c>
      <c r="AK14" s="13" t="s">
        <v>23</v>
      </c>
      <c r="AL14" s="94" t="s">
        <v>2755</v>
      </c>
      <c r="AM14" s="95"/>
      <c r="AN14" s="95"/>
      <c r="AO14" s="95"/>
      <c r="AP14" s="95"/>
      <c r="AQ14" s="96"/>
    </row>
    <row r="15" spans="1:47" s="10" customFormat="1" ht="30" customHeight="1" x14ac:dyDescent="0.4">
      <c r="A15" s="6">
        <v>23</v>
      </c>
      <c r="B15" s="6">
        <v>103</v>
      </c>
      <c r="C15" s="6" t="s">
        <v>80</v>
      </c>
      <c r="D15" s="18" t="s">
        <v>1156</v>
      </c>
      <c r="E15" s="34" t="s">
        <v>18</v>
      </c>
      <c r="F15" s="6" t="s">
        <v>1157</v>
      </c>
      <c r="G15" s="6" t="s">
        <v>43</v>
      </c>
      <c r="H15" s="6" t="s">
        <v>52</v>
      </c>
      <c r="I15" s="6" t="s">
        <v>84</v>
      </c>
      <c r="J15" s="6" t="s">
        <v>85</v>
      </c>
      <c r="K15" s="6" t="s">
        <v>19</v>
      </c>
      <c r="L15" s="6" t="s">
        <v>24</v>
      </c>
      <c r="M15" s="6" t="s">
        <v>45</v>
      </c>
      <c r="N15" s="6" t="s">
        <v>45</v>
      </c>
      <c r="O15" s="6" t="s">
        <v>23</v>
      </c>
      <c r="P15" s="6" t="s">
        <v>84</v>
      </c>
      <c r="Q15" s="6" t="s">
        <v>86</v>
      </c>
      <c r="R15" s="6">
        <v>750</v>
      </c>
      <c r="S15" s="6" t="s">
        <v>39</v>
      </c>
      <c r="T15" s="6">
        <v>900</v>
      </c>
      <c r="U15" s="6" t="s">
        <v>45</v>
      </c>
      <c r="V15" s="6" t="s">
        <v>84</v>
      </c>
      <c r="W15" s="6" t="s">
        <v>86</v>
      </c>
      <c r="X15" s="6" t="s">
        <v>19</v>
      </c>
      <c r="Y15" s="6"/>
      <c r="Z15" s="6"/>
      <c r="AA15" s="6" t="s">
        <v>65</v>
      </c>
      <c r="AB15" s="15" t="s">
        <v>19</v>
      </c>
      <c r="AC15" s="16" t="s">
        <v>45</v>
      </c>
      <c r="AD15" s="16" t="s">
        <v>45</v>
      </c>
      <c r="AE15" s="16" t="s">
        <v>116</v>
      </c>
      <c r="AF15" s="16" t="s">
        <v>50</v>
      </c>
      <c r="AG15" s="17" t="s">
        <v>60</v>
      </c>
      <c r="AH15" s="17" t="s">
        <v>62</v>
      </c>
      <c r="AI15" s="17" t="s">
        <v>45</v>
      </c>
      <c r="AJ15" s="17" t="s">
        <v>23</v>
      </c>
      <c r="AK15" s="17" t="s">
        <v>45</v>
      </c>
      <c r="AL15" s="106" t="s">
        <v>1158</v>
      </c>
      <c r="AM15" s="107"/>
      <c r="AN15" s="107"/>
      <c r="AO15" s="107"/>
      <c r="AP15" s="107"/>
      <c r="AQ15" s="108"/>
    </row>
    <row r="16" spans="1:47" s="14" customFormat="1" ht="51" customHeight="1" x14ac:dyDescent="0.4">
      <c r="A16" s="11">
        <v>23</v>
      </c>
      <c r="B16" s="11">
        <v>203</v>
      </c>
      <c r="C16" s="11" t="s">
        <v>80</v>
      </c>
      <c r="D16" s="13" t="s">
        <v>1159</v>
      </c>
      <c r="E16" s="33" t="s">
        <v>18</v>
      </c>
      <c r="F16" s="45" t="s">
        <v>1160</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60</v>
      </c>
      <c r="Y16" s="40" t="s">
        <v>531</v>
      </c>
      <c r="Z16" s="40"/>
      <c r="AA16" s="40" t="s">
        <v>65</v>
      </c>
      <c r="AB16" s="12" t="s">
        <v>88</v>
      </c>
      <c r="AC16" s="11" t="s">
        <v>45</v>
      </c>
      <c r="AD16" s="11" t="s">
        <v>23</v>
      </c>
      <c r="AE16" s="11" t="s">
        <v>50</v>
      </c>
      <c r="AF16" s="11" t="s">
        <v>50</v>
      </c>
      <c r="AG16" s="13" t="s">
        <v>60</v>
      </c>
      <c r="AH16" s="13" t="s">
        <v>62</v>
      </c>
      <c r="AI16" s="13" t="s">
        <v>45</v>
      </c>
      <c r="AJ16" s="13" t="s">
        <v>45</v>
      </c>
      <c r="AK16" s="13" t="s">
        <v>45</v>
      </c>
      <c r="AL16" s="133" t="s">
        <v>1161</v>
      </c>
      <c r="AM16" s="134"/>
      <c r="AN16" s="134"/>
      <c r="AO16" s="134"/>
      <c r="AP16" s="134"/>
      <c r="AQ16" s="135"/>
    </row>
    <row r="17" spans="1:44" s="10" customFormat="1" ht="42" customHeight="1" x14ac:dyDescent="0.4">
      <c r="A17" s="6">
        <v>23</v>
      </c>
      <c r="B17" s="6">
        <v>303</v>
      </c>
      <c r="C17" s="6" t="s">
        <v>80</v>
      </c>
      <c r="D17" s="18" t="s">
        <v>1127</v>
      </c>
      <c r="E17" s="34" t="s">
        <v>18</v>
      </c>
      <c r="F17" s="6" t="s">
        <v>1128</v>
      </c>
      <c r="G17" s="6" t="s">
        <v>43</v>
      </c>
      <c r="H17" s="6" t="s">
        <v>52</v>
      </c>
      <c r="I17" s="6" t="s">
        <v>84</v>
      </c>
      <c r="J17" s="6" t="s">
        <v>85</v>
      </c>
      <c r="K17" s="6" t="s">
        <v>60</v>
      </c>
      <c r="L17" s="6" t="s">
        <v>92</v>
      </c>
      <c r="M17" s="6" t="s">
        <v>45</v>
      </c>
      <c r="N17" s="6" t="s">
        <v>45</v>
      </c>
      <c r="O17" s="6" t="s">
        <v>23</v>
      </c>
      <c r="P17" s="6" t="s">
        <v>84</v>
      </c>
      <c r="Q17" s="6" t="s">
        <v>86</v>
      </c>
      <c r="R17" s="6">
        <v>900</v>
      </c>
      <c r="S17" s="6" t="s">
        <v>39</v>
      </c>
      <c r="T17" s="6">
        <v>900</v>
      </c>
      <c r="U17" s="6" t="s">
        <v>45</v>
      </c>
      <c r="V17" s="6" t="s">
        <v>84</v>
      </c>
      <c r="W17" s="6" t="s">
        <v>86</v>
      </c>
      <c r="X17" s="6" t="s">
        <v>60</v>
      </c>
      <c r="Y17" s="6" t="s">
        <v>87</v>
      </c>
      <c r="Z17" s="6" t="s">
        <v>1129</v>
      </c>
      <c r="AA17" s="6" t="s">
        <v>65</v>
      </c>
      <c r="AB17" s="15" t="s">
        <v>88</v>
      </c>
      <c r="AC17" s="16" t="s">
        <v>23</v>
      </c>
      <c r="AD17" s="16" t="s">
        <v>23</v>
      </c>
      <c r="AE17" s="16" t="s">
        <v>50</v>
      </c>
      <c r="AF17" s="16" t="s">
        <v>50</v>
      </c>
      <c r="AG17" s="17" t="s">
        <v>60</v>
      </c>
      <c r="AH17" s="17" t="s">
        <v>62</v>
      </c>
      <c r="AI17" s="17" t="s">
        <v>45</v>
      </c>
      <c r="AJ17" s="17" t="s">
        <v>23</v>
      </c>
      <c r="AK17" s="17" t="s">
        <v>45</v>
      </c>
      <c r="AL17" s="106" t="s">
        <v>1130</v>
      </c>
      <c r="AM17" s="107"/>
      <c r="AN17" s="107"/>
      <c r="AO17" s="107"/>
      <c r="AP17" s="107"/>
      <c r="AQ17" s="108"/>
    </row>
    <row r="18" spans="1:44" s="14" customFormat="1" ht="15" customHeight="1" x14ac:dyDescent="0.4">
      <c r="A18" s="11">
        <v>23</v>
      </c>
      <c r="B18" s="11">
        <v>403</v>
      </c>
      <c r="C18" s="11" t="s">
        <v>80</v>
      </c>
      <c r="D18" s="13" t="s">
        <v>1142</v>
      </c>
      <c r="E18" s="33" t="s">
        <v>18</v>
      </c>
      <c r="F18" s="11" t="s">
        <v>1143</v>
      </c>
      <c r="G18" s="11" t="s">
        <v>43</v>
      </c>
      <c r="H18" s="11" t="s">
        <v>52</v>
      </c>
      <c r="I18" s="11" t="s">
        <v>84</v>
      </c>
      <c r="J18" s="11" t="s">
        <v>85</v>
      </c>
      <c r="K18" s="11" t="s">
        <v>60</v>
      </c>
      <c r="L18" s="11" t="s">
        <v>92</v>
      </c>
      <c r="M18" s="11" t="s">
        <v>23</v>
      </c>
      <c r="N18" s="11" t="s">
        <v>45</v>
      </c>
      <c r="O18" s="11" t="s">
        <v>23</v>
      </c>
      <c r="P18" s="11" t="s">
        <v>84</v>
      </c>
      <c r="Q18" s="11" t="s">
        <v>86</v>
      </c>
      <c r="R18" s="11">
        <v>740</v>
      </c>
      <c r="S18" s="40" t="s">
        <v>39</v>
      </c>
      <c r="T18" s="11">
        <v>900</v>
      </c>
      <c r="U18" s="11" t="s">
        <v>45</v>
      </c>
      <c r="V18" s="11" t="s">
        <v>84</v>
      </c>
      <c r="W18" s="11" t="s">
        <v>86</v>
      </c>
      <c r="X18" s="40" t="s">
        <v>60</v>
      </c>
      <c r="Y18" s="40" t="s">
        <v>87</v>
      </c>
      <c r="Z18" s="40" t="s">
        <v>1144</v>
      </c>
      <c r="AA18" s="40" t="s">
        <v>65</v>
      </c>
      <c r="AB18" s="12" t="s">
        <v>88</v>
      </c>
      <c r="AC18" s="11" t="s">
        <v>23</v>
      </c>
      <c r="AD18" s="11" t="s">
        <v>23</v>
      </c>
      <c r="AE18" s="11" t="s">
        <v>116</v>
      </c>
      <c r="AF18" s="11" t="s">
        <v>116</v>
      </c>
      <c r="AG18" s="13" t="s">
        <v>60</v>
      </c>
      <c r="AH18" s="13" t="s">
        <v>62</v>
      </c>
      <c r="AI18" s="13" t="s">
        <v>45</v>
      </c>
      <c r="AJ18" s="13" t="s">
        <v>45</v>
      </c>
      <c r="AK18" s="13" t="s">
        <v>45</v>
      </c>
      <c r="AL18" s="94" t="s">
        <v>1145</v>
      </c>
      <c r="AM18" s="95"/>
      <c r="AN18" s="95"/>
      <c r="AO18" s="95"/>
      <c r="AP18" s="95"/>
      <c r="AQ18" s="96"/>
    </row>
    <row r="19" spans="1:44" s="10" customFormat="1" ht="51.75" customHeight="1" x14ac:dyDescent="0.4">
      <c r="A19" s="6">
        <v>23</v>
      </c>
      <c r="B19" s="6">
        <v>503</v>
      </c>
      <c r="C19" s="6" t="s">
        <v>80</v>
      </c>
      <c r="D19" s="18" t="s">
        <v>964</v>
      </c>
      <c r="E19" s="34" t="s">
        <v>18</v>
      </c>
      <c r="F19" s="6" t="s">
        <v>965</v>
      </c>
      <c r="G19" s="6" t="s">
        <v>43</v>
      </c>
      <c r="H19" s="6" t="s">
        <v>52</v>
      </c>
      <c r="I19" s="6" t="s">
        <v>84</v>
      </c>
      <c r="J19" s="6" t="s">
        <v>85</v>
      </c>
      <c r="K19" s="6" t="s">
        <v>60</v>
      </c>
      <c r="L19" s="6" t="s">
        <v>92</v>
      </c>
      <c r="M19" s="6" t="s">
        <v>45</v>
      </c>
      <c r="N19" s="6" t="s">
        <v>45</v>
      </c>
      <c r="O19" s="6" t="s">
        <v>45</v>
      </c>
      <c r="P19" s="6" t="s">
        <v>84</v>
      </c>
      <c r="Q19" s="6" t="s">
        <v>86</v>
      </c>
      <c r="R19" s="6">
        <v>750</v>
      </c>
      <c r="S19" s="6" t="s">
        <v>39</v>
      </c>
      <c r="T19" s="6">
        <v>800</v>
      </c>
      <c r="U19" s="6" t="s">
        <v>45</v>
      </c>
      <c r="V19" s="6" t="s">
        <v>84</v>
      </c>
      <c r="W19" s="6" t="s">
        <v>86</v>
      </c>
      <c r="X19" s="6" t="s">
        <v>60</v>
      </c>
      <c r="Y19" s="6" t="s">
        <v>87</v>
      </c>
      <c r="Z19" s="6" t="s">
        <v>967</v>
      </c>
      <c r="AA19" s="6" t="s">
        <v>65</v>
      </c>
      <c r="AB19" s="15" t="s">
        <v>88</v>
      </c>
      <c r="AC19" s="16" t="s">
        <v>45</v>
      </c>
      <c r="AD19" s="16" t="s">
        <v>23</v>
      </c>
      <c r="AE19" s="16" t="s">
        <v>50</v>
      </c>
      <c r="AF19" s="16" t="s">
        <v>50</v>
      </c>
      <c r="AG19" s="17" t="s">
        <v>60</v>
      </c>
      <c r="AH19" s="17" t="s">
        <v>96</v>
      </c>
      <c r="AI19" s="17" t="s">
        <v>45</v>
      </c>
      <c r="AJ19" s="17" t="s">
        <v>45</v>
      </c>
      <c r="AK19" s="17" t="s">
        <v>45</v>
      </c>
      <c r="AL19" s="106" t="s">
        <v>968</v>
      </c>
      <c r="AM19" s="107"/>
      <c r="AN19" s="107"/>
      <c r="AO19" s="107"/>
      <c r="AP19" s="107"/>
      <c r="AQ19" s="108"/>
    </row>
    <row r="20" spans="1:44" s="14" customFormat="1" ht="33" customHeight="1" x14ac:dyDescent="0.4">
      <c r="A20" s="11">
        <v>23</v>
      </c>
      <c r="B20" s="11">
        <v>104</v>
      </c>
      <c r="C20" s="11" t="s">
        <v>80</v>
      </c>
      <c r="D20" s="13" t="s">
        <v>1146</v>
      </c>
      <c r="E20" s="33" t="s">
        <v>18</v>
      </c>
      <c r="F20" s="11" t="s">
        <v>1147</v>
      </c>
      <c r="G20" s="11" t="s">
        <v>43</v>
      </c>
      <c r="H20" s="11" t="s">
        <v>52</v>
      </c>
      <c r="I20" s="11" t="s">
        <v>84</v>
      </c>
      <c r="J20" s="11" t="s">
        <v>85</v>
      </c>
      <c r="K20" s="11" t="s">
        <v>60</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87</v>
      </c>
      <c r="Z20" s="40" t="s">
        <v>1148</v>
      </c>
      <c r="AA20" s="40" t="s">
        <v>65</v>
      </c>
      <c r="AB20" s="12" t="s">
        <v>88</v>
      </c>
      <c r="AC20" s="11" t="s">
        <v>45</v>
      </c>
      <c r="AD20" s="11" t="s">
        <v>23</v>
      </c>
      <c r="AE20" s="11" t="s">
        <v>50</v>
      </c>
      <c r="AF20" s="11" t="s">
        <v>50</v>
      </c>
      <c r="AG20" s="13" t="s">
        <v>60</v>
      </c>
      <c r="AH20" s="13" t="s">
        <v>62</v>
      </c>
      <c r="AI20" s="13" t="s">
        <v>45</v>
      </c>
      <c r="AJ20" s="13" t="s">
        <v>45</v>
      </c>
      <c r="AK20" s="13" t="s">
        <v>45</v>
      </c>
      <c r="AL20" s="133" t="s">
        <v>1149</v>
      </c>
      <c r="AM20" s="134"/>
      <c r="AN20" s="134"/>
      <c r="AO20" s="134"/>
      <c r="AP20" s="134"/>
      <c r="AQ20" s="135"/>
    </row>
    <row r="21" spans="1:44" s="10" customFormat="1" ht="41.25" customHeight="1" x14ac:dyDescent="0.4">
      <c r="A21" s="6">
        <v>23</v>
      </c>
      <c r="B21" s="6">
        <v>204</v>
      </c>
      <c r="C21" s="6" t="s">
        <v>80</v>
      </c>
      <c r="D21" s="18" t="s">
        <v>1202</v>
      </c>
      <c r="E21" s="34" t="s">
        <v>18</v>
      </c>
      <c r="F21" s="6" t="s">
        <v>1203</v>
      </c>
      <c r="G21" s="6" t="s">
        <v>43</v>
      </c>
      <c r="H21" s="6" t="s">
        <v>52</v>
      </c>
      <c r="I21" s="6" t="s">
        <v>84</v>
      </c>
      <c r="J21" s="6" t="s">
        <v>85</v>
      </c>
      <c r="K21" s="6" t="s">
        <v>60</v>
      </c>
      <c r="L21" s="6" t="s">
        <v>92</v>
      </c>
      <c r="M21" s="6" t="s">
        <v>45</v>
      </c>
      <c r="N21" s="6" t="s">
        <v>45</v>
      </c>
      <c r="O21" s="6" t="s">
        <v>23</v>
      </c>
      <c r="P21" s="6" t="s">
        <v>84</v>
      </c>
      <c r="Q21" s="6" t="s">
        <v>877</v>
      </c>
      <c r="R21" s="6">
        <v>750</v>
      </c>
      <c r="S21" s="6" t="s">
        <v>39</v>
      </c>
      <c r="T21" s="6">
        <v>900</v>
      </c>
      <c r="U21" s="6" t="s">
        <v>45</v>
      </c>
      <c r="V21" s="6" t="s">
        <v>84</v>
      </c>
      <c r="W21" s="6" t="s">
        <v>877</v>
      </c>
      <c r="X21" s="6" t="s">
        <v>60</v>
      </c>
      <c r="Y21" s="6" t="s">
        <v>87</v>
      </c>
      <c r="Z21" s="6" t="s">
        <v>1204</v>
      </c>
      <c r="AA21" s="6" t="s">
        <v>65</v>
      </c>
      <c r="AB21" s="15" t="s">
        <v>88</v>
      </c>
      <c r="AC21" s="16" t="s">
        <v>45</v>
      </c>
      <c r="AD21" s="16" t="s">
        <v>23</v>
      </c>
      <c r="AE21" s="16" t="s">
        <v>50</v>
      </c>
      <c r="AF21" s="16" t="s">
        <v>50</v>
      </c>
      <c r="AG21" s="17" t="s">
        <v>60</v>
      </c>
      <c r="AH21" s="17" t="s">
        <v>62</v>
      </c>
      <c r="AI21" s="17" t="s">
        <v>45</v>
      </c>
      <c r="AJ21" s="17" t="s">
        <v>45</v>
      </c>
      <c r="AK21" s="17" t="s">
        <v>45</v>
      </c>
      <c r="AL21" s="106" t="s">
        <v>1205</v>
      </c>
      <c r="AM21" s="107"/>
      <c r="AN21" s="107"/>
      <c r="AO21" s="107"/>
      <c r="AP21" s="107"/>
      <c r="AQ21" s="108"/>
    </row>
    <row r="22" spans="1:44" s="14" customFormat="1" ht="54.75" customHeight="1" x14ac:dyDescent="0.4">
      <c r="A22" s="11">
        <v>23</v>
      </c>
      <c r="B22" s="11">
        <v>304</v>
      </c>
      <c r="C22" s="11" t="s">
        <v>80</v>
      </c>
      <c r="D22" s="13" t="s">
        <v>1138</v>
      </c>
      <c r="E22" s="33" t="s">
        <v>18</v>
      </c>
      <c r="F22" s="11" t="s">
        <v>1139</v>
      </c>
      <c r="G22" s="11" t="s">
        <v>43</v>
      </c>
      <c r="H22" s="11" t="s">
        <v>52</v>
      </c>
      <c r="I22" s="11" t="s">
        <v>84</v>
      </c>
      <c r="J22" s="11" t="s">
        <v>85</v>
      </c>
      <c r="K22" s="11" t="s">
        <v>60</v>
      </c>
      <c r="L22" s="11" t="s">
        <v>92</v>
      </c>
      <c r="M22" s="11" t="s">
        <v>45</v>
      </c>
      <c r="N22" s="11" t="s">
        <v>45</v>
      </c>
      <c r="O22" s="11" t="s">
        <v>23</v>
      </c>
      <c r="P22" s="11" t="s">
        <v>84</v>
      </c>
      <c r="Q22" s="11" t="s">
        <v>86</v>
      </c>
      <c r="R22" s="11">
        <v>740</v>
      </c>
      <c r="S22" s="40" t="s">
        <v>39</v>
      </c>
      <c r="T22" s="11">
        <v>900</v>
      </c>
      <c r="U22" s="11" t="s">
        <v>23</v>
      </c>
      <c r="V22" s="11" t="s">
        <v>84</v>
      </c>
      <c r="W22" s="11" t="s">
        <v>86</v>
      </c>
      <c r="X22" s="40" t="s">
        <v>60</v>
      </c>
      <c r="Y22" s="40" t="s">
        <v>87</v>
      </c>
      <c r="Z22" s="40" t="s">
        <v>1140</v>
      </c>
      <c r="AA22" s="40" t="s">
        <v>65</v>
      </c>
      <c r="AB22" s="12" t="s">
        <v>88</v>
      </c>
      <c r="AC22" s="11" t="s">
        <v>45</v>
      </c>
      <c r="AD22" s="11" t="s">
        <v>45</v>
      </c>
      <c r="AE22" s="11" t="s">
        <v>116</v>
      </c>
      <c r="AF22" s="11" t="s">
        <v>50</v>
      </c>
      <c r="AG22" s="13" t="s">
        <v>60</v>
      </c>
      <c r="AH22" s="13" t="s">
        <v>62</v>
      </c>
      <c r="AI22" s="13" t="s">
        <v>45</v>
      </c>
      <c r="AJ22" s="13" t="s">
        <v>45</v>
      </c>
      <c r="AK22" s="13" t="s">
        <v>45</v>
      </c>
      <c r="AL22" s="133" t="s">
        <v>1141</v>
      </c>
      <c r="AM22" s="134"/>
      <c r="AN22" s="134"/>
      <c r="AO22" s="134"/>
      <c r="AP22" s="134"/>
      <c r="AQ22" s="135"/>
    </row>
    <row r="23" spans="1:44" s="10" customFormat="1" ht="61.5" customHeight="1" x14ac:dyDescent="0.4">
      <c r="A23" s="6">
        <v>23</v>
      </c>
      <c r="B23" s="6">
        <v>404</v>
      </c>
      <c r="C23" s="6" t="s">
        <v>80</v>
      </c>
      <c r="D23" s="18" t="s">
        <v>1132</v>
      </c>
      <c r="E23" s="34" t="s">
        <v>18</v>
      </c>
      <c r="F23" s="46" t="s">
        <v>1133</v>
      </c>
      <c r="G23" s="6" t="s">
        <v>43</v>
      </c>
      <c r="H23" s="6" t="s">
        <v>52</v>
      </c>
      <c r="I23" s="6" t="s">
        <v>84</v>
      </c>
      <c r="J23" s="6" t="s">
        <v>85</v>
      </c>
      <c r="K23" s="6" t="s">
        <v>60</v>
      </c>
      <c r="L23" s="6" t="s">
        <v>92</v>
      </c>
      <c r="M23" s="6" t="s">
        <v>45</v>
      </c>
      <c r="N23" s="6" t="s">
        <v>45</v>
      </c>
      <c r="O23" s="6" t="s">
        <v>45</v>
      </c>
      <c r="P23" s="6" t="s">
        <v>1134</v>
      </c>
      <c r="Q23" s="6" t="s">
        <v>86</v>
      </c>
      <c r="R23" s="6" t="s">
        <v>1135</v>
      </c>
      <c r="S23" s="6" t="s">
        <v>39</v>
      </c>
      <c r="T23" s="6">
        <v>900</v>
      </c>
      <c r="U23" s="6" t="s">
        <v>45</v>
      </c>
      <c r="V23" s="6" t="s">
        <v>84</v>
      </c>
      <c r="W23" s="6" t="s">
        <v>86</v>
      </c>
      <c r="X23" s="6" t="s">
        <v>60</v>
      </c>
      <c r="Y23" s="6" t="s">
        <v>87</v>
      </c>
      <c r="Z23" s="6" t="s">
        <v>1136</v>
      </c>
      <c r="AA23" s="6" t="s">
        <v>65</v>
      </c>
      <c r="AB23" s="15" t="s">
        <v>88</v>
      </c>
      <c r="AC23" s="16" t="s">
        <v>45</v>
      </c>
      <c r="AD23" s="16" t="s">
        <v>45</v>
      </c>
      <c r="AE23" s="16" t="s">
        <v>116</v>
      </c>
      <c r="AF23" s="16" t="s">
        <v>50</v>
      </c>
      <c r="AG23" s="17" t="s">
        <v>60</v>
      </c>
      <c r="AH23" s="17" t="s">
        <v>62</v>
      </c>
      <c r="AI23" s="17" t="s">
        <v>45</v>
      </c>
      <c r="AJ23" s="17" t="s">
        <v>23</v>
      </c>
      <c r="AK23" s="17" t="s">
        <v>45</v>
      </c>
      <c r="AL23" s="106" t="s">
        <v>1137</v>
      </c>
      <c r="AM23" s="107"/>
      <c r="AN23" s="107"/>
      <c r="AO23" s="107"/>
      <c r="AP23" s="107"/>
      <c r="AQ23" s="108"/>
    </row>
    <row r="24" spans="1:44" s="14" customFormat="1" ht="56.25" customHeight="1" x14ac:dyDescent="0.4">
      <c r="A24" s="11">
        <v>23</v>
      </c>
      <c r="B24" s="11">
        <v>504</v>
      </c>
      <c r="C24" s="11" t="s">
        <v>80</v>
      </c>
      <c r="D24" s="13" t="s">
        <v>1360</v>
      </c>
      <c r="E24" s="33" t="s">
        <v>18</v>
      </c>
      <c r="F24" s="11" t="s">
        <v>1361</v>
      </c>
      <c r="G24" s="11" t="s">
        <v>43</v>
      </c>
      <c r="H24" s="11" t="s">
        <v>52</v>
      </c>
      <c r="I24" s="11" t="s">
        <v>84</v>
      </c>
      <c r="J24" s="11" t="s">
        <v>85</v>
      </c>
      <c r="K24" s="11" t="s">
        <v>60</v>
      </c>
      <c r="L24" s="11" t="s">
        <v>92</v>
      </c>
      <c r="M24" s="11" t="s">
        <v>45</v>
      </c>
      <c r="N24" s="11" t="s">
        <v>45</v>
      </c>
      <c r="O24" s="11" t="s">
        <v>45</v>
      </c>
      <c r="P24" s="11" t="s">
        <v>84</v>
      </c>
      <c r="Q24" s="11" t="s">
        <v>86</v>
      </c>
      <c r="R24" s="11">
        <v>750</v>
      </c>
      <c r="S24" s="40" t="s">
        <v>39</v>
      </c>
      <c r="T24" s="11">
        <v>900</v>
      </c>
      <c r="U24" s="11" t="s">
        <v>45</v>
      </c>
      <c r="V24" s="11" t="s">
        <v>84</v>
      </c>
      <c r="W24" s="11" t="s">
        <v>86</v>
      </c>
      <c r="X24" s="40" t="s">
        <v>60</v>
      </c>
      <c r="Y24" s="40" t="s">
        <v>87</v>
      </c>
      <c r="Z24" s="40" t="s">
        <v>1362</v>
      </c>
      <c r="AA24" s="40" t="s">
        <v>39</v>
      </c>
      <c r="AB24" s="12" t="s">
        <v>88</v>
      </c>
      <c r="AC24" s="11" t="s">
        <v>45</v>
      </c>
      <c r="AD24" s="11" t="s">
        <v>45</v>
      </c>
      <c r="AE24" s="11" t="s">
        <v>50</v>
      </c>
      <c r="AF24" s="11" t="s">
        <v>50</v>
      </c>
      <c r="AG24" s="13" t="s">
        <v>60</v>
      </c>
      <c r="AH24" s="13" t="s">
        <v>62</v>
      </c>
      <c r="AI24" s="13" t="s">
        <v>45</v>
      </c>
      <c r="AJ24" s="13" t="s">
        <v>23</v>
      </c>
      <c r="AK24" s="13" t="s">
        <v>45</v>
      </c>
      <c r="AL24" s="133" t="s">
        <v>1363</v>
      </c>
      <c r="AM24" s="134"/>
      <c r="AN24" s="134"/>
      <c r="AO24" s="134"/>
      <c r="AP24" s="134"/>
      <c r="AQ24" s="135"/>
    </row>
    <row r="25" spans="1:44" s="2" customFormat="1" ht="11.25" customHeight="1" x14ac:dyDescent="0.4">
      <c r="A25" s="118" t="s">
        <v>12</v>
      </c>
      <c r="B25" s="119"/>
      <c r="C25" s="119"/>
      <c r="D25" s="119"/>
      <c r="E25" s="120"/>
      <c r="F25" s="136">
        <f>COUNTA(D5:D24)</f>
        <v>19</v>
      </c>
      <c r="G25" s="20" t="str">
        <f>"所有→"&amp;COUNTIF(G5:G24,"所有")&amp;"戸"</f>
        <v>所有→18戸</v>
      </c>
      <c r="H25" s="20" t="str">
        <f>"未更新→"&amp;COUNTIF(H5:H24,"未更新")&amp;"戸"</f>
        <v>未更新→20戸</v>
      </c>
      <c r="I25" s="20" t="str">
        <f>"クロス→"&amp;COUNTIF(I5:I24,"クロス")&amp;"戸"</f>
        <v>クロス→20戸</v>
      </c>
      <c r="J25" s="20" t="str">
        <f>"ベニヤ→"&amp;COUNTIF(J5:J24,"ベニヤ")&amp;"戸"</f>
        <v>ベニヤ→20戸</v>
      </c>
      <c r="K25" s="20" t="str">
        <f>"既存→"&amp;COUNTIF(K5:K24,"既存")&amp;"戸"</f>
        <v>既存→4戸</v>
      </c>
      <c r="L25" s="20" t="str">
        <f>"普通便座→"&amp;COUNTIF(L5:L24,"普通便座")&amp;"戸"</f>
        <v>普通便座→2戸</v>
      </c>
      <c r="M25" s="20" t="str">
        <f>"有→"&amp;COUNTIF(M5:M24,"有")&amp;"戸"</f>
        <v>有→2戸</v>
      </c>
      <c r="N25" s="20" t="str">
        <f>"有→"&amp;COUNTIF(N5:N24,"有")&amp;"戸"</f>
        <v>有→1戸</v>
      </c>
      <c r="O25" s="20" t="str">
        <f>"有→"&amp;COUNTIF(O5:O24,"有")&amp;"戸"</f>
        <v>有→15戸</v>
      </c>
      <c r="P25" s="20" t="str">
        <f>"クロス→"&amp;COUNTIF(P5:P24,"クロス")&amp;"戸"</f>
        <v>クロス→19戸</v>
      </c>
      <c r="Q25" s="20" t="str">
        <f>"CF→"&amp;COUNTIF(Q5:Q24,"CF")&amp;"戸"</f>
        <v>CF→19戸</v>
      </c>
      <c r="R25" s="20" t="str">
        <f>"1000→"&amp;COUNTIF(R5:R24,"1000")&amp;"戸"</f>
        <v>1000→0戸</v>
      </c>
      <c r="S25" s="20" t="str">
        <f>"可→"&amp;COUNTIF(S5:S24,"可")&amp;"戸"</f>
        <v>可→20戸</v>
      </c>
      <c r="T25" s="20" t="str">
        <f>"900→"&amp;COUNTIF(T5:T24,"900")&amp;"戸"</f>
        <v>900→17戸</v>
      </c>
      <c r="U25" s="20" t="str">
        <f>"有→"&amp;COUNTIF(U5:U24,"有")&amp;"戸"</f>
        <v>有→2戸</v>
      </c>
      <c r="V25" s="20" t="str">
        <f>"クロス→"&amp;COUNTIF(V5:V24,"クロス")&amp;"戸"</f>
        <v>クロス→20戸</v>
      </c>
      <c r="W25" s="20" t="str">
        <f>"CF→"&amp;COUNTIF(W5:W24,"CF")&amp;"戸"</f>
        <v>CF→19戸</v>
      </c>
      <c r="X25" s="20" t="str">
        <f>"既存→"&amp;COUNTIF(X5:X24,"既存")&amp;"戸"</f>
        <v>既存→2戸</v>
      </c>
      <c r="Y25" s="20" t="str">
        <f>"TOTO→"&amp;COUNTIF(Y5:Y24,"TOTO")&amp;"戸"</f>
        <v>TOTO→15戸</v>
      </c>
      <c r="Z25" s="130">
        <f>-COUNTA(Z5:Z24)</f>
        <v>-16</v>
      </c>
      <c r="AA25" s="20" t="str">
        <f>"可→"&amp;COUNTIF(AA5:AA24,"可")&amp;"戸"</f>
        <v>可→3戸</v>
      </c>
      <c r="AB25" s="20" t="str">
        <f>"既存→"&amp;COUNTIF(AB5:AB24,"既存")&amp;"戸"</f>
        <v>既存→7戸</v>
      </c>
      <c r="AC25" s="130">
        <f>COUNTIF(AC5:AC24,"有")</f>
        <v>4</v>
      </c>
      <c r="AD25" s="130">
        <f>COUNTIF(AD5:AD24,"有")</f>
        <v>9</v>
      </c>
      <c r="AE25" s="20" t="str">
        <f>"ポリ板→"&amp;COUNTIF(AE5:AE24,"ポリ板")&amp;"戸"</f>
        <v>ポリ板→11戸</v>
      </c>
      <c r="AF25" s="20" t="str">
        <f>"ポリ板→"&amp;COUNTIF(AF5:AF24,"ポリ板")&amp;"戸"</f>
        <v>ポリ板→18戸</v>
      </c>
      <c r="AG25" s="20" t="str">
        <f>"既存→"&amp;COUNTIF(AG5:AG24,"既存")&amp;"戸"</f>
        <v>既存→0戸</v>
      </c>
      <c r="AH25" s="20" t="str">
        <f>"洗面所→"&amp;COUNTIF(AH5:AH24,"洗面所")&amp;"戸"</f>
        <v>洗面所→19戸</v>
      </c>
      <c r="AI25" s="19">
        <f>COUNTIF(AI5:AI24,"有")</f>
        <v>2</v>
      </c>
      <c r="AJ25" s="19">
        <f>COUNTIF(AJ5:AJ24,"有")</f>
        <v>7</v>
      </c>
      <c r="AK25" s="19">
        <f>COUNTIF(AK5:AK24,"有")</f>
        <v>5</v>
      </c>
      <c r="AL25" s="109"/>
      <c r="AM25" s="110"/>
      <c r="AN25" s="110"/>
      <c r="AO25" s="110"/>
      <c r="AP25" s="110"/>
      <c r="AQ25" s="111"/>
      <c r="AR25" s="41"/>
    </row>
    <row r="26" spans="1:44"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タンクレス→0戸</v>
      </c>
      <c r="L26" s="35" t="str">
        <f>"暖房便座→"&amp;COUNTIF(L5:L24,"暖房便座")&amp;"戸"</f>
        <v>暖房便座→0戸</v>
      </c>
      <c r="M26" s="35" t="str">
        <f>"無→"&amp;COUNTIF(M5:M24,"無")&amp;"戸"</f>
        <v>無→18戸</v>
      </c>
      <c r="N26" s="35" t="str">
        <f>"無→"&amp;COUNTIF(N5:N24,"無")&amp;"戸"</f>
        <v>無→19戸</v>
      </c>
      <c r="O26" s="35" t="str">
        <f>"無→"&amp;COUNTIF(O5:O24,"無")&amp;"戸"</f>
        <v>無→5戸</v>
      </c>
      <c r="P26" s="35" t="str">
        <f>"珪藻土→"&amp;COUNTIF(P5:P24,"珪藻土")&amp;"戸"</f>
        <v>珪藻土→0戸</v>
      </c>
      <c r="Q26" s="35" t="str">
        <f>"塩ビタイル→"&amp;COUNTIF(Q5:Q24,"塩ビタイル")&amp;"戸"</f>
        <v>塩ビタイル→0戸</v>
      </c>
      <c r="R26" s="35" t="str">
        <f>"900→"&amp;COUNTIF(R5:R24,"900")&amp;"戸"</f>
        <v>900→1戸</v>
      </c>
      <c r="S26" s="35" t="str">
        <f>"不可→"&amp;COUNTIF(S5:S24,"不可")&amp;"戸"</f>
        <v>不可→0戸</v>
      </c>
      <c r="T26" s="35" t="str">
        <f>"800→"&amp;COUNTIF(T5:T24,"800")&amp;"戸"</f>
        <v>800→3戸</v>
      </c>
      <c r="U26" s="35" t="str">
        <f>"無→"&amp;COUNTIF(U5:U24,"無")&amp;"戸"</f>
        <v>無→18戸</v>
      </c>
      <c r="V26" s="35" t="str">
        <f>"珪藻土→"&amp;COUNTIF(V5:V24,"珪藻土")&amp;"戸"</f>
        <v>珪藻土→0戸</v>
      </c>
      <c r="W26" s="35" t="str">
        <f>"塩ビタイル→"&amp;COUNTIF(W5:W24,"塩ビタイル")&amp;"戸"</f>
        <v>塩ビタイル→0戸</v>
      </c>
      <c r="X26" s="35" t="str">
        <f>"リフォーム済み→"&amp;COUNTIF(X5:X24,"リフォーム済み")&amp;"戸"</f>
        <v>リフォーム済み→18戸</v>
      </c>
      <c r="Y26" s="35" t="str">
        <f>"LIXIL→"&amp;COUNTIF(Y5:Y24,"LIXIL")&amp;"戸"</f>
        <v>LIXIL→0戸</v>
      </c>
      <c r="Z26" s="131"/>
      <c r="AA26" s="35" t="str">
        <f>"不可→"&amp;COUNTIF(AA5:AA24,"不可")&amp;"戸"</f>
        <v>不可→17戸</v>
      </c>
      <c r="AB26" s="36" t="str">
        <f>"システム→"&amp;COUNTIF(AB5:AB24,"システム")&amp;"戸"</f>
        <v>システム→13戸</v>
      </c>
      <c r="AC26" s="131"/>
      <c r="AD26" s="131"/>
      <c r="AE26" s="35" t="str">
        <f>"SUS→"&amp;COUNTIF(AE5:AE24,"SUS")&amp;"戸"</f>
        <v>SUS→9戸</v>
      </c>
      <c r="AF26" s="35" t="str">
        <f>"SUS→"&amp;COUNTIF(AF5:AF24,"SUS")&amp;"戸"</f>
        <v>SUS→2戸</v>
      </c>
      <c r="AG26" s="35" t="str">
        <f>"リフォーム済み→"&amp;COUNTIF(AG5:AG24,"リフォーム済み")&amp;"戸"</f>
        <v>リフォーム済み→20戸</v>
      </c>
      <c r="AH26" s="35" t="str">
        <f>"ベランダ→"&amp;COUNTIF(AH5:AH24,"ベランダ")&amp;"戸"</f>
        <v>ベランダ→1戸</v>
      </c>
      <c r="AI26" s="24"/>
      <c r="AJ26" s="24"/>
      <c r="AK26" s="23"/>
      <c r="AL26" s="112"/>
      <c r="AM26" s="113"/>
      <c r="AN26" s="113"/>
      <c r="AO26" s="113"/>
      <c r="AP26" s="113"/>
      <c r="AQ26" s="114"/>
      <c r="AR26" s="41"/>
    </row>
    <row r="27" spans="1:44"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その他→0戸</v>
      </c>
      <c r="K27" s="35" t="str">
        <f>"レストパル→"&amp;COUNTIF(K5:K24,"レストパル")&amp;"戸"</f>
        <v>レストパル→0戸</v>
      </c>
      <c r="L27" s="35" t="str">
        <f>"WL→"&amp;COUNTIF(L5:L24,"WL")&amp;"戸"</f>
        <v>WL→18戸</v>
      </c>
      <c r="M27" s="23"/>
      <c r="N27" s="23"/>
      <c r="O27" s="23"/>
      <c r="P27" s="35" t="str">
        <f>"塗装→"&amp;COUNTIF(P5:P24,"塗装")&amp;"戸"</f>
        <v>塗装→0戸</v>
      </c>
      <c r="Q27" s="35" t="str">
        <f>"フローリング→"&amp;COUNTIF(Q5:Q24,"フローリング")&amp;"戸"</f>
        <v>フローリング→0戸</v>
      </c>
      <c r="R27" s="35" t="str">
        <f>"750→"&amp;COUNTIF(R5:R24,"750")&amp;"戸"</f>
        <v>750→13戸</v>
      </c>
      <c r="S27" s="35"/>
      <c r="T27" s="35" t="str">
        <f>"740→"&amp;COUNTIF(T5:T24,"740")&amp;"戸"</f>
        <v>740→0戸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26"/>
      <c r="AJ27" s="26"/>
      <c r="AK27" s="23"/>
      <c r="AL27" s="112"/>
      <c r="AM27" s="113"/>
      <c r="AN27" s="113"/>
      <c r="AO27" s="113"/>
      <c r="AP27" s="113"/>
      <c r="AQ27" s="114"/>
      <c r="AR27" s="41"/>
    </row>
    <row r="28" spans="1:44" s="2" customFormat="1" ht="11.25" customHeight="1" x14ac:dyDescent="0.4">
      <c r="A28" s="124"/>
      <c r="B28" s="125"/>
      <c r="C28" s="125"/>
      <c r="D28" s="125"/>
      <c r="E28" s="126"/>
      <c r="F28" s="138"/>
      <c r="G28" s="35" t="str">
        <f>"空家→"&amp;COUNTIF(G5:G24,"空家")&amp;"戸"</f>
        <v>空家→2戸</v>
      </c>
      <c r="H28" s="39"/>
      <c r="I28" s="28"/>
      <c r="J28" s="27"/>
      <c r="K28" s="35" t="str">
        <f>"一体型→"&amp;COUNTIF(K5:K24,"一体型")&amp;"戸"</f>
        <v>一体型→0戸</v>
      </c>
      <c r="L28" s="28"/>
      <c r="M28" s="28"/>
      <c r="N28" s="28"/>
      <c r="O28" s="28"/>
      <c r="P28" s="28"/>
      <c r="Q28" s="28"/>
      <c r="R28" s="35" t="str">
        <f>"740→"&amp;COUNTIF(R5:R24,"740")&amp;"戸"</f>
        <v>740→2戸</v>
      </c>
      <c r="S28" s="27"/>
      <c r="T28" s="35" t="str">
        <f>"640→"&amp;COUNTIF(T5:T24,"640")&amp;"戸"</f>
        <v>640→0戸</v>
      </c>
      <c r="U28" s="27"/>
      <c r="V28" s="27"/>
      <c r="W28" s="27"/>
      <c r="X28" s="27"/>
      <c r="Y28" s="27"/>
      <c r="Z28" s="132"/>
      <c r="AA28" s="27"/>
      <c r="AB28" s="28"/>
      <c r="AC28" s="132"/>
      <c r="AD28" s="132"/>
      <c r="AE28" s="35" t="str">
        <f>"その他→"&amp;COUNTIF(AE5:AE24,"その他")&amp;"戸"</f>
        <v>その他→0戸</v>
      </c>
      <c r="AF28" s="35" t="str">
        <f>"その他→"&amp;COUNTIF(AF5:AF24,"その他")&amp;"戸"</f>
        <v>その他→0戸</v>
      </c>
      <c r="AG28" s="39"/>
      <c r="AH28" s="39"/>
      <c r="AI28" s="29"/>
      <c r="AJ28" s="29"/>
      <c r="AK28" s="28"/>
      <c r="AL28" s="115"/>
      <c r="AM28" s="116"/>
      <c r="AN28" s="116"/>
      <c r="AO28" s="116"/>
      <c r="AP28" s="116"/>
      <c r="AQ28" s="117"/>
      <c r="AR28" s="41"/>
    </row>
    <row r="29" spans="1:44" s="2" customFormat="1" x14ac:dyDescent="0.4">
      <c r="A29" s="31"/>
      <c r="AI29" s="37"/>
      <c r="AJ29" s="37"/>
      <c r="AR29" s="1"/>
    </row>
  </sheetData>
  <autoFilter ref="AI3:AK4" xr:uid="{B3FF5939-C38E-4DF4-99AF-E240C77C2477}"/>
  <mergeCells count="44">
    <mergeCell ref="AL21:AQ21"/>
    <mergeCell ref="AL22:AQ22"/>
    <mergeCell ref="AL23:AQ23"/>
    <mergeCell ref="AL24:AQ24"/>
    <mergeCell ref="A25:E28"/>
    <mergeCell ref="F25:F28"/>
    <mergeCell ref="AL25:AQ28"/>
    <mergeCell ref="Z25:Z28"/>
    <mergeCell ref="AC25:AC28"/>
    <mergeCell ref="AD25:AD28"/>
    <mergeCell ref="AL20:AQ20"/>
    <mergeCell ref="AL9:AQ9"/>
    <mergeCell ref="AL10:AQ10"/>
    <mergeCell ref="AL11:AQ11"/>
    <mergeCell ref="AL12:AQ12"/>
    <mergeCell ref="AL13:AQ13"/>
    <mergeCell ref="AL14:AQ14"/>
    <mergeCell ref="AL15:AQ15"/>
    <mergeCell ref="AL16:AQ16"/>
    <mergeCell ref="AL17:AQ17"/>
    <mergeCell ref="AL18:AQ18"/>
    <mergeCell ref="AL19:AQ19"/>
    <mergeCell ref="AL8:AQ8"/>
    <mergeCell ref="R3:W3"/>
    <mergeCell ref="X3:AA3"/>
    <mergeCell ref="AB3:AF3"/>
    <mergeCell ref="AG3:AH3"/>
    <mergeCell ref="AI3:AI4"/>
    <mergeCell ref="AJ3:AJ4"/>
    <mergeCell ref="AK3:AK4"/>
    <mergeCell ref="AL3:AQ4"/>
    <mergeCell ref="AL5:AQ5"/>
    <mergeCell ref="AL6:AQ6"/>
    <mergeCell ref="AL7:AQ7"/>
    <mergeCell ref="A1:AQ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26F25C46-A542-4D93-AC9B-5A421EFCFF7B}"/>
  </dataValidations>
  <printOptions horizontalCentered="1" verticalCentered="1"/>
  <pageMargins left="0.11811023622047245" right="0.11811023622047245" top="0.55118110236220474" bottom="0.19685039370078741" header="0.31496062992125984" footer="0.31496062992125984"/>
  <pageSetup paperSize="8" scale="46" orientation="landscape" r:id="rId1"/>
  <colBreaks count="1" manualBreakCount="1">
    <brk id="43"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981FCFBA-3AF2-4F00-B11E-B0389AC62377}">
          <x14:formula1>
            <xm:f>Sheet1!$C$9:$C$11</xm:f>
          </x14:formula1>
          <xm:sqref>Q22:Q24 Q5:Q20 W5:W20 W22:W24</xm:sqref>
        </x14:dataValidation>
        <x14:dataValidation type="list" allowBlank="1" showInputMessage="1" showErrorMessage="1" xr:uid="{45F8E374-7F8C-4E9B-811B-C28F3B741D11}">
          <x14:formula1>
            <xm:f>Sheet1!$A$1:$A$4</xm:f>
          </x14:formula1>
          <xm:sqref>G5:G24</xm:sqref>
        </x14:dataValidation>
        <x14:dataValidation type="list" allowBlank="1" showInputMessage="1" showErrorMessage="1" xr:uid="{90FC77A8-AEA3-4F3D-94AB-1D01DF815342}">
          <x14:formula1>
            <xm:f>Sheet1!$A$6:$A$7</xm:f>
          </x14:formula1>
          <xm:sqref>H5:H24</xm:sqref>
        </x14:dataValidation>
        <x14:dataValidation type="list" allowBlank="1" showInputMessage="1" showErrorMessage="1" xr:uid="{856F8C58-175F-42F6-803F-21333AA64659}">
          <x14:formula1>
            <xm:f>Sheet1!$A$9:$A$11</xm:f>
          </x14:formula1>
          <xm:sqref>V5:V24 I5:I24 P5:P22 P24</xm:sqref>
        </x14:dataValidation>
        <x14:dataValidation type="list" allowBlank="1" showInputMessage="1" showErrorMessage="1" xr:uid="{B97D15C3-69AE-4AED-BA1A-B2A00589C466}">
          <x14:formula1>
            <xm:f>Sheet1!$D$1:$D$3</xm:f>
          </x14:formula1>
          <xm:sqref>J5:J24</xm:sqref>
        </x14:dataValidation>
        <x14:dataValidation type="list" allowBlank="1" showInputMessage="1" showErrorMessage="1" xr:uid="{80C4167C-228D-4656-A904-991BD6E7770E}">
          <x14:formula1>
            <xm:f>Sheet1!$G$9:$G$12</xm:f>
          </x14:formula1>
          <xm:sqref>K5:K24</xm:sqref>
        </x14:dataValidation>
        <x14:dataValidation type="list" allowBlank="1" showInputMessage="1" showErrorMessage="1" xr:uid="{D76A91A2-5E12-42D5-B5A5-E9B9A92C936F}">
          <x14:formula1>
            <xm:f>Sheet1!$E$9:$E$11</xm:f>
          </x14:formula1>
          <xm:sqref>L5:L24</xm:sqref>
        </x14:dataValidation>
        <x14:dataValidation type="list" allowBlank="1" showInputMessage="1" showErrorMessage="1" xr:uid="{8F3F396D-F47B-4F81-BCDF-52C36A8C4666}">
          <x14:formula1>
            <xm:f>Sheet1!$C$6:$C$7</xm:f>
          </x14:formula1>
          <xm:sqref>M5:O24 AC5:AD24 U5:U24 AJ5:AK24</xm:sqref>
        </x14:dataValidation>
        <x14:dataValidation type="list" allowBlank="1" showInputMessage="1" showErrorMessage="1" xr:uid="{D8DD9539-B2A1-4A3F-9850-DDC985F948C7}">
          <x14:formula1>
            <xm:f>Sheet1!$A$17:$A$20</xm:f>
          </x14:formula1>
          <xm:sqref>R6:R8 R10 R24 R12:R17 R19:R21</xm:sqref>
        </x14:dataValidation>
        <x14:dataValidation type="list" allowBlank="1" showInputMessage="1" showErrorMessage="1" xr:uid="{0817CB5A-2148-416E-A481-77F3D851DFBA}">
          <x14:formula1>
            <xm:f>Sheet1!$C$17:$C$20</xm:f>
          </x14:formula1>
          <xm:sqref>T5:T24</xm:sqref>
        </x14:dataValidation>
        <x14:dataValidation type="list" allowBlank="1" showInputMessage="1" showErrorMessage="1" xr:uid="{FAA28A31-9F71-4F86-9DF9-1660D43C93FC}">
          <x14:formula1>
            <xm:f>Sheet1!$A$13:$A$15</xm:f>
          </x14:formula1>
          <xm:sqref>AB5:AB24</xm:sqref>
        </x14:dataValidation>
        <x14:dataValidation type="list" allowBlank="1" showInputMessage="1" showErrorMessage="1" xr:uid="{35DCBDBC-EE65-4F2E-A936-BFA970BA3FED}">
          <x14:formula1>
            <xm:f>Sheet1!$G$1:$G$4</xm:f>
          </x14:formula1>
          <xm:sqref>AE5:AF24</xm:sqref>
        </x14:dataValidation>
        <x14:dataValidation type="list" allowBlank="1" showInputMessage="1" showErrorMessage="1" xr:uid="{A00C3609-5FB9-4F8F-AE55-80034F6E6FD9}">
          <x14:formula1>
            <xm:f>Sheet1!$E$17:$E$18</xm:f>
          </x14:formula1>
          <xm:sqref>AG5:AG24</xm:sqref>
        </x14:dataValidation>
        <x14:dataValidation type="list" allowBlank="1" showInputMessage="1" showErrorMessage="1" xr:uid="{A1C79A0F-D2B4-4935-BDB9-D76AFE9BB241}">
          <x14:formula1>
            <xm:f>Sheet1!$G$17:$G$18</xm:f>
          </x14:formula1>
          <xm:sqref>AH5:AH24</xm:sqref>
        </x14:dataValidation>
        <x14:dataValidation type="list" allowBlank="1" showInputMessage="1" showErrorMessage="1" xr:uid="{7930BB13-5BA6-4CCC-B0B0-3026A2C899A6}">
          <x14:formula1>
            <xm:f>Sheet1!$I$1:$I$2</xm:f>
          </x14:formula1>
          <xm:sqref>X5:X24</xm:sqref>
        </x14:dataValidation>
        <x14:dataValidation type="list" allowBlank="1" showInputMessage="1" showErrorMessage="1" xr:uid="{718ED580-9715-43A9-88A2-3C4BBF14412B}">
          <x14:formula1>
            <xm:f>Sheet1!$G$6:$G$7</xm:f>
          </x14:formula1>
          <xm:sqref>S5:S24 AA5:AA24</xm:sqref>
        </x14:dataValidation>
        <x14:dataValidation type="list" allowBlank="1" showInputMessage="1" showErrorMessage="1" xr:uid="{C4C691BD-0A7E-4ABB-8CA7-C6551793C4E4}">
          <x14:formula1>
            <xm:f>Sheet1!$C$6:$C$8</xm:f>
          </x14:formula1>
          <xm:sqref>AI5:AI24</xm:sqref>
        </x14:dataValidation>
        <x14:dataValidation type="list" allowBlank="1" showInputMessage="1" showErrorMessage="1" xr:uid="{1902EC08-033F-491E-8D15-E4BFC91A1DD8}">
          <x14:formula1>
            <xm:f>Sheet1!$I$9:$I$13</xm:f>
          </x14:formula1>
          <xm:sqref>Y5:Y9 Y11:Y24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5E04E-29A2-42A4-B1BA-012CC5D5C4EB}">
  <sheetPr codeName="Sheet24">
    <tabColor theme="4" tint="0.39997558519241921"/>
  </sheetPr>
  <dimension ref="A1:AT29"/>
  <sheetViews>
    <sheetView view="pageBreakPreview" zoomScaleNormal="40" zoomScaleSheetLayoutView="70" workbookViewId="0">
      <pane xSplit="5" ySplit="4" topLeftCell="AI5" activePane="bottomRight" state="frozen"/>
      <selection activeCell="A5" sqref="A5:F23"/>
      <selection pane="topRight" activeCell="A5" sqref="A5:F23"/>
      <selection pane="bottomLeft" activeCell="A5" sqref="A5:F23"/>
      <selection pane="bottomRight" activeCell="E6" sqref="E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988</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6" s="10" customFormat="1" ht="39.75" customHeight="1" x14ac:dyDescent="0.4">
      <c r="A5" s="6">
        <v>24</v>
      </c>
      <c r="B5" s="6">
        <v>101</v>
      </c>
      <c r="C5" s="6" t="s">
        <v>80</v>
      </c>
      <c r="D5" s="18" t="s">
        <v>1033</v>
      </c>
      <c r="E5" s="32" t="s">
        <v>18</v>
      </c>
      <c r="F5" s="6" t="s">
        <v>1034</v>
      </c>
      <c r="G5" s="6" t="s">
        <v>43</v>
      </c>
      <c r="H5" s="6" t="s">
        <v>52</v>
      </c>
      <c r="I5" s="6" t="s">
        <v>84</v>
      </c>
      <c r="J5" s="6" t="s">
        <v>85</v>
      </c>
      <c r="K5" s="6" t="s">
        <v>60</v>
      </c>
      <c r="L5" s="6" t="s">
        <v>92</v>
      </c>
      <c r="M5" s="6" t="s">
        <v>45</v>
      </c>
      <c r="N5" s="6" t="s">
        <v>23</v>
      </c>
      <c r="O5" s="6" t="s">
        <v>23</v>
      </c>
      <c r="P5" s="6" t="s">
        <v>84</v>
      </c>
      <c r="Q5" s="6" t="s">
        <v>86</v>
      </c>
      <c r="R5" s="6" t="s">
        <v>1035</v>
      </c>
      <c r="S5" s="16" t="s">
        <v>39</v>
      </c>
      <c r="T5" s="6">
        <v>900</v>
      </c>
      <c r="U5" s="6" t="s">
        <v>45</v>
      </c>
      <c r="V5" s="6" t="s">
        <v>84</v>
      </c>
      <c r="W5" s="6" t="s">
        <v>86</v>
      </c>
      <c r="X5" s="16" t="s">
        <v>60</v>
      </c>
      <c r="Y5" s="16" t="s">
        <v>87</v>
      </c>
      <c r="Z5" s="16" t="s">
        <v>1036</v>
      </c>
      <c r="AA5" s="16" t="s">
        <v>65</v>
      </c>
      <c r="AB5" s="7" t="s">
        <v>88</v>
      </c>
      <c r="AC5" s="8" t="s">
        <v>45</v>
      </c>
      <c r="AD5" s="8" t="s">
        <v>23</v>
      </c>
      <c r="AE5" s="8" t="s">
        <v>50</v>
      </c>
      <c r="AF5" s="16" t="s">
        <v>50</v>
      </c>
      <c r="AG5" s="17" t="s">
        <v>60</v>
      </c>
      <c r="AH5" s="17" t="s">
        <v>62</v>
      </c>
      <c r="AI5" s="17" t="s">
        <v>45</v>
      </c>
      <c r="AJ5" s="17" t="s">
        <v>45</v>
      </c>
      <c r="AK5" s="9" t="s">
        <v>23</v>
      </c>
      <c r="AL5" s="140" t="s">
        <v>1037</v>
      </c>
      <c r="AM5" s="141"/>
      <c r="AN5" s="141"/>
      <c r="AO5" s="141"/>
      <c r="AP5" s="142"/>
    </row>
    <row r="6" spans="1:46" s="14" customFormat="1" ht="63" customHeight="1" x14ac:dyDescent="0.4">
      <c r="A6" s="11">
        <v>24</v>
      </c>
      <c r="B6" s="11">
        <v>201</v>
      </c>
      <c r="C6" s="11" t="s">
        <v>80</v>
      </c>
      <c r="D6" s="13" t="s">
        <v>1022</v>
      </c>
      <c r="E6" s="33" t="s">
        <v>18</v>
      </c>
      <c r="F6" s="11" t="s">
        <v>1023</v>
      </c>
      <c r="G6" s="11" t="s">
        <v>43</v>
      </c>
      <c r="H6" s="11" t="s">
        <v>52</v>
      </c>
      <c r="I6" s="11" t="s">
        <v>84</v>
      </c>
      <c r="J6" s="11" t="s">
        <v>85</v>
      </c>
      <c r="K6" s="11" t="s">
        <v>19</v>
      </c>
      <c r="L6" s="11" t="s">
        <v>24</v>
      </c>
      <c r="M6" s="11" t="s">
        <v>45</v>
      </c>
      <c r="N6" s="11" t="s">
        <v>45</v>
      </c>
      <c r="O6" s="11" t="s">
        <v>23</v>
      </c>
      <c r="P6" s="11" t="s">
        <v>84</v>
      </c>
      <c r="Q6" s="11" t="s">
        <v>86</v>
      </c>
      <c r="R6" s="11">
        <v>750</v>
      </c>
      <c r="S6" s="40" t="s">
        <v>39</v>
      </c>
      <c r="T6" s="11">
        <v>900</v>
      </c>
      <c r="U6" s="11" t="s">
        <v>45</v>
      </c>
      <c r="V6" s="11" t="s">
        <v>84</v>
      </c>
      <c r="W6" s="11" t="s">
        <v>86</v>
      </c>
      <c r="X6" s="40" t="s">
        <v>60</v>
      </c>
      <c r="Y6" s="40" t="s">
        <v>87</v>
      </c>
      <c r="Z6" s="40" t="s">
        <v>1024</v>
      </c>
      <c r="AA6" s="40" t="s">
        <v>65</v>
      </c>
      <c r="AB6" s="12" t="s">
        <v>88</v>
      </c>
      <c r="AC6" s="11" t="s">
        <v>45</v>
      </c>
      <c r="AD6" s="11" t="s">
        <v>45</v>
      </c>
      <c r="AE6" s="11" t="s">
        <v>50</v>
      </c>
      <c r="AF6" s="11" t="s">
        <v>50</v>
      </c>
      <c r="AG6" s="13" t="s">
        <v>60</v>
      </c>
      <c r="AH6" s="13" t="s">
        <v>62</v>
      </c>
      <c r="AI6" s="13" t="s">
        <v>23</v>
      </c>
      <c r="AJ6" s="13" t="s">
        <v>23</v>
      </c>
      <c r="AK6" s="13" t="s">
        <v>23</v>
      </c>
      <c r="AL6" s="133" t="s">
        <v>1025</v>
      </c>
      <c r="AM6" s="134"/>
      <c r="AN6" s="134"/>
      <c r="AO6" s="134"/>
      <c r="AP6" s="135"/>
    </row>
    <row r="7" spans="1:46" s="10" customFormat="1" ht="68.25" customHeight="1" x14ac:dyDescent="0.4">
      <c r="A7" s="6">
        <v>24</v>
      </c>
      <c r="B7" s="6">
        <v>301</v>
      </c>
      <c r="C7" s="6" t="s">
        <v>80</v>
      </c>
      <c r="D7" s="18" t="s">
        <v>996</v>
      </c>
      <c r="E7" s="34" t="s">
        <v>18</v>
      </c>
      <c r="F7" s="6" t="s">
        <v>997</v>
      </c>
      <c r="G7" s="6" t="s">
        <v>43</v>
      </c>
      <c r="H7" s="6" t="s">
        <v>52</v>
      </c>
      <c r="I7" s="6" t="s">
        <v>84</v>
      </c>
      <c r="J7" s="6" t="s">
        <v>46</v>
      </c>
      <c r="K7" s="6" t="s">
        <v>60</v>
      </c>
      <c r="L7" s="6" t="s">
        <v>92</v>
      </c>
      <c r="M7" s="6" t="s">
        <v>45</v>
      </c>
      <c r="N7" s="6" t="s">
        <v>45</v>
      </c>
      <c r="O7" s="6" t="s">
        <v>45</v>
      </c>
      <c r="P7" s="6" t="s">
        <v>84</v>
      </c>
      <c r="Q7" s="6" t="s">
        <v>86</v>
      </c>
      <c r="R7" s="6">
        <v>1200</v>
      </c>
      <c r="S7" s="6" t="s">
        <v>65</v>
      </c>
      <c r="T7" s="6">
        <v>640</v>
      </c>
      <c r="U7" s="6" t="s">
        <v>45</v>
      </c>
      <c r="V7" s="6" t="s">
        <v>84</v>
      </c>
      <c r="W7" s="6" t="s">
        <v>25</v>
      </c>
      <c r="X7" s="6" t="s">
        <v>60</v>
      </c>
      <c r="Y7" s="6" t="s">
        <v>87</v>
      </c>
      <c r="Z7" s="6" t="s">
        <v>998</v>
      </c>
      <c r="AA7" s="6" t="s">
        <v>65</v>
      </c>
      <c r="AB7" s="15" t="s">
        <v>88</v>
      </c>
      <c r="AC7" s="16" t="s">
        <v>45</v>
      </c>
      <c r="AD7" s="16" t="s">
        <v>45</v>
      </c>
      <c r="AE7" s="16" t="s">
        <v>46</v>
      </c>
      <c r="AF7" s="16" t="s">
        <v>46</v>
      </c>
      <c r="AG7" s="17" t="s">
        <v>60</v>
      </c>
      <c r="AH7" s="17" t="s">
        <v>62</v>
      </c>
      <c r="AI7" s="17" t="s">
        <v>45</v>
      </c>
      <c r="AJ7" s="17" t="s">
        <v>23</v>
      </c>
      <c r="AK7" s="17" t="s">
        <v>45</v>
      </c>
      <c r="AL7" s="106" t="s">
        <v>999</v>
      </c>
      <c r="AM7" s="107"/>
      <c r="AN7" s="107"/>
      <c r="AO7" s="107"/>
      <c r="AP7" s="108"/>
    </row>
    <row r="8" spans="1:46" s="14" customFormat="1" ht="32.25" customHeight="1" x14ac:dyDescent="0.4">
      <c r="A8" s="11">
        <v>24</v>
      </c>
      <c r="B8" s="11">
        <v>401</v>
      </c>
      <c r="C8" s="11" t="s">
        <v>80</v>
      </c>
      <c r="D8" s="13" t="s">
        <v>1000</v>
      </c>
      <c r="E8" s="33" t="s">
        <v>18</v>
      </c>
      <c r="F8" s="11" t="s">
        <v>1001</v>
      </c>
      <c r="G8" s="11" t="s">
        <v>43</v>
      </c>
      <c r="H8" s="11" t="s">
        <v>52</v>
      </c>
      <c r="I8" s="11" t="s">
        <v>84</v>
      </c>
      <c r="J8" s="11" t="s">
        <v>85</v>
      </c>
      <c r="K8" s="11" t="s">
        <v>60</v>
      </c>
      <c r="L8" s="11" t="s">
        <v>92</v>
      </c>
      <c r="M8" s="11" t="s">
        <v>45</v>
      </c>
      <c r="N8" s="11" t="s">
        <v>45</v>
      </c>
      <c r="O8" s="11" t="s">
        <v>45</v>
      </c>
      <c r="P8" s="11" t="s">
        <v>84</v>
      </c>
      <c r="Q8" s="11" t="s">
        <v>86</v>
      </c>
      <c r="R8" s="11">
        <v>750</v>
      </c>
      <c r="S8" s="40" t="s">
        <v>39</v>
      </c>
      <c r="T8" s="11">
        <v>900</v>
      </c>
      <c r="U8" s="11" t="s">
        <v>45</v>
      </c>
      <c r="V8" s="11" t="s">
        <v>84</v>
      </c>
      <c r="W8" s="11" t="s">
        <v>86</v>
      </c>
      <c r="X8" s="40" t="s">
        <v>60</v>
      </c>
      <c r="Y8" s="40" t="s">
        <v>87</v>
      </c>
      <c r="Z8" s="40" t="s">
        <v>1002</v>
      </c>
      <c r="AA8" s="40" t="s">
        <v>65</v>
      </c>
      <c r="AB8" s="12" t="s">
        <v>19</v>
      </c>
      <c r="AC8" s="11" t="s">
        <v>45</v>
      </c>
      <c r="AD8" s="11" t="s">
        <v>45</v>
      </c>
      <c r="AE8" s="11" t="s">
        <v>116</v>
      </c>
      <c r="AF8" s="11" t="s">
        <v>50</v>
      </c>
      <c r="AG8" s="13" t="s">
        <v>60</v>
      </c>
      <c r="AH8" s="13" t="s">
        <v>62</v>
      </c>
      <c r="AI8" s="13" t="s">
        <v>45</v>
      </c>
      <c r="AJ8" s="13" t="s">
        <v>45</v>
      </c>
      <c r="AK8" s="13" t="s">
        <v>45</v>
      </c>
      <c r="AL8" s="133" t="s">
        <v>1003</v>
      </c>
      <c r="AM8" s="134"/>
      <c r="AN8" s="134"/>
      <c r="AO8" s="134"/>
      <c r="AP8" s="135"/>
    </row>
    <row r="9" spans="1:46" s="10" customFormat="1" ht="61.5" customHeight="1" x14ac:dyDescent="0.4">
      <c r="A9" s="6">
        <v>24</v>
      </c>
      <c r="B9" s="6">
        <v>501</v>
      </c>
      <c r="C9" s="6" t="s">
        <v>80</v>
      </c>
      <c r="D9" s="18" t="s">
        <v>986</v>
      </c>
      <c r="E9" s="34" t="s">
        <v>18</v>
      </c>
      <c r="F9" s="46" t="s">
        <v>987</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19</v>
      </c>
      <c r="Y9" s="6"/>
      <c r="Z9" s="6"/>
      <c r="AA9" s="6" t="s">
        <v>65</v>
      </c>
      <c r="AB9" s="15" t="s">
        <v>19</v>
      </c>
      <c r="AC9" s="16" t="s">
        <v>45</v>
      </c>
      <c r="AD9" s="16" t="s">
        <v>45</v>
      </c>
      <c r="AE9" s="16" t="s">
        <v>116</v>
      </c>
      <c r="AF9" s="16" t="s">
        <v>50</v>
      </c>
      <c r="AG9" s="17" t="s">
        <v>60</v>
      </c>
      <c r="AH9" s="17" t="s">
        <v>62</v>
      </c>
      <c r="AI9" s="17" t="s">
        <v>45</v>
      </c>
      <c r="AJ9" s="17" t="s">
        <v>23</v>
      </c>
      <c r="AK9" s="17" t="s">
        <v>23</v>
      </c>
      <c r="AL9" s="106" t="s">
        <v>989</v>
      </c>
      <c r="AM9" s="107"/>
      <c r="AN9" s="107"/>
      <c r="AO9" s="107"/>
      <c r="AP9" s="108"/>
    </row>
    <row r="10" spans="1:46" s="14" customFormat="1" ht="36.75" customHeight="1" x14ac:dyDescent="0.4">
      <c r="A10" s="11">
        <v>24</v>
      </c>
      <c r="B10" s="11">
        <v>102</v>
      </c>
      <c r="C10" s="11" t="s">
        <v>80</v>
      </c>
      <c r="D10" s="13" t="s">
        <v>1038</v>
      </c>
      <c r="E10" s="33" t="s">
        <v>18</v>
      </c>
      <c r="F10" s="45" t="s">
        <v>1039</v>
      </c>
      <c r="G10" s="11" t="s">
        <v>43</v>
      </c>
      <c r="H10" s="11" t="s">
        <v>52</v>
      </c>
      <c r="I10" s="11" t="s">
        <v>84</v>
      </c>
      <c r="J10" s="11" t="s">
        <v>85</v>
      </c>
      <c r="K10" s="11" t="s">
        <v>60</v>
      </c>
      <c r="L10" s="11" t="s">
        <v>92</v>
      </c>
      <c r="M10" s="11" t="s">
        <v>45</v>
      </c>
      <c r="N10" s="11" t="s">
        <v>23</v>
      </c>
      <c r="O10" s="11" t="s">
        <v>23</v>
      </c>
      <c r="P10" s="11" t="s">
        <v>84</v>
      </c>
      <c r="Q10" s="11" t="s">
        <v>86</v>
      </c>
      <c r="R10" s="11">
        <v>740</v>
      </c>
      <c r="S10" s="40" t="s">
        <v>39</v>
      </c>
      <c r="T10" s="11">
        <v>900</v>
      </c>
      <c r="U10" s="11" t="s">
        <v>45</v>
      </c>
      <c r="V10" s="11" t="s">
        <v>84</v>
      </c>
      <c r="W10" s="11" t="s">
        <v>86</v>
      </c>
      <c r="X10" s="40" t="s">
        <v>60</v>
      </c>
      <c r="Y10" s="40" t="s">
        <v>87</v>
      </c>
      <c r="Z10" s="40" t="s">
        <v>1040</v>
      </c>
      <c r="AA10" s="40" t="s">
        <v>65</v>
      </c>
      <c r="AB10" s="12" t="s">
        <v>88</v>
      </c>
      <c r="AC10" s="11" t="s">
        <v>45</v>
      </c>
      <c r="AD10" s="11" t="s">
        <v>23</v>
      </c>
      <c r="AE10" s="11" t="s">
        <v>50</v>
      </c>
      <c r="AF10" s="11" t="s">
        <v>50</v>
      </c>
      <c r="AG10" s="13" t="s">
        <v>60</v>
      </c>
      <c r="AH10" s="13" t="s">
        <v>62</v>
      </c>
      <c r="AI10" s="13" t="s">
        <v>23</v>
      </c>
      <c r="AJ10" s="13" t="s">
        <v>45</v>
      </c>
      <c r="AK10" s="13" t="s">
        <v>23</v>
      </c>
      <c r="AL10" s="133" t="s">
        <v>1041</v>
      </c>
      <c r="AM10" s="134"/>
      <c r="AN10" s="134"/>
      <c r="AO10" s="134"/>
      <c r="AP10" s="135"/>
    </row>
    <row r="11" spans="1:46" s="10" customFormat="1" ht="29.25" customHeight="1" x14ac:dyDescent="0.4">
      <c r="A11" s="6">
        <v>24</v>
      </c>
      <c r="B11" s="6">
        <v>202</v>
      </c>
      <c r="C11" s="6" t="s">
        <v>80</v>
      </c>
      <c r="D11" s="18" t="s">
        <v>1026</v>
      </c>
      <c r="E11" s="34" t="s">
        <v>18</v>
      </c>
      <c r="F11" s="6" t="s">
        <v>1027</v>
      </c>
      <c r="G11" s="6" t="s">
        <v>43</v>
      </c>
      <c r="H11" s="6" t="s">
        <v>52</v>
      </c>
      <c r="I11" s="6" t="s">
        <v>84</v>
      </c>
      <c r="J11" s="6" t="s">
        <v>85</v>
      </c>
      <c r="K11" s="6" t="s">
        <v>19</v>
      </c>
      <c r="L11" s="6" t="s">
        <v>24</v>
      </c>
      <c r="M11" s="6" t="s">
        <v>45</v>
      </c>
      <c r="N11" s="6" t="s">
        <v>45</v>
      </c>
      <c r="O11" s="6" t="s">
        <v>23</v>
      </c>
      <c r="P11" s="6" t="s">
        <v>84</v>
      </c>
      <c r="Q11" s="6" t="s">
        <v>86</v>
      </c>
      <c r="R11" s="6">
        <v>750</v>
      </c>
      <c r="S11" s="6" t="s">
        <v>39</v>
      </c>
      <c r="T11" s="6">
        <v>900</v>
      </c>
      <c r="U11" s="6" t="s">
        <v>45</v>
      </c>
      <c r="V11" s="6" t="s">
        <v>84</v>
      </c>
      <c r="W11" s="6" t="s">
        <v>86</v>
      </c>
      <c r="X11" s="6" t="s">
        <v>60</v>
      </c>
      <c r="Y11" s="6" t="s">
        <v>87</v>
      </c>
      <c r="Z11" s="6" t="s">
        <v>1028</v>
      </c>
      <c r="AA11" s="6" t="s">
        <v>65</v>
      </c>
      <c r="AB11" s="15" t="s">
        <v>19</v>
      </c>
      <c r="AC11" s="16" t="s">
        <v>45</v>
      </c>
      <c r="AD11" s="16" t="s">
        <v>45</v>
      </c>
      <c r="AE11" s="16" t="s">
        <v>116</v>
      </c>
      <c r="AF11" s="16" t="s">
        <v>50</v>
      </c>
      <c r="AG11" s="17" t="s">
        <v>60</v>
      </c>
      <c r="AH11" s="17" t="s">
        <v>62</v>
      </c>
      <c r="AI11" s="17" t="s">
        <v>45</v>
      </c>
      <c r="AJ11" s="17" t="s">
        <v>45</v>
      </c>
      <c r="AK11" s="17" t="s">
        <v>45</v>
      </c>
      <c r="AL11" s="106" t="s">
        <v>1029</v>
      </c>
      <c r="AM11" s="107"/>
      <c r="AN11" s="107"/>
      <c r="AO11" s="107"/>
      <c r="AP11" s="108"/>
    </row>
    <row r="12" spans="1:46" s="14" customFormat="1" ht="15" customHeight="1" x14ac:dyDescent="0.4">
      <c r="A12" s="11">
        <v>24</v>
      </c>
      <c r="B12" s="11">
        <v>302</v>
      </c>
      <c r="C12" s="11" t="s">
        <v>80</v>
      </c>
      <c r="D12" s="13" t="s">
        <v>1018</v>
      </c>
      <c r="E12" s="33" t="s">
        <v>18</v>
      </c>
      <c r="F12" s="11" t="s">
        <v>1019</v>
      </c>
      <c r="G12" s="11" t="s">
        <v>43</v>
      </c>
      <c r="H12" s="11" t="s">
        <v>52</v>
      </c>
      <c r="I12" s="11" t="s">
        <v>84</v>
      </c>
      <c r="J12" s="11" t="s">
        <v>85</v>
      </c>
      <c r="K12" s="11" t="s">
        <v>60</v>
      </c>
      <c r="L12" s="11" t="s">
        <v>92</v>
      </c>
      <c r="M12" s="11" t="s">
        <v>45</v>
      </c>
      <c r="N12" s="11" t="s">
        <v>45</v>
      </c>
      <c r="O12" s="11" t="s">
        <v>23</v>
      </c>
      <c r="P12" s="11" t="s">
        <v>84</v>
      </c>
      <c r="Q12" s="11" t="s">
        <v>86</v>
      </c>
      <c r="R12" s="11">
        <v>750</v>
      </c>
      <c r="S12" s="40" t="s">
        <v>39</v>
      </c>
      <c r="T12" s="11">
        <v>900</v>
      </c>
      <c r="U12" s="11" t="s">
        <v>45</v>
      </c>
      <c r="V12" s="11" t="s">
        <v>84</v>
      </c>
      <c r="W12" s="11" t="s">
        <v>86</v>
      </c>
      <c r="X12" s="40" t="s">
        <v>60</v>
      </c>
      <c r="Y12" s="40" t="s">
        <v>87</v>
      </c>
      <c r="Z12" s="40" t="s">
        <v>1020</v>
      </c>
      <c r="AA12" s="40" t="s">
        <v>65</v>
      </c>
      <c r="AB12" s="12" t="s">
        <v>19</v>
      </c>
      <c r="AC12" s="11" t="s">
        <v>45</v>
      </c>
      <c r="AD12" s="11" t="s">
        <v>45</v>
      </c>
      <c r="AE12" s="11" t="s">
        <v>50</v>
      </c>
      <c r="AF12" s="11" t="s">
        <v>50</v>
      </c>
      <c r="AG12" s="13" t="s">
        <v>60</v>
      </c>
      <c r="AH12" s="13" t="s">
        <v>62</v>
      </c>
      <c r="AI12" s="13" t="s">
        <v>45</v>
      </c>
      <c r="AJ12" s="13" t="s">
        <v>45</v>
      </c>
      <c r="AK12" s="13" t="s">
        <v>45</v>
      </c>
      <c r="AL12" s="94" t="s">
        <v>1021</v>
      </c>
      <c r="AM12" s="95"/>
      <c r="AN12" s="95"/>
      <c r="AO12" s="95"/>
      <c r="AP12" s="96"/>
    </row>
    <row r="13" spans="1:46" s="10" customFormat="1" ht="15" customHeight="1" x14ac:dyDescent="0.4">
      <c r="A13" s="6">
        <v>24</v>
      </c>
      <c r="B13" s="6">
        <v>402</v>
      </c>
      <c r="C13" s="6" t="s">
        <v>80</v>
      </c>
      <c r="D13" s="18" t="s">
        <v>1004</v>
      </c>
      <c r="E13" s="34" t="s">
        <v>18</v>
      </c>
      <c r="F13" s="6" t="s">
        <v>1005</v>
      </c>
      <c r="G13" s="6" t="s">
        <v>43</v>
      </c>
      <c r="H13" s="6" t="s">
        <v>52</v>
      </c>
      <c r="I13" s="6" t="s">
        <v>84</v>
      </c>
      <c r="J13" s="6" t="s">
        <v>85</v>
      </c>
      <c r="K13" s="6" t="s">
        <v>19</v>
      </c>
      <c r="L13" s="6" t="s">
        <v>24</v>
      </c>
      <c r="M13" s="6" t="s">
        <v>45</v>
      </c>
      <c r="N13" s="6" t="s">
        <v>45</v>
      </c>
      <c r="O13" s="6" t="s">
        <v>23</v>
      </c>
      <c r="P13" s="6" t="s">
        <v>1006</v>
      </c>
      <c r="Q13" s="6" t="s">
        <v>1007</v>
      </c>
      <c r="R13" s="6">
        <v>750</v>
      </c>
      <c r="S13" s="6" t="s">
        <v>39</v>
      </c>
      <c r="T13" s="6">
        <v>900</v>
      </c>
      <c r="U13" s="6" t="s">
        <v>45</v>
      </c>
      <c r="V13" s="6" t="s">
        <v>84</v>
      </c>
      <c r="W13" s="6" t="s">
        <v>86</v>
      </c>
      <c r="X13" s="6" t="s">
        <v>60</v>
      </c>
      <c r="Y13" s="6" t="s">
        <v>141</v>
      </c>
      <c r="Z13" s="6"/>
      <c r="AA13" s="6" t="s">
        <v>65</v>
      </c>
      <c r="AB13" s="15" t="s">
        <v>19</v>
      </c>
      <c r="AC13" s="16" t="s">
        <v>45</v>
      </c>
      <c r="AD13" s="16" t="s">
        <v>45</v>
      </c>
      <c r="AE13" s="16" t="s">
        <v>116</v>
      </c>
      <c r="AF13" s="16" t="s">
        <v>50</v>
      </c>
      <c r="AG13" s="17" t="s">
        <v>60</v>
      </c>
      <c r="AH13" s="17" t="s">
        <v>62</v>
      </c>
      <c r="AI13" s="17" t="s">
        <v>45</v>
      </c>
      <c r="AJ13" s="17" t="s">
        <v>45</v>
      </c>
      <c r="AK13" s="17" t="s">
        <v>45</v>
      </c>
      <c r="AL13" s="78" t="s">
        <v>1008</v>
      </c>
      <c r="AM13" s="79"/>
      <c r="AN13" s="79"/>
      <c r="AO13" s="79"/>
      <c r="AP13" s="80"/>
    </row>
    <row r="14" spans="1:46" s="14" customFormat="1" ht="33.75" customHeight="1" x14ac:dyDescent="0.4">
      <c r="A14" s="11">
        <v>24</v>
      </c>
      <c r="B14" s="11">
        <v>502</v>
      </c>
      <c r="C14" s="11" t="s">
        <v>80</v>
      </c>
      <c r="D14" s="13" t="s">
        <v>1009</v>
      </c>
      <c r="E14" s="33" t="s">
        <v>18</v>
      </c>
      <c r="F14" s="11" t="s">
        <v>1010</v>
      </c>
      <c r="G14" s="11" t="s">
        <v>43</v>
      </c>
      <c r="H14" s="11" t="s">
        <v>52</v>
      </c>
      <c r="I14" s="11" t="s">
        <v>84</v>
      </c>
      <c r="J14" s="11" t="s">
        <v>85</v>
      </c>
      <c r="K14" s="11" t="s">
        <v>60</v>
      </c>
      <c r="L14" s="11" t="s">
        <v>92</v>
      </c>
      <c r="M14" s="11" t="s">
        <v>45</v>
      </c>
      <c r="N14" s="11" t="s">
        <v>45</v>
      </c>
      <c r="O14" s="11" t="s">
        <v>23</v>
      </c>
      <c r="P14" s="11" t="s">
        <v>84</v>
      </c>
      <c r="Q14" s="11" t="s">
        <v>86</v>
      </c>
      <c r="R14" s="11">
        <v>750</v>
      </c>
      <c r="S14" s="40" t="s">
        <v>39</v>
      </c>
      <c r="T14" s="11">
        <v>900</v>
      </c>
      <c r="U14" s="11" t="s">
        <v>45</v>
      </c>
      <c r="V14" s="11" t="s">
        <v>84</v>
      </c>
      <c r="W14" s="11" t="s">
        <v>86</v>
      </c>
      <c r="X14" s="40" t="s">
        <v>60</v>
      </c>
      <c r="Y14" s="40" t="s">
        <v>87</v>
      </c>
      <c r="Z14" s="40" t="s">
        <v>1011</v>
      </c>
      <c r="AA14" s="40" t="s">
        <v>65</v>
      </c>
      <c r="AB14" s="12" t="s">
        <v>19</v>
      </c>
      <c r="AC14" s="11" t="s">
        <v>45</v>
      </c>
      <c r="AD14" s="11" t="s">
        <v>45</v>
      </c>
      <c r="AE14" s="11" t="s">
        <v>116</v>
      </c>
      <c r="AF14" s="11" t="s">
        <v>50</v>
      </c>
      <c r="AG14" s="13" t="s">
        <v>60</v>
      </c>
      <c r="AH14" s="13" t="s">
        <v>62</v>
      </c>
      <c r="AI14" s="13" t="s">
        <v>45</v>
      </c>
      <c r="AJ14" s="13" t="s">
        <v>23</v>
      </c>
      <c r="AK14" s="13" t="s">
        <v>45</v>
      </c>
      <c r="AL14" s="133" t="s">
        <v>1012</v>
      </c>
      <c r="AM14" s="134"/>
      <c r="AN14" s="134"/>
      <c r="AO14" s="134"/>
      <c r="AP14" s="135"/>
    </row>
    <row r="15" spans="1:46" s="10" customFormat="1" ht="54" customHeight="1" x14ac:dyDescent="0.4">
      <c r="A15" s="6">
        <v>24</v>
      </c>
      <c r="B15" s="6">
        <v>103</v>
      </c>
      <c r="C15" s="6" t="s">
        <v>80</v>
      </c>
      <c r="D15" s="18" t="s">
        <v>1082</v>
      </c>
      <c r="E15" s="34" t="s">
        <v>18</v>
      </c>
      <c r="F15" s="6" t="s">
        <v>1083</v>
      </c>
      <c r="G15" s="6" t="s">
        <v>43</v>
      </c>
      <c r="H15" s="6" t="s">
        <v>52</v>
      </c>
      <c r="I15" s="6" t="s">
        <v>84</v>
      </c>
      <c r="J15" s="6" t="s">
        <v>85</v>
      </c>
      <c r="K15" s="6" t="s">
        <v>60</v>
      </c>
      <c r="L15" s="6" t="s">
        <v>92</v>
      </c>
      <c r="M15" s="6" t="s">
        <v>45</v>
      </c>
      <c r="N15" s="6" t="s">
        <v>45</v>
      </c>
      <c r="O15" s="6" t="s">
        <v>23</v>
      </c>
      <c r="P15" s="6" t="s">
        <v>84</v>
      </c>
      <c r="Q15" s="6" t="s">
        <v>86</v>
      </c>
      <c r="R15" s="6">
        <v>750</v>
      </c>
      <c r="S15" s="6" t="s">
        <v>39</v>
      </c>
      <c r="T15" s="6">
        <v>600</v>
      </c>
      <c r="U15" s="6" t="s">
        <v>45</v>
      </c>
      <c r="V15" s="6" t="s">
        <v>84</v>
      </c>
      <c r="W15" s="6" t="s">
        <v>86</v>
      </c>
      <c r="X15" s="6" t="s">
        <v>60</v>
      </c>
      <c r="Y15" s="6" t="s">
        <v>104</v>
      </c>
      <c r="Z15" s="46" t="s">
        <v>1084</v>
      </c>
      <c r="AA15" s="6" t="s">
        <v>65</v>
      </c>
      <c r="AB15" s="15" t="s">
        <v>88</v>
      </c>
      <c r="AC15" s="16" t="s">
        <v>23</v>
      </c>
      <c r="AD15" s="16" t="s">
        <v>23</v>
      </c>
      <c r="AE15" s="16" t="s">
        <v>50</v>
      </c>
      <c r="AF15" s="16" t="s">
        <v>50</v>
      </c>
      <c r="AG15" s="17" t="s">
        <v>19</v>
      </c>
      <c r="AH15" s="17" t="s">
        <v>62</v>
      </c>
      <c r="AI15" s="17" t="s">
        <v>45</v>
      </c>
      <c r="AJ15" s="17" t="s">
        <v>23</v>
      </c>
      <c r="AK15" s="17" t="s">
        <v>45</v>
      </c>
      <c r="AL15" s="106" t="s">
        <v>1085</v>
      </c>
      <c r="AM15" s="107"/>
      <c r="AN15" s="107"/>
      <c r="AO15" s="107"/>
      <c r="AP15" s="108"/>
    </row>
    <row r="16" spans="1:46" s="14" customFormat="1" ht="50.25" customHeight="1" x14ac:dyDescent="0.4">
      <c r="A16" s="11">
        <v>24</v>
      </c>
      <c r="B16" s="11">
        <v>203</v>
      </c>
      <c r="C16" s="11" t="s">
        <v>80</v>
      </c>
      <c r="D16" s="13" t="s">
        <v>1062</v>
      </c>
      <c r="E16" s="33" t="s">
        <v>18</v>
      </c>
      <c r="F16" s="11" t="s">
        <v>1063</v>
      </c>
      <c r="G16" s="11" t="s">
        <v>43</v>
      </c>
      <c r="H16" s="11" t="s">
        <v>52</v>
      </c>
      <c r="I16" s="11" t="s">
        <v>84</v>
      </c>
      <c r="J16" s="11" t="s">
        <v>85</v>
      </c>
      <c r="K16" s="11" t="s">
        <v>60</v>
      </c>
      <c r="L16" s="11" t="s">
        <v>92</v>
      </c>
      <c r="M16" s="11" t="s">
        <v>45</v>
      </c>
      <c r="N16" s="11" t="s">
        <v>45</v>
      </c>
      <c r="O16" s="11" t="s">
        <v>23</v>
      </c>
      <c r="P16" s="11" t="s">
        <v>84</v>
      </c>
      <c r="Q16" s="11" t="s">
        <v>86</v>
      </c>
      <c r="R16" s="11">
        <v>750</v>
      </c>
      <c r="S16" s="40" t="s">
        <v>39</v>
      </c>
      <c r="T16" s="11">
        <v>900</v>
      </c>
      <c r="U16" s="11" t="s">
        <v>45</v>
      </c>
      <c r="V16" s="11" t="s">
        <v>84</v>
      </c>
      <c r="W16" s="11" t="s">
        <v>86</v>
      </c>
      <c r="X16" s="40" t="s">
        <v>19</v>
      </c>
      <c r="Y16" s="40"/>
      <c r="Z16" s="40"/>
      <c r="AA16" s="40" t="s">
        <v>65</v>
      </c>
      <c r="AB16" s="12" t="s">
        <v>19</v>
      </c>
      <c r="AC16" s="11" t="s">
        <v>45</v>
      </c>
      <c r="AD16" s="11" t="s">
        <v>45</v>
      </c>
      <c r="AE16" s="11" t="s">
        <v>116</v>
      </c>
      <c r="AF16" s="11" t="s">
        <v>50</v>
      </c>
      <c r="AG16" s="13" t="s">
        <v>60</v>
      </c>
      <c r="AH16" s="13" t="s">
        <v>62</v>
      </c>
      <c r="AI16" s="13" t="s">
        <v>23</v>
      </c>
      <c r="AJ16" s="13" t="s">
        <v>45</v>
      </c>
      <c r="AK16" s="13" t="s">
        <v>23</v>
      </c>
      <c r="AL16" s="133" t="s">
        <v>1064</v>
      </c>
      <c r="AM16" s="134"/>
      <c r="AN16" s="134"/>
      <c r="AO16" s="134"/>
      <c r="AP16" s="135"/>
    </row>
    <row r="17" spans="1:43" s="10" customFormat="1" ht="61.5" customHeight="1" x14ac:dyDescent="0.4">
      <c r="A17" s="6">
        <v>24</v>
      </c>
      <c r="B17" s="6">
        <v>303</v>
      </c>
      <c r="C17" s="6" t="s">
        <v>80</v>
      </c>
      <c r="D17" s="18" t="s">
        <v>1044</v>
      </c>
      <c r="E17" s="34" t="s">
        <v>18</v>
      </c>
      <c r="F17" s="46" t="s">
        <v>1045</v>
      </c>
      <c r="G17" s="6" t="s">
        <v>43</v>
      </c>
      <c r="H17" s="6" t="s">
        <v>52</v>
      </c>
      <c r="I17" s="6" t="s">
        <v>84</v>
      </c>
      <c r="J17" s="6" t="s">
        <v>46</v>
      </c>
      <c r="K17" s="6" t="s">
        <v>361</v>
      </c>
      <c r="L17" s="6" t="s">
        <v>92</v>
      </c>
      <c r="M17" s="6" t="s">
        <v>45</v>
      </c>
      <c r="N17" s="6" t="s">
        <v>23</v>
      </c>
      <c r="O17" s="6" t="s">
        <v>45</v>
      </c>
      <c r="P17" s="6" t="s">
        <v>84</v>
      </c>
      <c r="Q17" s="6" t="s">
        <v>1046</v>
      </c>
      <c r="R17" s="6">
        <v>740</v>
      </c>
      <c r="S17" s="6" t="s">
        <v>39</v>
      </c>
      <c r="T17" s="6">
        <v>900</v>
      </c>
      <c r="U17" s="6" t="s">
        <v>45</v>
      </c>
      <c r="V17" s="6" t="s">
        <v>84</v>
      </c>
      <c r="W17" s="6" t="s">
        <v>1046</v>
      </c>
      <c r="X17" s="6" t="s">
        <v>60</v>
      </c>
      <c r="Y17" s="6" t="s">
        <v>104</v>
      </c>
      <c r="Z17" s="46" t="s">
        <v>1047</v>
      </c>
      <c r="AA17" s="6" t="s">
        <v>65</v>
      </c>
      <c r="AB17" s="15" t="s">
        <v>88</v>
      </c>
      <c r="AC17" s="16" t="s">
        <v>23</v>
      </c>
      <c r="AD17" s="16" t="s">
        <v>23</v>
      </c>
      <c r="AE17" s="16" t="s">
        <v>50</v>
      </c>
      <c r="AF17" s="16" t="s">
        <v>50</v>
      </c>
      <c r="AG17" s="17" t="s">
        <v>60</v>
      </c>
      <c r="AH17" s="17" t="s">
        <v>62</v>
      </c>
      <c r="AI17" s="17" t="s">
        <v>45</v>
      </c>
      <c r="AJ17" s="17" t="s">
        <v>45</v>
      </c>
      <c r="AK17" s="17" t="s">
        <v>23</v>
      </c>
      <c r="AL17" s="106" t="s">
        <v>1048</v>
      </c>
      <c r="AM17" s="107"/>
      <c r="AN17" s="107"/>
      <c r="AO17" s="107"/>
      <c r="AP17" s="108"/>
    </row>
    <row r="18" spans="1:43" s="14" customFormat="1" ht="33.75" customHeight="1" x14ac:dyDescent="0.4">
      <c r="A18" s="11">
        <v>24</v>
      </c>
      <c r="B18" s="11">
        <v>403</v>
      </c>
      <c r="C18" s="11" t="s">
        <v>80</v>
      </c>
      <c r="D18" s="13" t="s">
        <v>1049</v>
      </c>
      <c r="E18" s="33" t="s">
        <v>18</v>
      </c>
      <c r="F18" s="11" t="s">
        <v>1050</v>
      </c>
      <c r="G18" s="11" t="s">
        <v>43</v>
      </c>
      <c r="H18" s="11" t="s">
        <v>52</v>
      </c>
      <c r="I18" s="11" t="s">
        <v>84</v>
      </c>
      <c r="J18" s="11" t="s">
        <v>85</v>
      </c>
      <c r="K18" s="11" t="s">
        <v>60</v>
      </c>
      <c r="L18" s="11" t="s">
        <v>24</v>
      </c>
      <c r="M18" s="11" t="s">
        <v>23</v>
      </c>
      <c r="N18" s="11" t="s">
        <v>45</v>
      </c>
      <c r="O18" s="11" t="s">
        <v>45</v>
      </c>
      <c r="P18" s="11" t="s">
        <v>84</v>
      </c>
      <c r="Q18" s="11" t="s">
        <v>86</v>
      </c>
      <c r="R18" s="11" t="s">
        <v>1051</v>
      </c>
      <c r="S18" s="40" t="s">
        <v>39</v>
      </c>
      <c r="T18" s="11">
        <v>900</v>
      </c>
      <c r="U18" s="11" t="s">
        <v>45</v>
      </c>
      <c r="V18" s="11" t="s">
        <v>84</v>
      </c>
      <c r="W18" s="11" t="s">
        <v>86</v>
      </c>
      <c r="X18" s="40" t="s">
        <v>60</v>
      </c>
      <c r="Y18" s="40" t="s">
        <v>87</v>
      </c>
      <c r="Z18" s="40" t="s">
        <v>1052</v>
      </c>
      <c r="AA18" s="40" t="s">
        <v>65</v>
      </c>
      <c r="AB18" s="12" t="s">
        <v>88</v>
      </c>
      <c r="AC18" s="11" t="s">
        <v>45</v>
      </c>
      <c r="AD18" s="11" t="s">
        <v>45</v>
      </c>
      <c r="AE18" s="11" t="s">
        <v>116</v>
      </c>
      <c r="AF18" s="11" t="s">
        <v>50</v>
      </c>
      <c r="AG18" s="13" t="s">
        <v>60</v>
      </c>
      <c r="AH18" s="13" t="s">
        <v>62</v>
      </c>
      <c r="AI18" s="13" t="s">
        <v>45</v>
      </c>
      <c r="AJ18" s="13" t="s">
        <v>45</v>
      </c>
      <c r="AK18" s="13" t="s">
        <v>45</v>
      </c>
      <c r="AL18" s="133" t="s">
        <v>1053</v>
      </c>
      <c r="AM18" s="134"/>
      <c r="AN18" s="134"/>
      <c r="AO18" s="134"/>
      <c r="AP18" s="135"/>
    </row>
    <row r="19" spans="1:43" s="10" customFormat="1" ht="15" customHeight="1" x14ac:dyDescent="0.4">
      <c r="A19" s="6">
        <v>24</v>
      </c>
      <c r="B19" s="6">
        <v>503</v>
      </c>
      <c r="C19" s="6" t="s">
        <v>80</v>
      </c>
      <c r="D19" s="18" t="s">
        <v>269</v>
      </c>
      <c r="E19" s="34" t="s">
        <v>18</v>
      </c>
      <c r="F19" s="6" t="s">
        <v>270</v>
      </c>
      <c r="G19" s="6" t="s">
        <v>43</v>
      </c>
      <c r="H19" s="6" t="s">
        <v>52</v>
      </c>
      <c r="I19" s="6" t="s">
        <v>84</v>
      </c>
      <c r="J19" s="6" t="s">
        <v>85</v>
      </c>
      <c r="K19" s="6" t="s">
        <v>60</v>
      </c>
      <c r="L19" s="6" t="s">
        <v>20</v>
      </c>
      <c r="M19" s="6" t="s">
        <v>45</v>
      </c>
      <c r="N19" s="6" t="s">
        <v>45</v>
      </c>
      <c r="O19" s="6" t="s">
        <v>23</v>
      </c>
      <c r="P19" s="6" t="s">
        <v>84</v>
      </c>
      <c r="Q19" s="6" t="s">
        <v>86</v>
      </c>
      <c r="R19" s="6">
        <v>750</v>
      </c>
      <c r="S19" s="6" t="s">
        <v>39</v>
      </c>
      <c r="T19" s="6" t="s">
        <v>19</v>
      </c>
      <c r="U19" s="6" t="s">
        <v>45</v>
      </c>
      <c r="V19" s="6" t="s">
        <v>84</v>
      </c>
      <c r="W19" s="6" t="s">
        <v>86</v>
      </c>
      <c r="X19" s="6" t="s">
        <v>60</v>
      </c>
      <c r="Y19" s="6" t="s">
        <v>87</v>
      </c>
      <c r="Z19" s="6" t="s">
        <v>631</v>
      </c>
      <c r="AA19" s="6" t="s">
        <v>65</v>
      </c>
      <c r="AB19" s="15" t="s">
        <v>88</v>
      </c>
      <c r="AC19" s="16" t="s">
        <v>45</v>
      </c>
      <c r="AD19" s="16" t="s">
        <v>23</v>
      </c>
      <c r="AE19" s="16" t="s">
        <v>50</v>
      </c>
      <c r="AF19" s="16" t="s">
        <v>50</v>
      </c>
      <c r="AG19" s="17" t="s">
        <v>60</v>
      </c>
      <c r="AH19" s="17" t="s">
        <v>62</v>
      </c>
      <c r="AI19" s="17" t="s">
        <v>45</v>
      </c>
      <c r="AJ19" s="17" t="s">
        <v>23</v>
      </c>
      <c r="AK19" s="17" t="s">
        <v>23</v>
      </c>
      <c r="AL19" s="78" t="s">
        <v>957</v>
      </c>
      <c r="AM19" s="79"/>
      <c r="AN19" s="79"/>
      <c r="AO19" s="79"/>
      <c r="AP19" s="80"/>
    </row>
    <row r="20" spans="1:43" s="14" customFormat="1" ht="15" customHeight="1" x14ac:dyDescent="0.4">
      <c r="A20" s="11">
        <v>24</v>
      </c>
      <c r="B20" s="11">
        <v>104</v>
      </c>
      <c r="C20" s="11" t="s">
        <v>80</v>
      </c>
      <c r="D20" s="13" t="s">
        <v>1086</v>
      </c>
      <c r="E20" s="33" t="s">
        <v>18</v>
      </c>
      <c r="F20" s="11" t="s">
        <v>1087</v>
      </c>
      <c r="G20" s="11" t="s">
        <v>43</v>
      </c>
      <c r="H20" s="11" t="s">
        <v>52</v>
      </c>
      <c r="I20" s="11" t="s">
        <v>84</v>
      </c>
      <c r="J20" s="11" t="s">
        <v>85</v>
      </c>
      <c r="K20" s="11" t="s">
        <v>60</v>
      </c>
      <c r="L20" s="11" t="s">
        <v>20</v>
      </c>
      <c r="M20" s="11" t="s">
        <v>45</v>
      </c>
      <c r="N20" s="11" t="s">
        <v>45</v>
      </c>
      <c r="O20" s="11" t="s">
        <v>23</v>
      </c>
      <c r="P20" s="11" t="s">
        <v>84</v>
      </c>
      <c r="Q20" s="11" t="s">
        <v>86</v>
      </c>
      <c r="R20" s="11">
        <v>750</v>
      </c>
      <c r="S20" s="40" t="s">
        <v>39</v>
      </c>
      <c r="T20" s="11">
        <v>740</v>
      </c>
      <c r="U20" s="11" t="s">
        <v>45</v>
      </c>
      <c r="V20" s="11" t="s">
        <v>84</v>
      </c>
      <c r="W20" s="11" t="s">
        <v>86</v>
      </c>
      <c r="X20" s="40" t="s">
        <v>60</v>
      </c>
      <c r="Y20" s="40" t="s">
        <v>531</v>
      </c>
      <c r="Z20" s="40"/>
      <c r="AA20" s="40" t="s">
        <v>39</v>
      </c>
      <c r="AB20" s="12" t="s">
        <v>88</v>
      </c>
      <c r="AC20" s="11" t="s">
        <v>45</v>
      </c>
      <c r="AD20" s="11" t="s">
        <v>45</v>
      </c>
      <c r="AE20" s="11" t="s">
        <v>116</v>
      </c>
      <c r="AF20" s="11" t="s">
        <v>50</v>
      </c>
      <c r="AG20" s="13" t="s">
        <v>60</v>
      </c>
      <c r="AH20" s="13" t="s">
        <v>62</v>
      </c>
      <c r="AI20" s="13" t="s">
        <v>45</v>
      </c>
      <c r="AJ20" s="13" t="s">
        <v>23</v>
      </c>
      <c r="AK20" s="13" t="s">
        <v>45</v>
      </c>
      <c r="AL20" s="94" t="s">
        <v>1088</v>
      </c>
      <c r="AM20" s="95"/>
      <c r="AN20" s="95"/>
      <c r="AO20" s="95"/>
      <c r="AP20" s="96"/>
    </row>
    <row r="21" spans="1:43" s="10" customFormat="1" ht="41.25" customHeight="1" x14ac:dyDescent="0.4">
      <c r="A21" s="6">
        <v>24</v>
      </c>
      <c r="B21" s="6">
        <v>204</v>
      </c>
      <c r="C21" s="6" t="s">
        <v>80</v>
      </c>
      <c r="D21" s="18" t="s">
        <v>2684</v>
      </c>
      <c r="E21" s="34" t="s">
        <v>18</v>
      </c>
      <c r="F21" s="6" t="s">
        <v>2685</v>
      </c>
      <c r="G21" s="6" t="s">
        <v>43</v>
      </c>
      <c r="H21" s="6" t="s">
        <v>52</v>
      </c>
      <c r="I21" s="6" t="s">
        <v>84</v>
      </c>
      <c r="J21" s="6" t="s">
        <v>85</v>
      </c>
      <c r="K21" s="6" t="s">
        <v>60</v>
      </c>
      <c r="L21" s="6" t="s">
        <v>92</v>
      </c>
      <c r="M21" s="6" t="s">
        <v>45</v>
      </c>
      <c r="N21" s="6" t="s">
        <v>23</v>
      </c>
      <c r="O21" s="6" t="s">
        <v>23</v>
      </c>
      <c r="P21" s="6" t="s">
        <v>84</v>
      </c>
      <c r="Q21" s="6" t="s">
        <v>86</v>
      </c>
      <c r="R21" s="6">
        <v>740</v>
      </c>
      <c r="S21" s="6" t="s">
        <v>39</v>
      </c>
      <c r="T21" s="6">
        <v>900</v>
      </c>
      <c r="U21" s="6" t="s">
        <v>45</v>
      </c>
      <c r="V21" s="6" t="s">
        <v>84</v>
      </c>
      <c r="W21" s="6" t="s">
        <v>86</v>
      </c>
      <c r="X21" s="6" t="s">
        <v>60</v>
      </c>
      <c r="Y21" s="6" t="s">
        <v>87</v>
      </c>
      <c r="Z21" s="6" t="s">
        <v>2686</v>
      </c>
      <c r="AA21" s="6" t="s">
        <v>39</v>
      </c>
      <c r="AB21" s="15" t="s">
        <v>19</v>
      </c>
      <c r="AC21" s="16" t="s">
        <v>45</v>
      </c>
      <c r="AD21" s="16" t="s">
        <v>45</v>
      </c>
      <c r="AE21" s="16" t="s">
        <v>116</v>
      </c>
      <c r="AF21" s="16" t="s">
        <v>50</v>
      </c>
      <c r="AG21" s="17" t="s">
        <v>60</v>
      </c>
      <c r="AH21" s="17" t="s">
        <v>62</v>
      </c>
      <c r="AI21" s="17" t="s">
        <v>45</v>
      </c>
      <c r="AJ21" s="17" t="s">
        <v>23</v>
      </c>
      <c r="AK21" s="17" t="s">
        <v>45</v>
      </c>
      <c r="AL21" s="106" t="s">
        <v>2687</v>
      </c>
      <c r="AM21" s="107"/>
      <c r="AN21" s="107"/>
      <c r="AO21" s="107"/>
      <c r="AP21" s="108"/>
    </row>
    <row r="22" spans="1:43" s="14" customFormat="1" ht="63.75" customHeight="1" x14ac:dyDescent="0.4">
      <c r="A22" s="11">
        <v>24</v>
      </c>
      <c r="B22" s="11">
        <v>304</v>
      </c>
      <c r="C22" s="11" t="s">
        <v>80</v>
      </c>
      <c r="D22" s="13" t="s">
        <v>1065</v>
      </c>
      <c r="E22" s="33" t="s">
        <v>18</v>
      </c>
      <c r="F22" s="11" t="s">
        <v>1066</v>
      </c>
      <c r="G22" s="11" t="s">
        <v>43</v>
      </c>
      <c r="H22" s="11" t="s">
        <v>52</v>
      </c>
      <c r="I22" s="11" t="s">
        <v>84</v>
      </c>
      <c r="J22" s="11" t="s">
        <v>85</v>
      </c>
      <c r="K22" s="11" t="s">
        <v>60</v>
      </c>
      <c r="L22" s="11" t="s">
        <v>92</v>
      </c>
      <c r="M22" s="11" t="s">
        <v>45</v>
      </c>
      <c r="N22" s="11" t="s">
        <v>45</v>
      </c>
      <c r="O22" s="11" t="s">
        <v>23</v>
      </c>
      <c r="P22" s="11" t="s">
        <v>84</v>
      </c>
      <c r="Q22" s="11" t="s">
        <v>86</v>
      </c>
      <c r="R22" s="11">
        <v>750</v>
      </c>
      <c r="S22" s="40" t="s">
        <v>39</v>
      </c>
      <c r="T22" s="11">
        <v>900</v>
      </c>
      <c r="U22" s="11" t="s">
        <v>45</v>
      </c>
      <c r="V22" s="11" t="s">
        <v>84</v>
      </c>
      <c r="W22" s="11" t="s">
        <v>86</v>
      </c>
      <c r="X22" s="40" t="s">
        <v>60</v>
      </c>
      <c r="Y22" s="40" t="s">
        <v>87</v>
      </c>
      <c r="Z22" s="40" t="s">
        <v>1067</v>
      </c>
      <c r="AA22" s="40" t="s">
        <v>65</v>
      </c>
      <c r="AB22" s="12" t="s">
        <v>88</v>
      </c>
      <c r="AC22" s="11" t="s">
        <v>45</v>
      </c>
      <c r="AD22" s="11" t="s">
        <v>45</v>
      </c>
      <c r="AE22" s="11" t="s">
        <v>116</v>
      </c>
      <c r="AF22" s="11" t="s">
        <v>50</v>
      </c>
      <c r="AG22" s="13" t="s">
        <v>60</v>
      </c>
      <c r="AH22" s="13" t="s">
        <v>62</v>
      </c>
      <c r="AI22" s="13" t="s">
        <v>23</v>
      </c>
      <c r="AJ22" s="13" t="s">
        <v>45</v>
      </c>
      <c r="AK22" s="13" t="s">
        <v>23</v>
      </c>
      <c r="AL22" s="133" t="s">
        <v>1068</v>
      </c>
      <c r="AM22" s="134"/>
      <c r="AN22" s="134"/>
      <c r="AO22" s="134"/>
      <c r="AP22" s="135"/>
    </row>
    <row r="23" spans="1:43" s="10" customFormat="1" ht="36" customHeight="1" x14ac:dyDescent="0.4">
      <c r="A23" s="6">
        <v>24</v>
      </c>
      <c r="B23" s="6">
        <v>404</v>
      </c>
      <c r="C23" s="6" t="s">
        <v>80</v>
      </c>
      <c r="D23" s="18" t="s">
        <v>1610</v>
      </c>
      <c r="E23" s="34" t="s">
        <v>18</v>
      </c>
      <c r="F23" s="6" t="s">
        <v>1611</v>
      </c>
      <c r="G23" s="6" t="s">
        <v>43</v>
      </c>
      <c r="H23" s="6" t="s">
        <v>52</v>
      </c>
      <c r="I23" s="6" t="s">
        <v>84</v>
      </c>
      <c r="J23" s="6" t="s">
        <v>85</v>
      </c>
      <c r="K23" s="6" t="s">
        <v>19</v>
      </c>
      <c r="L23" s="6" t="s">
        <v>24</v>
      </c>
      <c r="M23" s="6" t="s">
        <v>45</v>
      </c>
      <c r="N23" s="6" t="s">
        <v>45</v>
      </c>
      <c r="O23" s="6" t="s">
        <v>23</v>
      </c>
      <c r="P23" s="6" t="s">
        <v>84</v>
      </c>
      <c r="Q23" s="6" t="s">
        <v>86</v>
      </c>
      <c r="R23" s="6">
        <v>750</v>
      </c>
      <c r="S23" s="6" t="s">
        <v>39</v>
      </c>
      <c r="T23" s="6">
        <v>900</v>
      </c>
      <c r="U23" s="6" t="s">
        <v>45</v>
      </c>
      <c r="V23" s="6" t="s">
        <v>84</v>
      </c>
      <c r="W23" s="6" t="s">
        <v>86</v>
      </c>
      <c r="X23" s="6" t="s">
        <v>19</v>
      </c>
      <c r="Y23" s="6"/>
      <c r="Z23" s="6"/>
      <c r="AA23" s="6" t="s">
        <v>65</v>
      </c>
      <c r="AB23" s="15" t="s">
        <v>19</v>
      </c>
      <c r="AC23" s="16" t="s">
        <v>45</v>
      </c>
      <c r="AD23" s="16" t="s">
        <v>45</v>
      </c>
      <c r="AE23" s="16" t="s">
        <v>116</v>
      </c>
      <c r="AF23" s="16" t="s">
        <v>50</v>
      </c>
      <c r="AG23" s="17" t="s">
        <v>19</v>
      </c>
      <c r="AH23" s="17" t="s">
        <v>62</v>
      </c>
      <c r="AI23" s="17" t="s">
        <v>45</v>
      </c>
      <c r="AJ23" s="17" t="s">
        <v>23</v>
      </c>
      <c r="AK23" s="17" t="s">
        <v>45</v>
      </c>
      <c r="AL23" s="78" t="s">
        <v>1613</v>
      </c>
      <c r="AM23" s="79"/>
      <c r="AN23" s="79"/>
      <c r="AO23" s="79"/>
      <c r="AP23" s="80"/>
    </row>
    <row r="24" spans="1:43" s="14" customFormat="1" ht="43.5" customHeight="1" x14ac:dyDescent="0.4">
      <c r="A24" s="11">
        <v>24</v>
      </c>
      <c r="B24" s="11">
        <v>504</v>
      </c>
      <c r="C24" s="11" t="s">
        <v>80</v>
      </c>
      <c r="D24" s="13" t="s">
        <v>1042</v>
      </c>
      <c r="E24" s="33" t="s">
        <v>18</v>
      </c>
      <c r="F24" s="45" t="s">
        <v>1043</v>
      </c>
      <c r="G24" s="11" t="s">
        <v>40</v>
      </c>
      <c r="H24" s="11" t="s">
        <v>52</v>
      </c>
      <c r="I24" s="11" t="s">
        <v>84</v>
      </c>
      <c r="J24" s="11" t="s">
        <v>85</v>
      </c>
      <c r="K24" s="11" t="s">
        <v>60</v>
      </c>
      <c r="L24" s="11" t="s">
        <v>92</v>
      </c>
      <c r="M24" s="11" t="s">
        <v>45</v>
      </c>
      <c r="N24" s="11" t="s">
        <v>45</v>
      </c>
      <c r="O24" s="11" t="s">
        <v>23</v>
      </c>
      <c r="P24" s="11" t="s">
        <v>84</v>
      </c>
      <c r="Q24" s="11" t="s">
        <v>86</v>
      </c>
      <c r="R24" s="11">
        <v>750</v>
      </c>
      <c r="S24" s="40" t="s">
        <v>39</v>
      </c>
      <c r="T24" s="11">
        <v>900</v>
      </c>
      <c r="U24" s="11" t="s">
        <v>45</v>
      </c>
      <c r="V24" s="11" t="s">
        <v>84</v>
      </c>
      <c r="W24" s="11" t="s">
        <v>86</v>
      </c>
      <c r="X24" s="40" t="s">
        <v>19</v>
      </c>
      <c r="Y24" s="40"/>
      <c r="Z24" s="40"/>
      <c r="AA24" s="40" t="s">
        <v>65</v>
      </c>
      <c r="AB24" s="12" t="s">
        <v>19</v>
      </c>
      <c r="AC24" s="11" t="s">
        <v>45</v>
      </c>
      <c r="AD24" s="11" t="s">
        <v>45</v>
      </c>
      <c r="AE24" s="11" t="s">
        <v>116</v>
      </c>
      <c r="AF24" s="11" t="s">
        <v>50</v>
      </c>
      <c r="AG24" s="13" t="s">
        <v>19</v>
      </c>
      <c r="AH24" s="13" t="s">
        <v>62</v>
      </c>
      <c r="AI24" s="13" t="s">
        <v>45</v>
      </c>
      <c r="AJ24" s="13" t="s">
        <v>23</v>
      </c>
      <c r="AK24" s="13" t="s">
        <v>23</v>
      </c>
      <c r="AL24" s="133" t="s">
        <v>1612</v>
      </c>
      <c r="AM24" s="134"/>
      <c r="AN24" s="134"/>
      <c r="AO24" s="134"/>
      <c r="AP24" s="135"/>
    </row>
    <row r="25" spans="1:43" s="2" customFormat="1" ht="11.25" customHeight="1" x14ac:dyDescent="0.4">
      <c r="A25" s="118" t="s">
        <v>12</v>
      </c>
      <c r="B25" s="119"/>
      <c r="C25" s="119"/>
      <c r="D25" s="119"/>
      <c r="E25" s="120"/>
      <c r="F25" s="136">
        <f>COUNTA(D5:D24)</f>
        <v>20</v>
      </c>
      <c r="G25" s="20" t="str">
        <f>"所有→"&amp;COUNTIF(G5:G24,"所有")&amp;"戸"</f>
        <v>所有→19戸</v>
      </c>
      <c r="H25" s="20" t="str">
        <f>"未更新→"&amp;COUNTIF(H5:H24,"未更新")&amp;"戸"</f>
        <v>未更新→20戸</v>
      </c>
      <c r="I25" s="20" t="str">
        <f>"クロス→"&amp;COUNTIF(I5:I24,"クロス")&amp;"戸"</f>
        <v>クロス→20戸</v>
      </c>
      <c r="J25" s="20" t="str">
        <f>"ベニヤ→"&amp;COUNTIF(J5:J24,"ベニヤ")&amp;"戸"</f>
        <v>ベニヤ→18戸</v>
      </c>
      <c r="K25" s="20" t="str">
        <f>"既存→"&amp;COUNTIF(K5:K24,"既存")&amp;"戸"</f>
        <v>既存→4戸</v>
      </c>
      <c r="L25" s="20" t="str">
        <f>"普通便座→"&amp;COUNTIF(L5:L24,"普通便座")&amp;"戸"</f>
        <v>普通便座→5戸</v>
      </c>
      <c r="M25" s="20" t="str">
        <f>"有→"&amp;COUNTIF(M5:M24,"有")&amp;"戸"</f>
        <v>有→1戸</v>
      </c>
      <c r="N25" s="20" t="str">
        <f>"有→"&amp;COUNTIF(N5:N24,"有")&amp;"戸"</f>
        <v>有→4戸</v>
      </c>
      <c r="O25" s="20" t="str">
        <f>"有→"&amp;COUNTIF(O5:O24,"有")&amp;"戸"</f>
        <v>有→16戸</v>
      </c>
      <c r="P25" s="20" t="str">
        <f>"クロス→"&amp;COUNTIF(P5:P24,"クロス")&amp;"戸"</f>
        <v>クロス→19戸</v>
      </c>
      <c r="Q25" s="20" t="str">
        <f>"CF→"&amp;COUNTIF(Q5:Q24,"CF")&amp;"戸"</f>
        <v>CF→18戸</v>
      </c>
      <c r="R25" s="20" t="str">
        <f>"1000→"&amp;COUNTIF(R5:R24,"1000")&amp;"戸"</f>
        <v>1000→0戸</v>
      </c>
      <c r="S25" s="20" t="str">
        <f>"可→"&amp;COUNTIF(S5:S24,"可")&amp;"戸"</f>
        <v>可→19戸</v>
      </c>
      <c r="T25" s="20" t="str">
        <f>"900→"&amp;COUNTIF(T5:T24,"900")&amp;"戸"</f>
        <v>900→16戸</v>
      </c>
      <c r="U25" s="20" t="str">
        <f>"有→"&amp;COUNTIF(U5:U24,"有")&amp;"戸"</f>
        <v>有→0戸</v>
      </c>
      <c r="V25" s="20" t="str">
        <f>"クロス→"&amp;COUNTIF(V5:V24,"クロス")&amp;"戸"</f>
        <v>クロス→20戸</v>
      </c>
      <c r="W25" s="20" t="str">
        <f>"CF→"&amp;COUNTIF(W5:W24,"CF")&amp;"戸"</f>
        <v>CF→18戸</v>
      </c>
      <c r="X25" s="20" t="str">
        <f>"既存→"&amp;COUNTIF(X5:X24,"既存")&amp;"戸"</f>
        <v>既存→4戸</v>
      </c>
      <c r="Y25" s="20" t="str">
        <f>"TOTO→"&amp;COUNTIF(Y5:Y24,"TOTO")&amp;"戸"</f>
        <v>TOTO→12戸</v>
      </c>
      <c r="Z25" s="130">
        <f>COUNTA(Z5:Z24)</f>
        <v>14</v>
      </c>
      <c r="AA25" s="20" t="str">
        <f>"可→"&amp;COUNTIF(AA5:AA24,"可")&amp;"戸"</f>
        <v>可→2戸</v>
      </c>
      <c r="AB25" s="20" t="str">
        <f>"既存→"&amp;COUNTIF(AB5:AB24,"既存")&amp;"戸"</f>
        <v>既存→10戸</v>
      </c>
      <c r="AC25" s="130">
        <f>COUNTIF(AC5:AC24,"有")</f>
        <v>2</v>
      </c>
      <c r="AD25" s="130">
        <f>COUNTIF(AD5:AD24,"有")</f>
        <v>5</v>
      </c>
      <c r="AE25" s="20" t="str">
        <f>"ポリ板→"&amp;COUNTIF(AE5:AE24,"ポリ板")&amp;"戸"</f>
        <v>ポリ板→7戸</v>
      </c>
      <c r="AF25" s="20" t="str">
        <f>"ポリ板→"&amp;COUNTIF(AF5:AF24,"ポリ板")&amp;"戸"</f>
        <v>ポリ板→19戸</v>
      </c>
      <c r="AG25" s="20" t="str">
        <f>"既存→"&amp;COUNTIF(AG5:AG24,"既存")&amp;"戸"</f>
        <v>既存→3戸</v>
      </c>
      <c r="AH25" s="20" t="str">
        <f>"洗面所→"&amp;COUNTIF(AH5:AH24,"洗面所")&amp;"戸"</f>
        <v>洗面所→20戸</v>
      </c>
      <c r="AI25" s="130">
        <f>COUNTIF(AI5:AI24,"有")</f>
        <v>4</v>
      </c>
      <c r="AJ25" s="130">
        <f>COUNTIF(AJ5:AJ24,"有")</f>
        <v>10</v>
      </c>
      <c r="AK25" s="130">
        <f>COUNTIF(AK5:AK24,"有")</f>
        <v>9</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タンクレス→1戸</v>
      </c>
      <c r="L26" s="35" t="str">
        <f>"暖房便座→"&amp;COUNTIF(L5:L24,"暖房便座")&amp;"戸"</f>
        <v>暖房便座→2戸</v>
      </c>
      <c r="M26" s="35" t="str">
        <f>"無→"&amp;COUNTIF(M5:M24,"無")&amp;"戸"</f>
        <v>無→19戸</v>
      </c>
      <c r="N26" s="35" t="str">
        <f>"無→"&amp;COUNTIF(N5:N24,"無")&amp;"戸"</f>
        <v>無→16戸</v>
      </c>
      <c r="O26" s="35" t="str">
        <f>"無→"&amp;COUNTIF(O5:O24,"無")&amp;"戸"</f>
        <v>無→4戸</v>
      </c>
      <c r="P26" s="35" t="str">
        <f>"珪藻土→"&amp;COUNTIF(P5:P24,"珪藻土")&amp;"戸"</f>
        <v>珪藻土→0戸</v>
      </c>
      <c r="Q26" s="35" t="str">
        <f>"塩ビタイル→"&amp;COUNTIF(Q5:Q24,"塩ビタイル")&amp;"戸"</f>
        <v>塩ビタイル→0戸</v>
      </c>
      <c r="R26" s="35" t="str">
        <f>"900→"&amp;COUNTIF(R5:R24,"900")&amp;"戸"</f>
        <v>900→0戸</v>
      </c>
      <c r="S26" s="35" t="str">
        <f>"不可→"&amp;COUNTIF(S5:S24,"不可")&amp;"戸"</f>
        <v>不可→1戸</v>
      </c>
      <c r="T26" s="35" t="str">
        <f>"800→"&amp;COUNTIF(T5:T24,"800")&amp;"戸"</f>
        <v>800→0戸</v>
      </c>
      <c r="U26" s="35" t="str">
        <f>"無→"&amp;COUNTIF(U5:U24,"無")&amp;"戸"</f>
        <v>無→20戸</v>
      </c>
      <c r="V26" s="35" t="str">
        <f>"珪藻土→"&amp;COUNTIF(V5:V24,"珪藻土")&amp;"戸"</f>
        <v>珪藻土→0戸</v>
      </c>
      <c r="W26" s="35" t="str">
        <f>"塩ビタイル→"&amp;COUNTIF(W5:W24,"塩ビタイル")&amp;"戸"</f>
        <v>塩ビタイル→1戸</v>
      </c>
      <c r="X26" s="35" t="str">
        <f>"リフォーム済み→"&amp;COUNTIF(X5:X24,"リフォーム済み")&amp;"戸"</f>
        <v>リフォーム済み→16戸</v>
      </c>
      <c r="Y26" s="35" t="str">
        <f>"LIXIL→"&amp;COUNTIF(Y5:Y24,"LIXIL")&amp;"戸"</f>
        <v>LIXIL→0戸</v>
      </c>
      <c r="Z26" s="131"/>
      <c r="AA26" s="35" t="str">
        <f>"不可→"&amp;COUNTIF(AA5:AA24,"不可")&amp;"戸"</f>
        <v>不可→18戸</v>
      </c>
      <c r="AB26" s="36" t="str">
        <f>"システム→"&amp;COUNTIF(AB5:AB24,"システム")&amp;"戸"</f>
        <v>システム→10戸</v>
      </c>
      <c r="AC26" s="131"/>
      <c r="AD26" s="131"/>
      <c r="AE26" s="35" t="str">
        <f>"SUS→"&amp;COUNTIF(AE5:AE24,"SUS")&amp;"戸"</f>
        <v>SUS→12戸</v>
      </c>
      <c r="AF26" s="35" t="str">
        <f>"SUS→"&amp;COUNTIF(AF5:AF24,"SUS")&amp;"戸"</f>
        <v>SUS→0戸</v>
      </c>
      <c r="AG26" s="35" t="str">
        <f>"リフォーム済み→"&amp;COUNTIF(AG5:AG24,"リフォーム済み")&amp;"戸"</f>
        <v>リフォーム済み→17戸</v>
      </c>
      <c r="AH26" s="35" t="str">
        <f>"ベランダ→"&amp;COUNTIF(AH5:AH24,"ベランダ")&amp;"戸"</f>
        <v>ベランダ→0戸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その他→2戸</v>
      </c>
      <c r="K27" s="35" t="str">
        <f>"レストパル→"&amp;COUNTIF(K5:K24,"レストパル")&amp;"戸"</f>
        <v>レストパル→0戸</v>
      </c>
      <c r="L27" s="35" t="str">
        <f>"WL→"&amp;COUNTIF(L5:L24,"WL")&amp;"戸"</f>
        <v>WL→13戸</v>
      </c>
      <c r="M27" s="23"/>
      <c r="N27" s="23"/>
      <c r="O27" s="23"/>
      <c r="P27" s="35" t="str">
        <f>"塗装→"&amp;COUNTIF(P5:P24,"塗装")&amp;"戸"</f>
        <v>塗装→0戸</v>
      </c>
      <c r="Q27" s="35" t="str">
        <f>"フローリング→"&amp;COUNTIF(Q5:Q24,"フローリング")&amp;"戸"</f>
        <v>フローリング→0戸</v>
      </c>
      <c r="R27" s="35" t="str">
        <f>"750→"&amp;COUNTIF(R5:R24,"750")&amp;"戸"</f>
        <v>750→14戸</v>
      </c>
      <c r="S27" s="35"/>
      <c r="T27" s="35" t="str">
        <f>"740→"&amp;COUNTIF(T5:T24,"740")&amp;"戸"</f>
        <v>740→1戸</v>
      </c>
      <c r="U27" s="22"/>
      <c r="V27" s="35" t="str">
        <f>"塗装→"&amp;COUNTIF(V5:V24,"塗装")&amp;"戸"</f>
        <v>塗装→0戸</v>
      </c>
      <c r="W27" s="35" t="str">
        <f>"フローリング→"&amp;COUNTIF(W5:W24,"フローリング")&amp;"戸"</f>
        <v>フローリング→0戸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35" t="str">
        <f>"空家→"&amp;COUNTIF(G5:G24,"空家")&amp;"戸"</f>
        <v>空家→1戸</v>
      </c>
      <c r="H28" s="39"/>
      <c r="I28" s="28"/>
      <c r="J28" s="27"/>
      <c r="K28" s="35" t="str">
        <f>"一体型→"&amp;COUNTIF(K5:K24,"一体型")&amp;"戸"</f>
        <v>一体型→0戸</v>
      </c>
      <c r="L28" s="28"/>
      <c r="M28" s="28"/>
      <c r="N28" s="28"/>
      <c r="O28" s="28"/>
      <c r="P28" s="28"/>
      <c r="Q28" s="28"/>
      <c r="R28" s="35" t="str">
        <f>"740→"&amp;COUNTIF(R5:R24,"740")&amp;"戸"</f>
        <v>740→3戸</v>
      </c>
      <c r="S28" s="27"/>
      <c r="T28" s="35" t="str">
        <f>"640→"&amp;COUNTIF(T5:T24,"640")&amp;"戸"</f>
        <v>640→1戸</v>
      </c>
      <c r="U28" s="27"/>
      <c r="V28" s="27"/>
      <c r="W28" s="27"/>
      <c r="X28" s="27"/>
      <c r="Y28" s="27"/>
      <c r="Z28" s="132"/>
      <c r="AA28" s="27"/>
      <c r="AB28" s="28"/>
      <c r="AC28" s="132"/>
      <c r="AD28" s="132"/>
      <c r="AE28" s="35" t="str">
        <f>"その他→"&amp;COUNTIF(AE5:AE24,"その他")&amp;"戸"</f>
        <v>その他→1戸</v>
      </c>
      <c r="AF28" s="35" t="str">
        <f>"その他→"&amp;COUNTIF(AF5:AF24,"その他")&amp;"戸"</f>
        <v>その他→1戸</v>
      </c>
      <c r="AG28" s="39"/>
      <c r="AH28" s="39"/>
      <c r="AI28" s="132"/>
      <c r="AJ28" s="132"/>
      <c r="AK28" s="132"/>
      <c r="AL28" s="115"/>
      <c r="AM28" s="116"/>
      <c r="AN28" s="116"/>
      <c r="AO28" s="116"/>
      <c r="AP28" s="117"/>
      <c r="AQ28" s="41"/>
    </row>
    <row r="29" spans="1:43" s="2" customFormat="1" x14ac:dyDescent="0.4">
      <c r="A29" s="31"/>
      <c r="AI29" s="37"/>
      <c r="AJ29" s="37"/>
      <c r="AQ29" s="1"/>
    </row>
  </sheetData>
  <autoFilter ref="AI3:AK4" xr:uid="{31F5E04E-29A2-42A4-B1BA-012CC5D5C4EB}"/>
  <mergeCells count="47">
    <mergeCell ref="AL21:AP21"/>
    <mergeCell ref="AL22:AP22"/>
    <mergeCell ref="AL23:AP23"/>
    <mergeCell ref="AL24:AP24"/>
    <mergeCell ref="A25:E28"/>
    <mergeCell ref="F25:F28"/>
    <mergeCell ref="AL25:AP28"/>
    <mergeCell ref="Z25:Z28"/>
    <mergeCell ref="AC25:AC28"/>
    <mergeCell ref="AI25:AI28"/>
    <mergeCell ref="AJ25:AJ28"/>
    <mergeCell ref="AK25:AK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60DCB2C8-D4A3-4425-9D7A-E66F39AF6A5B}"/>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ACCFCA66-694A-4790-BEDC-712453F2407C}">
          <x14:formula1>
            <xm:f>Sheet1!$G$6:$G$7</xm:f>
          </x14:formula1>
          <xm:sqref>S5:S24 AA5:AA24</xm:sqref>
        </x14:dataValidation>
        <x14:dataValidation type="list" allowBlank="1" showInputMessage="1" showErrorMessage="1" xr:uid="{E5C501F5-A9FD-4737-956B-9241FF15FA98}">
          <x14:formula1>
            <xm:f>Sheet1!$I$1:$I$2</xm:f>
          </x14:formula1>
          <xm:sqref>X5:X24</xm:sqref>
        </x14:dataValidation>
        <x14:dataValidation type="list" allowBlank="1" showInputMessage="1" showErrorMessage="1" xr:uid="{C706059D-C938-4B9A-94EA-1D056859C54F}">
          <x14:formula1>
            <xm:f>Sheet1!$G$17:$G$18</xm:f>
          </x14:formula1>
          <xm:sqref>AH5:AH24</xm:sqref>
        </x14:dataValidation>
        <x14:dataValidation type="list" allowBlank="1" showInputMessage="1" showErrorMessage="1" xr:uid="{15C3FD14-0CB9-4174-A82A-FA0922DBAC02}">
          <x14:formula1>
            <xm:f>Sheet1!$E$17:$E$18</xm:f>
          </x14:formula1>
          <xm:sqref>AG5:AG24</xm:sqref>
        </x14:dataValidation>
        <x14:dataValidation type="list" allowBlank="1" showInputMessage="1" showErrorMessage="1" xr:uid="{079349E3-0F49-4B0C-B80D-18B49A3B929C}">
          <x14:formula1>
            <xm:f>Sheet1!$G$1:$G$4</xm:f>
          </x14:formula1>
          <xm:sqref>AE5:AF24</xm:sqref>
        </x14:dataValidation>
        <x14:dataValidation type="list" allowBlank="1" showInputMessage="1" showErrorMessage="1" xr:uid="{25B600C6-D601-4721-856F-5C621145629B}">
          <x14:formula1>
            <xm:f>Sheet1!$A$13:$A$15</xm:f>
          </x14:formula1>
          <xm:sqref>AB5:AB24</xm:sqref>
        </x14:dataValidation>
        <x14:dataValidation type="list" allowBlank="1" showInputMessage="1" showErrorMessage="1" xr:uid="{18EC3EE0-A4E4-479C-87B3-14B5C47E2F42}">
          <x14:formula1>
            <xm:f>Sheet1!$C$17:$C$20</xm:f>
          </x14:formula1>
          <xm:sqref>T5:T14 T16:T24</xm:sqref>
        </x14:dataValidation>
        <x14:dataValidation type="list" allowBlank="1" showInputMessage="1" showErrorMessage="1" xr:uid="{B47FCF82-A5D1-4BEF-B08E-585961B98933}">
          <x14:formula1>
            <xm:f>Sheet1!$A$17:$A$20</xm:f>
          </x14:formula1>
          <xm:sqref>R6 R8:R9 R11:R16 R19:R20 R22:R24</xm:sqref>
        </x14:dataValidation>
        <x14:dataValidation type="list" allowBlank="1" showInputMessage="1" showErrorMessage="1" xr:uid="{C1A0D1AA-32BB-41D9-8298-300DCB7CD3A8}">
          <x14:formula1>
            <xm:f>Sheet1!$C$6:$C$7</xm:f>
          </x14:formula1>
          <xm:sqref>M5:O24 AC5:AD24 U5:U24 AJ5:AK24</xm:sqref>
        </x14:dataValidation>
        <x14:dataValidation type="list" allowBlank="1" showInputMessage="1" showErrorMessage="1" xr:uid="{541F8C00-5B2A-4441-B06F-4DBA2763F65F}">
          <x14:formula1>
            <xm:f>Sheet1!$E$9:$E$11</xm:f>
          </x14:formula1>
          <xm:sqref>L5:L24</xm:sqref>
        </x14:dataValidation>
        <x14:dataValidation type="list" allowBlank="1" showInputMessage="1" showErrorMessage="1" xr:uid="{F22855D7-C0BA-41A0-8572-48C9BD350D91}">
          <x14:formula1>
            <xm:f>Sheet1!$G$9:$G$12</xm:f>
          </x14:formula1>
          <xm:sqref>K5:K24</xm:sqref>
        </x14:dataValidation>
        <x14:dataValidation type="list" allowBlank="1" showInputMessage="1" showErrorMessage="1" xr:uid="{C3D53A0F-CC39-4626-A0A3-091344EEA2CA}">
          <x14:formula1>
            <xm:f>Sheet1!$D$1:$D$3</xm:f>
          </x14:formula1>
          <xm:sqref>J5:J24</xm:sqref>
        </x14:dataValidation>
        <x14:dataValidation type="list" allowBlank="1" showInputMessage="1" showErrorMessage="1" xr:uid="{11B73297-2A13-4A49-8E21-220029BB7E14}">
          <x14:formula1>
            <xm:f>Sheet1!$A$9:$A$11</xm:f>
          </x14:formula1>
          <xm:sqref>V5:V24 I5:I24 P5:P12 P14:P24</xm:sqref>
        </x14:dataValidation>
        <x14:dataValidation type="list" allowBlank="1" showInputMessage="1" showErrorMessage="1" xr:uid="{A65E295F-C63C-4E41-83CA-40EF7533D992}">
          <x14:formula1>
            <xm:f>Sheet1!$A$6:$A$7</xm:f>
          </x14:formula1>
          <xm:sqref>H5:H24</xm:sqref>
        </x14:dataValidation>
        <x14:dataValidation type="list" allowBlank="1" showInputMessage="1" showErrorMessage="1" xr:uid="{279C57D5-46CB-47DA-8D99-4D1432B43CCA}">
          <x14:formula1>
            <xm:f>Sheet1!$A$1:$A$4</xm:f>
          </x14:formula1>
          <xm:sqref>G5:G24</xm:sqref>
        </x14:dataValidation>
        <x14:dataValidation type="list" allowBlank="1" showInputMessage="1" showErrorMessage="1" xr:uid="{CDEAEA65-E2E8-4D67-94A5-E41CC2CF8989}">
          <x14:formula1>
            <xm:f>Sheet1!$C$9:$C$11</xm:f>
          </x14:formula1>
          <xm:sqref>Q18:Q24 Q5:Q12 Q14:Q16 W5:W16 W18:W24</xm:sqref>
        </x14:dataValidation>
        <x14:dataValidation type="list" allowBlank="1" showInputMessage="1" showErrorMessage="1" xr:uid="{0F29BA45-0523-4503-BF37-34E52112941B}">
          <x14:formula1>
            <xm:f>Sheet1!$C$6:$C$8</xm:f>
          </x14:formula1>
          <xm:sqref>AI5:AI24</xm:sqref>
        </x14:dataValidation>
        <x14:dataValidation type="list" allowBlank="1" showInputMessage="1" showErrorMessage="1" xr:uid="{E3E1BD65-BF1B-4381-9636-11BE2837D2DA}">
          <x14:formula1>
            <xm:f>Sheet1!$I$9:$I$13</xm:f>
          </x14:formula1>
          <xm:sqref>Y5:Y24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9E73-8B79-475B-9EF6-1329AA643C6F}">
  <sheetPr codeName="Sheet25">
    <tabColor theme="4" tint="0.39997558519241921"/>
  </sheetPr>
  <dimension ref="A1:AT39"/>
  <sheetViews>
    <sheetView view="pageBreakPreview" zoomScaleNormal="40" zoomScaleSheetLayoutView="70" workbookViewId="0">
      <pane xSplit="5" ySplit="4" topLeftCell="AI29" activePane="bottomRight" state="frozen"/>
      <selection activeCell="A5" sqref="A5:F23"/>
      <selection pane="topRight" activeCell="A5" sqref="A5:F23"/>
      <selection pane="bottomLeft" activeCell="A5" sqref="A5:F23"/>
      <selection pane="bottomRight" activeCell="AI6" sqref="AI6"/>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910</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6" s="10" customFormat="1" ht="38.25" customHeight="1" x14ac:dyDescent="0.4">
      <c r="A5" s="6">
        <v>25</v>
      </c>
      <c r="B5" s="6">
        <v>101</v>
      </c>
      <c r="C5" s="6" t="s">
        <v>80</v>
      </c>
      <c r="D5" s="18" t="s">
        <v>952</v>
      </c>
      <c r="E5" s="32" t="s">
        <v>18</v>
      </c>
      <c r="F5" s="6" t="s">
        <v>953</v>
      </c>
      <c r="G5" s="6" t="s">
        <v>43</v>
      </c>
      <c r="H5" s="6" t="s">
        <v>52</v>
      </c>
      <c r="I5" s="6" t="s">
        <v>84</v>
      </c>
      <c r="J5" s="6" t="s">
        <v>85</v>
      </c>
      <c r="K5" s="6" t="s">
        <v>60</v>
      </c>
      <c r="L5" s="6" t="s">
        <v>92</v>
      </c>
      <c r="M5" s="6" t="s">
        <v>45</v>
      </c>
      <c r="N5" s="6" t="s">
        <v>45</v>
      </c>
      <c r="O5" s="6" t="s">
        <v>23</v>
      </c>
      <c r="P5" s="6" t="s">
        <v>84</v>
      </c>
      <c r="Q5" s="6" t="s">
        <v>86</v>
      </c>
      <c r="R5" s="6" t="s">
        <v>954</v>
      </c>
      <c r="S5" s="16" t="s">
        <v>39</v>
      </c>
      <c r="T5" s="6">
        <v>900</v>
      </c>
      <c r="U5" s="6" t="s">
        <v>45</v>
      </c>
      <c r="V5" s="6" t="s">
        <v>84</v>
      </c>
      <c r="W5" s="6" t="s">
        <v>86</v>
      </c>
      <c r="X5" s="16" t="s">
        <v>60</v>
      </c>
      <c r="Y5" s="16" t="s">
        <v>87</v>
      </c>
      <c r="Z5" s="16" t="s">
        <v>955</v>
      </c>
      <c r="AA5" s="16" t="s">
        <v>65</v>
      </c>
      <c r="AB5" s="7" t="s">
        <v>88</v>
      </c>
      <c r="AC5" s="8" t="s">
        <v>23</v>
      </c>
      <c r="AD5" s="8" t="s">
        <v>23</v>
      </c>
      <c r="AE5" s="8" t="s">
        <v>50</v>
      </c>
      <c r="AF5" s="16" t="s">
        <v>50</v>
      </c>
      <c r="AG5" s="17" t="s">
        <v>60</v>
      </c>
      <c r="AH5" s="17" t="s">
        <v>62</v>
      </c>
      <c r="AI5" s="17" t="s">
        <v>45</v>
      </c>
      <c r="AJ5" s="17" t="s">
        <v>23</v>
      </c>
      <c r="AK5" s="9" t="s">
        <v>23</v>
      </c>
      <c r="AL5" s="140" t="s">
        <v>956</v>
      </c>
      <c r="AM5" s="141"/>
      <c r="AN5" s="141"/>
      <c r="AO5" s="141"/>
      <c r="AP5" s="142"/>
    </row>
    <row r="6" spans="1:46" s="14" customFormat="1" ht="71.25" customHeight="1" x14ac:dyDescent="0.4">
      <c r="A6" s="11">
        <v>25</v>
      </c>
      <c r="B6" s="11">
        <v>201</v>
      </c>
      <c r="C6" s="11" t="s">
        <v>80</v>
      </c>
      <c r="D6" s="13" t="s">
        <v>887</v>
      </c>
      <c r="E6" s="33" t="s">
        <v>18</v>
      </c>
      <c r="F6" s="45" t="s">
        <v>888</v>
      </c>
      <c r="G6" s="11" t="s">
        <v>43</v>
      </c>
      <c r="H6" s="11" t="s">
        <v>52</v>
      </c>
      <c r="I6" s="11" t="s">
        <v>84</v>
      </c>
      <c r="J6" s="11" t="s">
        <v>85</v>
      </c>
      <c r="K6" s="11" t="s">
        <v>60</v>
      </c>
      <c r="L6" s="11" t="s">
        <v>92</v>
      </c>
      <c r="M6" s="11" t="s">
        <v>45</v>
      </c>
      <c r="N6" s="11" t="s">
        <v>23</v>
      </c>
      <c r="O6" s="11" t="s">
        <v>23</v>
      </c>
      <c r="P6" s="11" t="s">
        <v>84</v>
      </c>
      <c r="Q6" s="11" t="s">
        <v>86</v>
      </c>
      <c r="R6" s="11">
        <v>740</v>
      </c>
      <c r="S6" s="40" t="s">
        <v>39</v>
      </c>
      <c r="T6" s="11">
        <v>900</v>
      </c>
      <c r="U6" s="11" t="s">
        <v>45</v>
      </c>
      <c r="V6" s="11" t="s">
        <v>84</v>
      </c>
      <c r="W6" s="11" t="s">
        <v>86</v>
      </c>
      <c r="X6" s="40" t="s">
        <v>60</v>
      </c>
      <c r="Y6" s="40" t="s">
        <v>141</v>
      </c>
      <c r="Z6" s="40"/>
      <c r="AA6" s="40" t="s">
        <v>65</v>
      </c>
      <c r="AB6" s="12" t="s">
        <v>19</v>
      </c>
      <c r="AC6" s="11" t="s">
        <v>45</v>
      </c>
      <c r="AD6" s="11" t="s">
        <v>45</v>
      </c>
      <c r="AE6" s="11" t="s">
        <v>116</v>
      </c>
      <c r="AF6" s="11" t="s">
        <v>50</v>
      </c>
      <c r="AG6" s="13" t="s">
        <v>60</v>
      </c>
      <c r="AH6" s="13" t="s">
        <v>62</v>
      </c>
      <c r="AI6" s="13" t="s">
        <v>241</v>
      </c>
      <c r="AJ6" s="13" t="s">
        <v>23</v>
      </c>
      <c r="AK6" s="13" t="s">
        <v>45</v>
      </c>
      <c r="AL6" s="133" t="s">
        <v>889</v>
      </c>
      <c r="AM6" s="134"/>
      <c r="AN6" s="134"/>
      <c r="AO6" s="134"/>
      <c r="AP6" s="135"/>
    </row>
    <row r="7" spans="1:46" s="10" customFormat="1" ht="44.25" customHeight="1" x14ac:dyDescent="0.4">
      <c r="A7" s="6">
        <v>25</v>
      </c>
      <c r="B7" s="6">
        <v>301</v>
      </c>
      <c r="C7" s="6" t="s">
        <v>80</v>
      </c>
      <c r="D7" s="18" t="s">
        <v>890</v>
      </c>
      <c r="E7" s="34" t="s">
        <v>18</v>
      </c>
      <c r="F7" s="6" t="s">
        <v>891</v>
      </c>
      <c r="G7" s="6" t="s">
        <v>43</v>
      </c>
      <c r="H7" s="6" t="s">
        <v>30</v>
      </c>
      <c r="I7" s="6" t="s">
        <v>84</v>
      </c>
      <c r="J7" s="6" t="s">
        <v>85</v>
      </c>
      <c r="K7" s="6" t="s">
        <v>60</v>
      </c>
      <c r="L7" s="6" t="s">
        <v>92</v>
      </c>
      <c r="M7" s="6" t="s">
        <v>45</v>
      </c>
      <c r="N7" s="6" t="s">
        <v>45</v>
      </c>
      <c r="O7" s="6" t="s">
        <v>45</v>
      </c>
      <c r="P7" s="6" t="s">
        <v>84</v>
      </c>
      <c r="Q7" s="6" t="s">
        <v>86</v>
      </c>
      <c r="R7" s="6" t="s">
        <v>892</v>
      </c>
      <c r="S7" s="6" t="s">
        <v>39</v>
      </c>
      <c r="T7" s="6">
        <v>800</v>
      </c>
      <c r="U7" s="6" t="s">
        <v>45</v>
      </c>
      <c r="V7" s="6" t="s">
        <v>84</v>
      </c>
      <c r="W7" s="6" t="s">
        <v>86</v>
      </c>
      <c r="X7" s="6" t="s">
        <v>60</v>
      </c>
      <c r="Y7" s="6" t="s">
        <v>87</v>
      </c>
      <c r="Z7" s="6" t="s">
        <v>1169</v>
      </c>
      <c r="AA7" s="6" t="s">
        <v>65</v>
      </c>
      <c r="AB7" s="15" t="s">
        <v>88</v>
      </c>
      <c r="AC7" s="16" t="s">
        <v>23</v>
      </c>
      <c r="AD7" s="16" t="s">
        <v>23</v>
      </c>
      <c r="AE7" s="16" t="s">
        <v>50</v>
      </c>
      <c r="AF7" s="16" t="s">
        <v>50</v>
      </c>
      <c r="AG7" s="17" t="s">
        <v>60</v>
      </c>
      <c r="AH7" s="17" t="s">
        <v>96</v>
      </c>
      <c r="AI7" s="17" t="s">
        <v>45</v>
      </c>
      <c r="AJ7" s="17" t="s">
        <v>23</v>
      </c>
      <c r="AK7" s="17" t="s">
        <v>45</v>
      </c>
      <c r="AL7" s="106" t="s">
        <v>893</v>
      </c>
      <c r="AM7" s="107"/>
      <c r="AN7" s="107"/>
      <c r="AO7" s="107"/>
      <c r="AP7" s="108"/>
    </row>
    <row r="8" spans="1:46" s="14" customFormat="1" ht="32.25" customHeight="1" x14ac:dyDescent="0.4">
      <c r="A8" s="11">
        <v>25</v>
      </c>
      <c r="B8" s="11">
        <v>401</v>
      </c>
      <c r="C8" s="11" t="s">
        <v>80</v>
      </c>
      <c r="D8" s="13" t="s">
        <v>880</v>
      </c>
      <c r="E8" s="33" t="s">
        <v>18</v>
      </c>
      <c r="F8" s="45" t="s">
        <v>881</v>
      </c>
      <c r="G8" s="11" t="s">
        <v>43</v>
      </c>
      <c r="H8" s="11" t="s">
        <v>52</v>
      </c>
      <c r="I8" s="11" t="s">
        <v>84</v>
      </c>
      <c r="J8" s="11" t="s">
        <v>85</v>
      </c>
      <c r="K8" s="11" t="s">
        <v>19</v>
      </c>
      <c r="L8" s="11" t="s">
        <v>24</v>
      </c>
      <c r="M8" s="11" t="s">
        <v>45</v>
      </c>
      <c r="N8" s="11" t="s">
        <v>45</v>
      </c>
      <c r="O8" s="11" t="s">
        <v>23</v>
      </c>
      <c r="P8" s="11" t="s">
        <v>84</v>
      </c>
      <c r="Q8" s="11" t="s">
        <v>86</v>
      </c>
      <c r="R8" s="11">
        <v>750</v>
      </c>
      <c r="S8" s="40" t="s">
        <v>39</v>
      </c>
      <c r="T8" s="11">
        <v>900</v>
      </c>
      <c r="U8" s="11" t="s">
        <v>45</v>
      </c>
      <c r="V8" s="11" t="s">
        <v>84</v>
      </c>
      <c r="W8" s="11" t="s">
        <v>86</v>
      </c>
      <c r="X8" s="40" t="s">
        <v>19</v>
      </c>
      <c r="Y8" s="40"/>
      <c r="Z8" s="40"/>
      <c r="AA8" s="40" t="s">
        <v>65</v>
      </c>
      <c r="AB8" s="12" t="s">
        <v>19</v>
      </c>
      <c r="AC8" s="11" t="s">
        <v>45</v>
      </c>
      <c r="AD8" s="11" t="s">
        <v>45</v>
      </c>
      <c r="AE8" s="11" t="s">
        <v>50</v>
      </c>
      <c r="AF8" s="11" t="s">
        <v>50</v>
      </c>
      <c r="AG8" s="13" t="s">
        <v>60</v>
      </c>
      <c r="AH8" s="13" t="s">
        <v>62</v>
      </c>
      <c r="AI8" s="13" t="s">
        <v>23</v>
      </c>
      <c r="AJ8" s="13" t="s">
        <v>23</v>
      </c>
      <c r="AK8" s="13" t="s">
        <v>45</v>
      </c>
      <c r="AL8" s="133" t="s">
        <v>882</v>
      </c>
      <c r="AM8" s="134"/>
      <c r="AN8" s="134"/>
      <c r="AO8" s="134"/>
      <c r="AP8" s="135"/>
    </row>
    <row r="9" spans="1:46" s="10" customFormat="1" ht="15" customHeight="1" x14ac:dyDescent="0.4">
      <c r="A9" s="6">
        <v>25</v>
      </c>
      <c r="B9" s="6">
        <v>501</v>
      </c>
      <c r="C9" s="6" t="s">
        <v>80</v>
      </c>
      <c r="D9" s="18" t="s">
        <v>2233</v>
      </c>
      <c r="E9" s="34" t="s">
        <v>18</v>
      </c>
      <c r="F9" s="6" t="s">
        <v>2234</v>
      </c>
      <c r="G9" s="6" t="s">
        <v>43</v>
      </c>
      <c r="H9" s="6" t="s">
        <v>52</v>
      </c>
      <c r="I9" s="6" t="s">
        <v>84</v>
      </c>
      <c r="J9" s="6" t="s">
        <v>85</v>
      </c>
      <c r="K9" s="6" t="s">
        <v>60</v>
      </c>
      <c r="L9" s="6" t="s">
        <v>92</v>
      </c>
      <c r="M9" s="6" t="s">
        <v>45</v>
      </c>
      <c r="N9" s="6" t="s">
        <v>23</v>
      </c>
      <c r="O9" s="6" t="s">
        <v>23</v>
      </c>
      <c r="P9" s="6" t="s">
        <v>84</v>
      </c>
      <c r="Q9" s="6" t="s">
        <v>86</v>
      </c>
      <c r="R9" s="6">
        <v>750</v>
      </c>
      <c r="S9" s="6" t="s">
        <v>39</v>
      </c>
      <c r="T9" s="6">
        <v>900</v>
      </c>
      <c r="U9" s="6" t="s">
        <v>45</v>
      </c>
      <c r="V9" s="6" t="s">
        <v>84</v>
      </c>
      <c r="W9" s="6" t="s">
        <v>86</v>
      </c>
      <c r="X9" s="6" t="s">
        <v>60</v>
      </c>
      <c r="Y9" s="6" t="s">
        <v>531</v>
      </c>
      <c r="Z9" s="6"/>
      <c r="AA9" s="6" t="s">
        <v>39</v>
      </c>
      <c r="AB9" s="15" t="s">
        <v>19</v>
      </c>
      <c r="AC9" s="16" t="s">
        <v>45</v>
      </c>
      <c r="AD9" s="16" t="s">
        <v>45</v>
      </c>
      <c r="AE9" s="16" t="s">
        <v>116</v>
      </c>
      <c r="AF9" s="16" t="s">
        <v>50</v>
      </c>
      <c r="AG9" s="17" t="s">
        <v>60</v>
      </c>
      <c r="AH9" s="17" t="s">
        <v>62</v>
      </c>
      <c r="AI9" s="17" t="s">
        <v>45</v>
      </c>
      <c r="AJ9" s="17" t="s">
        <v>45</v>
      </c>
      <c r="AK9" s="17" t="s">
        <v>45</v>
      </c>
      <c r="AL9" s="78" t="s">
        <v>2235</v>
      </c>
      <c r="AM9" s="79"/>
      <c r="AN9" s="79"/>
      <c r="AO9" s="79"/>
      <c r="AP9" s="80"/>
    </row>
    <row r="10" spans="1:46" s="14" customFormat="1" ht="39" customHeight="1" x14ac:dyDescent="0.4">
      <c r="A10" s="11">
        <v>25</v>
      </c>
      <c r="B10" s="11">
        <v>102</v>
      </c>
      <c r="C10" s="11" t="s">
        <v>80</v>
      </c>
      <c r="D10" s="13" t="s">
        <v>901</v>
      </c>
      <c r="E10" s="33" t="s">
        <v>18</v>
      </c>
      <c r="F10" s="11" t="s">
        <v>902</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640</v>
      </c>
      <c r="U10" s="11" t="s">
        <v>45</v>
      </c>
      <c r="V10" s="11" t="s">
        <v>84</v>
      </c>
      <c r="W10" s="11" t="s">
        <v>86</v>
      </c>
      <c r="X10" s="40" t="s">
        <v>60</v>
      </c>
      <c r="Y10" s="40" t="s">
        <v>87</v>
      </c>
      <c r="Z10" s="40" t="s">
        <v>903</v>
      </c>
      <c r="AA10" s="40" t="s">
        <v>65</v>
      </c>
      <c r="AB10" s="12" t="s">
        <v>88</v>
      </c>
      <c r="AC10" s="11" t="s">
        <v>23</v>
      </c>
      <c r="AD10" s="11" t="s">
        <v>23</v>
      </c>
      <c r="AE10" s="11" t="s">
        <v>50</v>
      </c>
      <c r="AF10" s="11" t="s">
        <v>50</v>
      </c>
      <c r="AG10" s="13" t="s">
        <v>60</v>
      </c>
      <c r="AH10" s="13" t="s">
        <v>62</v>
      </c>
      <c r="AI10" s="13" t="s">
        <v>45</v>
      </c>
      <c r="AJ10" s="13" t="s">
        <v>23</v>
      </c>
      <c r="AK10" s="13" t="s">
        <v>23</v>
      </c>
      <c r="AL10" s="133" t="s">
        <v>904</v>
      </c>
      <c r="AM10" s="134"/>
      <c r="AN10" s="134"/>
      <c r="AO10" s="134"/>
      <c r="AP10" s="135"/>
    </row>
    <row r="11" spans="1:46" s="10" customFormat="1" ht="52.5" customHeight="1" x14ac:dyDescent="0.4">
      <c r="A11" s="6">
        <v>25</v>
      </c>
      <c r="B11" s="6">
        <v>202</v>
      </c>
      <c r="C11" s="6" t="s">
        <v>80</v>
      </c>
      <c r="D11" s="18" t="s">
        <v>899</v>
      </c>
      <c r="E11" s="34" t="s">
        <v>18</v>
      </c>
      <c r="F11" s="46" t="s">
        <v>900</v>
      </c>
      <c r="G11" s="6" t="s">
        <v>40</v>
      </c>
      <c r="H11" s="6" t="s">
        <v>52</v>
      </c>
      <c r="I11" s="6" t="s">
        <v>84</v>
      </c>
      <c r="J11" s="6" t="s">
        <v>85</v>
      </c>
      <c r="K11" s="6" t="s">
        <v>60</v>
      </c>
      <c r="L11" s="6" t="s">
        <v>92</v>
      </c>
      <c r="M11" s="6" t="s">
        <v>45</v>
      </c>
      <c r="N11" s="6" t="s">
        <v>45</v>
      </c>
      <c r="O11" s="6" t="s">
        <v>23</v>
      </c>
      <c r="P11" s="6" t="s">
        <v>84</v>
      </c>
      <c r="Q11" s="6" t="s">
        <v>86</v>
      </c>
      <c r="R11" s="6">
        <v>740</v>
      </c>
      <c r="S11" s="6" t="s">
        <v>39</v>
      </c>
      <c r="T11" s="6">
        <v>900</v>
      </c>
      <c r="U11" s="6" t="s">
        <v>45</v>
      </c>
      <c r="V11" s="6" t="s">
        <v>84</v>
      </c>
      <c r="W11" s="6" t="s">
        <v>86</v>
      </c>
      <c r="X11" s="6" t="s">
        <v>60</v>
      </c>
      <c r="Y11" s="6" t="s">
        <v>141</v>
      </c>
      <c r="Z11" s="6"/>
      <c r="AA11" s="6" t="s">
        <v>65</v>
      </c>
      <c r="AB11" s="15" t="s">
        <v>19</v>
      </c>
      <c r="AC11" s="16" t="s">
        <v>45</v>
      </c>
      <c r="AD11" s="16" t="s">
        <v>45</v>
      </c>
      <c r="AE11" s="16" t="s">
        <v>116</v>
      </c>
      <c r="AF11" s="16" t="s">
        <v>50</v>
      </c>
      <c r="AG11" s="17" t="s">
        <v>60</v>
      </c>
      <c r="AH11" s="17" t="s">
        <v>62</v>
      </c>
      <c r="AI11" s="17" t="s">
        <v>45</v>
      </c>
      <c r="AJ11" s="17" t="s">
        <v>23</v>
      </c>
      <c r="AK11" s="17" t="s">
        <v>23</v>
      </c>
      <c r="AL11" s="106" t="s">
        <v>907</v>
      </c>
      <c r="AM11" s="107"/>
      <c r="AN11" s="107"/>
      <c r="AO11" s="107"/>
      <c r="AP11" s="108"/>
    </row>
    <row r="12" spans="1:46" s="14" customFormat="1" ht="15" customHeight="1" x14ac:dyDescent="0.4">
      <c r="A12" s="11">
        <v>25</v>
      </c>
      <c r="B12" s="11">
        <v>302</v>
      </c>
      <c r="C12" s="11" t="s">
        <v>80</v>
      </c>
      <c r="D12" s="13" t="s">
        <v>1089</v>
      </c>
      <c r="E12" s="33" t="s">
        <v>18</v>
      </c>
      <c r="F12" s="11" t="s">
        <v>1090</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850</v>
      </c>
      <c r="U12" s="11" t="s">
        <v>45</v>
      </c>
      <c r="V12" s="11" t="s">
        <v>84</v>
      </c>
      <c r="W12" s="11" t="s">
        <v>86</v>
      </c>
      <c r="X12" s="40" t="s">
        <v>60</v>
      </c>
      <c r="Y12" s="40" t="s">
        <v>87</v>
      </c>
      <c r="Z12" s="40" t="s">
        <v>1091</v>
      </c>
      <c r="AA12" s="40" t="s">
        <v>39</v>
      </c>
      <c r="AB12" s="12" t="s">
        <v>88</v>
      </c>
      <c r="AC12" s="11" t="s">
        <v>23</v>
      </c>
      <c r="AD12" s="11" t="s">
        <v>23</v>
      </c>
      <c r="AE12" s="11" t="s">
        <v>50</v>
      </c>
      <c r="AF12" s="11" t="s">
        <v>50</v>
      </c>
      <c r="AG12" s="13" t="s">
        <v>60</v>
      </c>
      <c r="AH12" s="13" t="s">
        <v>62</v>
      </c>
      <c r="AI12" s="13" t="s">
        <v>45</v>
      </c>
      <c r="AJ12" s="13" t="s">
        <v>23</v>
      </c>
      <c r="AK12" s="13" t="s">
        <v>23</v>
      </c>
      <c r="AL12" s="94" t="s">
        <v>1131</v>
      </c>
      <c r="AM12" s="95"/>
      <c r="AN12" s="95"/>
      <c r="AO12" s="95"/>
      <c r="AP12" s="96"/>
    </row>
    <row r="13" spans="1:46" s="10" customFormat="1" ht="56.25" customHeight="1" x14ac:dyDescent="0.4">
      <c r="A13" s="6">
        <v>25</v>
      </c>
      <c r="B13" s="6">
        <v>402</v>
      </c>
      <c r="C13" s="6" t="s">
        <v>80</v>
      </c>
      <c r="D13" s="18" t="s">
        <v>883</v>
      </c>
      <c r="E13" s="34" t="s">
        <v>18</v>
      </c>
      <c r="F13" s="46" t="s">
        <v>884</v>
      </c>
      <c r="G13" s="6" t="s">
        <v>43</v>
      </c>
      <c r="H13" s="6" t="s">
        <v>52</v>
      </c>
      <c r="I13" s="6" t="s">
        <v>84</v>
      </c>
      <c r="J13" s="6" t="s">
        <v>85</v>
      </c>
      <c r="K13" s="6" t="s">
        <v>60</v>
      </c>
      <c r="L13" s="6" t="s">
        <v>92</v>
      </c>
      <c r="M13" s="6" t="s">
        <v>45</v>
      </c>
      <c r="N13" s="6" t="s">
        <v>45</v>
      </c>
      <c r="O13" s="6" t="s">
        <v>23</v>
      </c>
      <c r="P13" s="6" t="s">
        <v>84</v>
      </c>
      <c r="Q13" s="6" t="s">
        <v>86</v>
      </c>
      <c r="R13" s="6">
        <v>750</v>
      </c>
      <c r="S13" s="6" t="s">
        <v>39</v>
      </c>
      <c r="T13" s="6">
        <v>800</v>
      </c>
      <c r="U13" s="6" t="s">
        <v>45</v>
      </c>
      <c r="V13" s="6" t="s">
        <v>84</v>
      </c>
      <c r="W13" s="6" t="s">
        <v>86</v>
      </c>
      <c r="X13" s="6" t="s">
        <v>19</v>
      </c>
      <c r="Y13" s="6" t="s">
        <v>87</v>
      </c>
      <c r="Z13" s="46" t="s">
        <v>885</v>
      </c>
      <c r="AA13" s="6" t="s">
        <v>65</v>
      </c>
      <c r="AB13" s="15" t="s">
        <v>88</v>
      </c>
      <c r="AC13" s="16" t="s">
        <v>23</v>
      </c>
      <c r="AD13" s="16" t="s">
        <v>23</v>
      </c>
      <c r="AE13" s="16" t="s">
        <v>50</v>
      </c>
      <c r="AF13" s="16" t="s">
        <v>50</v>
      </c>
      <c r="AG13" s="17" t="s">
        <v>60</v>
      </c>
      <c r="AH13" s="17" t="s">
        <v>62</v>
      </c>
      <c r="AI13" s="17" t="s">
        <v>23</v>
      </c>
      <c r="AJ13" s="17" t="s">
        <v>23</v>
      </c>
      <c r="AK13" s="17" t="s">
        <v>45</v>
      </c>
      <c r="AL13" s="106" t="s">
        <v>886</v>
      </c>
      <c r="AM13" s="107"/>
      <c r="AN13" s="107"/>
      <c r="AO13" s="107"/>
      <c r="AP13" s="108"/>
    </row>
    <row r="14" spans="1:46" s="14" customFormat="1" ht="34.5" customHeight="1" x14ac:dyDescent="0.4">
      <c r="A14" s="11">
        <v>25</v>
      </c>
      <c r="B14" s="11">
        <v>502</v>
      </c>
      <c r="C14" s="11" t="s">
        <v>80</v>
      </c>
      <c r="D14" s="13" t="s">
        <v>875</v>
      </c>
      <c r="E14" s="33" t="s">
        <v>18</v>
      </c>
      <c r="F14" s="11" t="s">
        <v>876</v>
      </c>
      <c r="G14" s="11" t="s">
        <v>43</v>
      </c>
      <c r="H14" s="11" t="s">
        <v>52</v>
      </c>
      <c r="I14" s="11" t="s">
        <v>84</v>
      </c>
      <c r="J14" s="11" t="s">
        <v>85</v>
      </c>
      <c r="K14" s="11" t="s">
        <v>60</v>
      </c>
      <c r="L14" s="11" t="s">
        <v>92</v>
      </c>
      <c r="M14" s="11" t="s">
        <v>45</v>
      </c>
      <c r="N14" s="11" t="s">
        <v>45</v>
      </c>
      <c r="O14" s="11" t="s">
        <v>45</v>
      </c>
      <c r="P14" s="11" t="s">
        <v>84</v>
      </c>
      <c r="Q14" s="11" t="s">
        <v>86</v>
      </c>
      <c r="R14" s="11">
        <v>740</v>
      </c>
      <c r="S14" s="40" t="s">
        <v>39</v>
      </c>
      <c r="T14" s="11">
        <v>900</v>
      </c>
      <c r="U14" s="11" t="s">
        <v>45</v>
      </c>
      <c r="V14" s="11" t="s">
        <v>84</v>
      </c>
      <c r="W14" s="11" t="s">
        <v>877</v>
      </c>
      <c r="X14" s="40" t="s">
        <v>60</v>
      </c>
      <c r="Y14" s="40" t="s">
        <v>141</v>
      </c>
      <c r="Z14" s="40"/>
      <c r="AA14" s="40" t="s">
        <v>65</v>
      </c>
      <c r="AB14" s="12" t="s">
        <v>88</v>
      </c>
      <c r="AC14" s="11" t="s">
        <v>45</v>
      </c>
      <c r="AD14" s="11" t="s">
        <v>45</v>
      </c>
      <c r="AE14" s="11" t="s">
        <v>878</v>
      </c>
      <c r="AF14" s="11" t="s">
        <v>878</v>
      </c>
      <c r="AG14" s="13" t="s">
        <v>60</v>
      </c>
      <c r="AH14" s="13" t="s">
        <v>62</v>
      </c>
      <c r="AI14" s="13" t="s">
        <v>45</v>
      </c>
      <c r="AJ14" s="13" t="s">
        <v>23</v>
      </c>
      <c r="AK14" s="13" t="s">
        <v>23</v>
      </c>
      <c r="AL14" s="133" t="s">
        <v>879</v>
      </c>
      <c r="AM14" s="134"/>
      <c r="AN14" s="134"/>
      <c r="AO14" s="134"/>
      <c r="AP14" s="135"/>
    </row>
    <row r="15" spans="1:46" s="10" customFormat="1" ht="60.75" customHeight="1" x14ac:dyDescent="0.4">
      <c r="A15" s="6">
        <v>25</v>
      </c>
      <c r="B15" s="6">
        <v>103</v>
      </c>
      <c r="C15" s="6" t="s">
        <v>80</v>
      </c>
      <c r="D15" s="18" t="s">
        <v>945</v>
      </c>
      <c r="E15" s="34" t="s">
        <v>18</v>
      </c>
      <c r="F15" s="46" t="s">
        <v>946</v>
      </c>
      <c r="G15" s="6" t="s">
        <v>43</v>
      </c>
      <c r="H15" s="6" t="s">
        <v>52</v>
      </c>
      <c r="I15" s="6" t="s">
        <v>84</v>
      </c>
      <c r="J15" s="6" t="s">
        <v>85</v>
      </c>
      <c r="K15" s="6" t="s">
        <v>60</v>
      </c>
      <c r="L15" s="6" t="s">
        <v>92</v>
      </c>
      <c r="M15" s="6" t="s">
        <v>45</v>
      </c>
      <c r="N15" s="6" t="s">
        <v>45</v>
      </c>
      <c r="O15" s="6" t="s">
        <v>23</v>
      </c>
      <c r="P15" s="6" t="s">
        <v>84</v>
      </c>
      <c r="Q15" s="6" t="s">
        <v>86</v>
      </c>
      <c r="R15" s="6">
        <v>740</v>
      </c>
      <c r="S15" s="6" t="s">
        <v>39</v>
      </c>
      <c r="T15" s="6">
        <v>740</v>
      </c>
      <c r="U15" s="6" t="s">
        <v>45</v>
      </c>
      <c r="V15" s="6" t="s">
        <v>84</v>
      </c>
      <c r="W15" s="6" t="s">
        <v>86</v>
      </c>
      <c r="X15" s="6" t="s">
        <v>60</v>
      </c>
      <c r="Y15" s="6" t="s">
        <v>141</v>
      </c>
      <c r="Z15" s="6"/>
      <c r="AA15" s="6" t="s">
        <v>65</v>
      </c>
      <c r="AB15" s="15" t="s">
        <v>88</v>
      </c>
      <c r="AC15" s="16" t="s">
        <v>45</v>
      </c>
      <c r="AD15" s="16" t="s">
        <v>45</v>
      </c>
      <c r="AE15" s="16" t="s">
        <v>116</v>
      </c>
      <c r="AF15" s="16" t="s">
        <v>116</v>
      </c>
      <c r="AG15" s="17" t="s">
        <v>60</v>
      </c>
      <c r="AH15" s="17" t="s">
        <v>62</v>
      </c>
      <c r="AI15" s="17" t="s">
        <v>45</v>
      </c>
      <c r="AJ15" s="17" t="s">
        <v>45</v>
      </c>
      <c r="AK15" s="17" t="s">
        <v>23</v>
      </c>
      <c r="AL15" s="106" t="s">
        <v>947</v>
      </c>
      <c r="AM15" s="107"/>
      <c r="AN15" s="107"/>
      <c r="AO15" s="107"/>
      <c r="AP15" s="108"/>
    </row>
    <row r="16" spans="1:46" s="14" customFormat="1" ht="15" customHeight="1" x14ac:dyDescent="0.4">
      <c r="A16" s="11">
        <v>25</v>
      </c>
      <c r="B16" s="11">
        <v>203</v>
      </c>
      <c r="C16" s="11" t="s">
        <v>80</v>
      </c>
      <c r="D16" s="13" t="s">
        <v>931</v>
      </c>
      <c r="E16" s="33" t="s">
        <v>18</v>
      </c>
      <c r="F16" s="11" t="s">
        <v>932</v>
      </c>
      <c r="G16" s="11" t="s">
        <v>43</v>
      </c>
      <c r="H16" s="11" t="s">
        <v>52</v>
      </c>
      <c r="I16" s="11" t="s">
        <v>84</v>
      </c>
      <c r="J16" s="11" t="s">
        <v>85</v>
      </c>
      <c r="K16" s="11" t="s">
        <v>60</v>
      </c>
      <c r="L16" s="11" t="s">
        <v>92</v>
      </c>
      <c r="M16" s="11" t="s">
        <v>23</v>
      </c>
      <c r="N16" s="11" t="s">
        <v>23</v>
      </c>
      <c r="O16" s="11" t="s">
        <v>45</v>
      </c>
      <c r="P16" s="11" t="s">
        <v>84</v>
      </c>
      <c r="Q16" s="11" t="s">
        <v>86</v>
      </c>
      <c r="R16" s="11" t="s">
        <v>933</v>
      </c>
      <c r="S16" s="40" t="s">
        <v>39</v>
      </c>
      <c r="T16" s="11">
        <v>630</v>
      </c>
      <c r="U16" s="11" t="s">
        <v>45</v>
      </c>
      <c r="V16" s="11" t="s">
        <v>84</v>
      </c>
      <c r="W16" s="11" t="s">
        <v>86</v>
      </c>
      <c r="X16" s="40" t="s">
        <v>60</v>
      </c>
      <c r="Y16" s="40" t="s">
        <v>87</v>
      </c>
      <c r="Z16" s="40" t="s">
        <v>934</v>
      </c>
      <c r="AA16" s="40" t="s">
        <v>65</v>
      </c>
      <c r="AB16" s="12" t="s">
        <v>88</v>
      </c>
      <c r="AC16" s="11" t="s">
        <v>23</v>
      </c>
      <c r="AD16" s="11" t="s">
        <v>23</v>
      </c>
      <c r="AE16" s="11" t="s">
        <v>50</v>
      </c>
      <c r="AF16" s="11" t="s">
        <v>50</v>
      </c>
      <c r="AG16" s="13" t="s">
        <v>60</v>
      </c>
      <c r="AH16" s="13" t="s">
        <v>62</v>
      </c>
      <c r="AI16" s="13" t="s">
        <v>23</v>
      </c>
      <c r="AJ16" s="13" t="s">
        <v>23</v>
      </c>
      <c r="AK16" s="13" t="s">
        <v>45</v>
      </c>
      <c r="AL16" s="94" t="s">
        <v>935</v>
      </c>
      <c r="AM16" s="95"/>
      <c r="AN16" s="95"/>
      <c r="AO16" s="95"/>
      <c r="AP16" s="96"/>
    </row>
    <row r="17" spans="1:42" s="10" customFormat="1" ht="51.75" customHeight="1" x14ac:dyDescent="0.4">
      <c r="A17" s="6">
        <v>25</v>
      </c>
      <c r="B17" s="6">
        <v>303</v>
      </c>
      <c r="C17" s="6" t="s">
        <v>80</v>
      </c>
      <c r="D17" s="18" t="s">
        <v>927</v>
      </c>
      <c r="E17" s="34" t="s">
        <v>18</v>
      </c>
      <c r="F17" s="6" t="s">
        <v>928</v>
      </c>
      <c r="G17" s="6" t="s">
        <v>43</v>
      </c>
      <c r="H17" s="6" t="s">
        <v>52</v>
      </c>
      <c r="I17" s="6" t="s">
        <v>84</v>
      </c>
      <c r="J17" s="6" t="s">
        <v>85</v>
      </c>
      <c r="K17" s="6" t="s">
        <v>60</v>
      </c>
      <c r="L17" s="6" t="s">
        <v>92</v>
      </c>
      <c r="M17" s="6" t="s">
        <v>45</v>
      </c>
      <c r="N17" s="6" t="s">
        <v>45</v>
      </c>
      <c r="O17" s="6" t="s">
        <v>23</v>
      </c>
      <c r="P17" s="6" t="s">
        <v>84</v>
      </c>
      <c r="Q17" s="6" t="s">
        <v>86</v>
      </c>
      <c r="R17" s="6">
        <v>750</v>
      </c>
      <c r="S17" s="6" t="s">
        <v>39</v>
      </c>
      <c r="T17" s="6">
        <v>800</v>
      </c>
      <c r="U17" s="6" t="s">
        <v>45</v>
      </c>
      <c r="V17" s="6" t="s">
        <v>84</v>
      </c>
      <c r="W17" s="6" t="s">
        <v>86</v>
      </c>
      <c r="X17" s="6" t="s">
        <v>60</v>
      </c>
      <c r="Y17" s="6" t="s">
        <v>87</v>
      </c>
      <c r="Z17" s="6" t="s">
        <v>929</v>
      </c>
      <c r="AA17" s="6" t="s">
        <v>65</v>
      </c>
      <c r="AB17" s="15" t="s">
        <v>88</v>
      </c>
      <c r="AC17" s="16" t="s">
        <v>45</v>
      </c>
      <c r="AD17" s="16" t="s">
        <v>23</v>
      </c>
      <c r="AE17" s="16" t="s">
        <v>50</v>
      </c>
      <c r="AF17" s="16" t="s">
        <v>50</v>
      </c>
      <c r="AG17" s="17" t="s">
        <v>60</v>
      </c>
      <c r="AH17" s="17" t="s">
        <v>96</v>
      </c>
      <c r="AI17" s="17" t="s">
        <v>45</v>
      </c>
      <c r="AJ17" s="17" t="s">
        <v>45</v>
      </c>
      <c r="AK17" s="17" t="s">
        <v>23</v>
      </c>
      <c r="AL17" s="106" t="s">
        <v>930</v>
      </c>
      <c r="AM17" s="107"/>
      <c r="AN17" s="107"/>
      <c r="AO17" s="107"/>
      <c r="AP17" s="108"/>
    </row>
    <row r="18" spans="1:42" s="14" customFormat="1" ht="59.25" customHeight="1" x14ac:dyDescent="0.4">
      <c r="A18" s="11">
        <v>25</v>
      </c>
      <c r="B18" s="11">
        <v>403</v>
      </c>
      <c r="C18" s="11" t="s">
        <v>80</v>
      </c>
      <c r="D18" s="13" t="s">
        <v>793</v>
      </c>
      <c r="E18" s="33" t="s">
        <v>18</v>
      </c>
      <c r="F18" s="45" t="s">
        <v>794</v>
      </c>
      <c r="G18" s="11" t="s">
        <v>43</v>
      </c>
      <c r="H18" s="11" t="s">
        <v>52</v>
      </c>
      <c r="I18" s="11" t="s">
        <v>84</v>
      </c>
      <c r="J18" s="11" t="s">
        <v>46</v>
      </c>
      <c r="K18" s="11" t="s">
        <v>19</v>
      </c>
      <c r="L18" s="11" t="s">
        <v>92</v>
      </c>
      <c r="M18" s="11" t="s">
        <v>45</v>
      </c>
      <c r="N18" s="11" t="s">
        <v>23</v>
      </c>
      <c r="O18" s="11" t="s">
        <v>45</v>
      </c>
      <c r="P18" s="11" t="s">
        <v>84</v>
      </c>
      <c r="Q18" s="11" t="s">
        <v>86</v>
      </c>
      <c r="R18" s="11">
        <v>600</v>
      </c>
      <c r="S18" s="40" t="s">
        <v>39</v>
      </c>
      <c r="T18" s="11">
        <v>640</v>
      </c>
      <c r="U18" s="11" t="s">
        <v>45</v>
      </c>
      <c r="V18" s="11" t="s">
        <v>84</v>
      </c>
      <c r="W18" s="11" t="s">
        <v>378</v>
      </c>
      <c r="X18" s="40" t="s">
        <v>60</v>
      </c>
      <c r="Y18" s="40" t="s">
        <v>344</v>
      </c>
      <c r="Z18" s="53" t="s">
        <v>1181</v>
      </c>
      <c r="AA18" s="40" t="s">
        <v>65</v>
      </c>
      <c r="AB18" s="12" t="s">
        <v>88</v>
      </c>
      <c r="AC18" s="11" t="s">
        <v>23</v>
      </c>
      <c r="AD18" s="11" t="s">
        <v>23</v>
      </c>
      <c r="AE18" s="11" t="s">
        <v>50</v>
      </c>
      <c r="AF18" s="11" t="s">
        <v>50</v>
      </c>
      <c r="AG18" s="13" t="s">
        <v>60</v>
      </c>
      <c r="AH18" s="13" t="s">
        <v>96</v>
      </c>
      <c r="AI18" s="13" t="s">
        <v>45</v>
      </c>
      <c r="AJ18" s="13" t="s">
        <v>45</v>
      </c>
      <c r="AK18" s="13" t="s">
        <v>23</v>
      </c>
      <c r="AL18" s="133" t="s">
        <v>795</v>
      </c>
      <c r="AM18" s="95"/>
      <c r="AN18" s="95"/>
      <c r="AO18" s="95"/>
      <c r="AP18" s="96"/>
    </row>
    <row r="19" spans="1:42" s="10" customFormat="1" ht="77.25" customHeight="1" x14ac:dyDescent="0.4">
      <c r="A19" s="6">
        <v>25</v>
      </c>
      <c r="B19" s="6">
        <v>503</v>
      </c>
      <c r="C19" s="6" t="s">
        <v>80</v>
      </c>
      <c r="D19" s="18" t="s">
        <v>905</v>
      </c>
      <c r="E19" s="34" t="s">
        <v>18</v>
      </c>
      <c r="F19" s="6" t="s">
        <v>906</v>
      </c>
      <c r="G19" s="6" t="s">
        <v>43</v>
      </c>
      <c r="H19" s="6" t="s">
        <v>52</v>
      </c>
      <c r="I19" s="6" t="s">
        <v>84</v>
      </c>
      <c r="J19" s="6" t="s">
        <v>85</v>
      </c>
      <c r="K19" s="6" t="s">
        <v>60</v>
      </c>
      <c r="L19" s="6" t="s">
        <v>20</v>
      </c>
      <c r="M19" s="6" t="s">
        <v>23</v>
      </c>
      <c r="N19" s="6" t="s">
        <v>45</v>
      </c>
      <c r="O19" s="6" t="s">
        <v>45</v>
      </c>
      <c r="P19" s="6" t="s">
        <v>84</v>
      </c>
      <c r="Q19" s="6" t="s">
        <v>86</v>
      </c>
      <c r="R19" s="6">
        <v>740</v>
      </c>
      <c r="S19" s="6" t="s">
        <v>39</v>
      </c>
      <c r="T19" s="6">
        <v>900</v>
      </c>
      <c r="U19" s="6" t="s">
        <v>45</v>
      </c>
      <c r="V19" s="6" t="s">
        <v>84</v>
      </c>
      <c r="W19" s="6" t="s">
        <v>86</v>
      </c>
      <c r="X19" s="6" t="s">
        <v>60</v>
      </c>
      <c r="Y19" s="6" t="s">
        <v>141</v>
      </c>
      <c r="Z19" s="6"/>
      <c r="AA19" s="6" t="s">
        <v>65</v>
      </c>
      <c r="AB19" s="15" t="s">
        <v>88</v>
      </c>
      <c r="AC19" s="16" t="s">
        <v>45</v>
      </c>
      <c r="AD19" s="16" t="s">
        <v>23</v>
      </c>
      <c r="AE19" s="16" t="s">
        <v>50</v>
      </c>
      <c r="AF19" s="16" t="s">
        <v>50</v>
      </c>
      <c r="AG19" s="17" t="s">
        <v>60</v>
      </c>
      <c r="AH19" s="17" t="s">
        <v>62</v>
      </c>
      <c r="AI19" s="17" t="s">
        <v>45</v>
      </c>
      <c r="AJ19" s="17" t="s">
        <v>45</v>
      </c>
      <c r="AK19" s="17" t="s">
        <v>45</v>
      </c>
      <c r="AL19" s="106" t="s">
        <v>908</v>
      </c>
      <c r="AM19" s="107"/>
      <c r="AN19" s="107"/>
      <c r="AO19" s="107"/>
      <c r="AP19" s="108"/>
    </row>
    <row r="20" spans="1:42" s="14" customFormat="1" ht="15" customHeight="1" x14ac:dyDescent="0.4">
      <c r="A20" s="11">
        <v>25</v>
      </c>
      <c r="B20" s="11">
        <v>104</v>
      </c>
      <c r="C20" s="11" t="s">
        <v>80</v>
      </c>
      <c r="D20" s="13" t="s">
        <v>2276</v>
      </c>
      <c r="E20" s="33" t="s">
        <v>18</v>
      </c>
      <c r="F20" s="11" t="s">
        <v>2277</v>
      </c>
      <c r="G20" s="11" t="s">
        <v>40</v>
      </c>
      <c r="H20" s="11" t="s">
        <v>2275</v>
      </c>
      <c r="I20" s="11" t="s">
        <v>84</v>
      </c>
      <c r="J20" s="11" t="s">
        <v>84</v>
      </c>
      <c r="K20" s="11" t="s">
        <v>60</v>
      </c>
      <c r="L20" s="11" t="s">
        <v>24</v>
      </c>
      <c r="M20" s="11" t="s">
        <v>45</v>
      </c>
      <c r="N20" s="11" t="s">
        <v>45</v>
      </c>
      <c r="O20" s="11" t="s">
        <v>23</v>
      </c>
      <c r="P20" s="11" t="s">
        <v>84</v>
      </c>
      <c r="Q20" s="11" t="s">
        <v>86</v>
      </c>
      <c r="R20" s="11">
        <v>900</v>
      </c>
      <c r="S20" s="40" t="s">
        <v>39</v>
      </c>
      <c r="T20" s="11">
        <v>900</v>
      </c>
      <c r="U20" s="11" t="s">
        <v>45</v>
      </c>
      <c r="V20" s="11" t="s">
        <v>84</v>
      </c>
      <c r="W20" s="11" t="s">
        <v>86</v>
      </c>
      <c r="X20" s="40" t="s">
        <v>60</v>
      </c>
      <c r="Y20" s="40" t="s">
        <v>87</v>
      </c>
      <c r="Z20" s="40" t="s">
        <v>2278</v>
      </c>
      <c r="AA20" s="40" t="s">
        <v>39</v>
      </c>
      <c r="AB20" s="12" t="s">
        <v>88</v>
      </c>
      <c r="AC20" s="11" t="s">
        <v>45</v>
      </c>
      <c r="AD20" s="11" t="s">
        <v>45</v>
      </c>
      <c r="AE20" s="11" t="s">
        <v>116</v>
      </c>
      <c r="AF20" s="11" t="s">
        <v>50</v>
      </c>
      <c r="AG20" s="13" t="s">
        <v>60</v>
      </c>
      <c r="AH20" s="13" t="s">
        <v>62</v>
      </c>
      <c r="AI20" s="13" t="s">
        <v>45</v>
      </c>
      <c r="AJ20" s="13" t="s">
        <v>45</v>
      </c>
      <c r="AK20" s="13" t="s">
        <v>45</v>
      </c>
      <c r="AL20" s="94" t="s">
        <v>2279</v>
      </c>
      <c r="AM20" s="95"/>
      <c r="AN20" s="95"/>
      <c r="AO20" s="95"/>
      <c r="AP20" s="96"/>
    </row>
    <row r="21" spans="1:42" s="10" customFormat="1" ht="59.25" customHeight="1" x14ac:dyDescent="0.4">
      <c r="A21" s="6">
        <v>25</v>
      </c>
      <c r="B21" s="6">
        <v>204</v>
      </c>
      <c r="C21" s="6" t="s">
        <v>80</v>
      </c>
      <c r="D21" s="18" t="s">
        <v>936</v>
      </c>
      <c r="E21" s="34" t="s">
        <v>18</v>
      </c>
      <c r="F21" s="6" t="s">
        <v>937</v>
      </c>
      <c r="G21" s="6" t="s">
        <v>43</v>
      </c>
      <c r="H21" s="6" t="s">
        <v>52</v>
      </c>
      <c r="I21" s="6" t="s">
        <v>84</v>
      </c>
      <c r="J21" s="6" t="s">
        <v>46</v>
      </c>
      <c r="K21" s="6" t="s">
        <v>60</v>
      </c>
      <c r="L21" s="6" t="s">
        <v>92</v>
      </c>
      <c r="M21" s="6" t="s">
        <v>23</v>
      </c>
      <c r="N21" s="6" t="s">
        <v>23</v>
      </c>
      <c r="O21" s="6" t="s">
        <v>45</v>
      </c>
      <c r="P21" s="6" t="s">
        <v>84</v>
      </c>
      <c r="Q21" s="6" t="s">
        <v>86</v>
      </c>
      <c r="R21" s="6" t="s">
        <v>938</v>
      </c>
      <c r="S21" s="6" t="s">
        <v>39</v>
      </c>
      <c r="T21" s="6">
        <v>800</v>
      </c>
      <c r="U21" s="6" t="s">
        <v>45</v>
      </c>
      <c r="V21" s="6" t="s">
        <v>84</v>
      </c>
      <c r="W21" s="6" t="s">
        <v>86</v>
      </c>
      <c r="X21" s="6" t="s">
        <v>60</v>
      </c>
      <c r="Y21" s="6" t="s">
        <v>87</v>
      </c>
      <c r="Z21" s="6" t="s">
        <v>939</v>
      </c>
      <c r="AA21" s="6" t="s">
        <v>65</v>
      </c>
      <c r="AB21" s="15" t="s">
        <v>88</v>
      </c>
      <c r="AC21" s="16" t="s">
        <v>23</v>
      </c>
      <c r="AD21" s="16" t="s">
        <v>23</v>
      </c>
      <c r="AE21" s="16" t="s">
        <v>50</v>
      </c>
      <c r="AF21" s="16" t="s">
        <v>50</v>
      </c>
      <c r="AG21" s="17" t="s">
        <v>60</v>
      </c>
      <c r="AH21" s="17" t="s">
        <v>62</v>
      </c>
      <c r="AI21" s="17" t="s">
        <v>45</v>
      </c>
      <c r="AJ21" s="17" t="s">
        <v>45</v>
      </c>
      <c r="AK21" s="17" t="s">
        <v>23</v>
      </c>
      <c r="AL21" s="106" t="s">
        <v>940</v>
      </c>
      <c r="AM21" s="107"/>
      <c r="AN21" s="107"/>
      <c r="AO21" s="107"/>
      <c r="AP21" s="108"/>
    </row>
    <row r="22" spans="1:42" s="14" customFormat="1" ht="49.5" customHeight="1" x14ac:dyDescent="0.4">
      <c r="A22" s="11">
        <v>25</v>
      </c>
      <c r="B22" s="11">
        <v>304</v>
      </c>
      <c r="C22" s="11" t="s">
        <v>80</v>
      </c>
      <c r="D22" s="13" t="s">
        <v>923</v>
      </c>
      <c r="E22" s="33" t="s">
        <v>18</v>
      </c>
      <c r="F22" s="11" t="s">
        <v>924</v>
      </c>
      <c r="G22" s="11" t="s">
        <v>43</v>
      </c>
      <c r="H22" s="11" t="s">
        <v>30</v>
      </c>
      <c r="I22" s="11" t="s">
        <v>84</v>
      </c>
      <c r="J22" s="11" t="s">
        <v>46</v>
      </c>
      <c r="K22" s="11" t="s">
        <v>60</v>
      </c>
      <c r="L22" s="11" t="s">
        <v>92</v>
      </c>
      <c r="M22" s="11" t="s">
        <v>45</v>
      </c>
      <c r="N22" s="11" t="s">
        <v>45</v>
      </c>
      <c r="O22" s="11" t="s">
        <v>45</v>
      </c>
      <c r="P22" s="11" t="s">
        <v>84</v>
      </c>
      <c r="Q22" s="11" t="s">
        <v>925</v>
      </c>
      <c r="R22" s="57"/>
      <c r="S22" s="57"/>
      <c r="T22" s="57"/>
      <c r="U22" s="57"/>
      <c r="V22" s="57"/>
      <c r="W22" s="57"/>
      <c r="X22" s="57"/>
      <c r="Y22" s="57"/>
      <c r="Z22" s="57"/>
      <c r="AA22" s="57"/>
      <c r="AB22" s="58"/>
      <c r="AC22" s="57"/>
      <c r="AD22" s="57"/>
      <c r="AE22" s="57"/>
      <c r="AF22" s="57"/>
      <c r="AG22" s="59"/>
      <c r="AH22" s="57"/>
      <c r="AI22" s="13" t="s">
        <v>45</v>
      </c>
      <c r="AJ22" s="13" t="s">
        <v>45</v>
      </c>
      <c r="AK22" s="13" t="s">
        <v>45</v>
      </c>
      <c r="AL22" s="133" t="s">
        <v>926</v>
      </c>
      <c r="AM22" s="134"/>
      <c r="AN22" s="134"/>
      <c r="AO22" s="134"/>
      <c r="AP22" s="135"/>
    </row>
    <row r="23" spans="1:42" s="10" customFormat="1" ht="58.5" customHeight="1" x14ac:dyDescent="0.4">
      <c r="A23" s="6">
        <v>25</v>
      </c>
      <c r="B23" s="6">
        <v>404</v>
      </c>
      <c r="C23" s="6" t="s">
        <v>80</v>
      </c>
      <c r="D23" s="18" t="s">
        <v>911</v>
      </c>
      <c r="E23" s="34" t="s">
        <v>18</v>
      </c>
      <c r="F23" s="6" t="s">
        <v>912</v>
      </c>
      <c r="G23" s="6" t="s">
        <v>43</v>
      </c>
      <c r="H23" s="6" t="s">
        <v>52</v>
      </c>
      <c r="I23" s="6" t="s">
        <v>84</v>
      </c>
      <c r="J23" s="6" t="s">
        <v>85</v>
      </c>
      <c r="K23" s="6" t="s">
        <v>60</v>
      </c>
      <c r="L23" s="6" t="s">
        <v>92</v>
      </c>
      <c r="M23" s="6" t="s">
        <v>45</v>
      </c>
      <c r="N23" s="6" t="s">
        <v>45</v>
      </c>
      <c r="O23" s="6" t="s">
        <v>45</v>
      </c>
      <c r="P23" s="6" t="s">
        <v>84</v>
      </c>
      <c r="Q23" s="6" t="s">
        <v>86</v>
      </c>
      <c r="R23" s="6">
        <v>740</v>
      </c>
      <c r="S23" s="6" t="s">
        <v>39</v>
      </c>
      <c r="T23" s="6">
        <v>900</v>
      </c>
      <c r="U23" s="6" t="s">
        <v>45</v>
      </c>
      <c r="V23" s="6" t="s">
        <v>84</v>
      </c>
      <c r="W23" s="6" t="s">
        <v>86</v>
      </c>
      <c r="X23" s="6" t="s">
        <v>60</v>
      </c>
      <c r="Y23" s="6" t="s">
        <v>87</v>
      </c>
      <c r="Z23" s="6" t="s">
        <v>913</v>
      </c>
      <c r="AA23" s="6" t="s">
        <v>65</v>
      </c>
      <c r="AB23" s="15" t="s">
        <v>88</v>
      </c>
      <c r="AC23" s="16" t="s">
        <v>45</v>
      </c>
      <c r="AD23" s="16" t="s">
        <v>23</v>
      </c>
      <c r="AE23" s="16" t="s">
        <v>116</v>
      </c>
      <c r="AF23" s="16" t="s">
        <v>50</v>
      </c>
      <c r="AG23" s="17" t="s">
        <v>60</v>
      </c>
      <c r="AH23" s="17" t="s">
        <v>62</v>
      </c>
      <c r="AI23" s="17" t="s">
        <v>45</v>
      </c>
      <c r="AJ23" s="17" t="s">
        <v>45</v>
      </c>
      <c r="AK23" s="17" t="s">
        <v>23</v>
      </c>
      <c r="AL23" s="106" t="s">
        <v>914</v>
      </c>
      <c r="AM23" s="107"/>
      <c r="AN23" s="107"/>
      <c r="AO23" s="107"/>
      <c r="AP23" s="108"/>
    </row>
    <row r="24" spans="1:42" s="14" customFormat="1" ht="54" customHeight="1" x14ac:dyDescent="0.4">
      <c r="A24" s="11">
        <v>25</v>
      </c>
      <c r="B24" s="11">
        <v>504</v>
      </c>
      <c r="C24" s="11" t="s">
        <v>80</v>
      </c>
      <c r="D24" s="13" t="s">
        <v>915</v>
      </c>
      <c r="E24" s="33" t="s">
        <v>18</v>
      </c>
      <c r="F24" s="11" t="s">
        <v>916</v>
      </c>
      <c r="G24" s="11" t="s">
        <v>43</v>
      </c>
      <c r="H24" s="11" t="s">
        <v>52</v>
      </c>
      <c r="I24" s="11" t="s">
        <v>84</v>
      </c>
      <c r="J24" s="11" t="s">
        <v>85</v>
      </c>
      <c r="K24" s="11" t="s">
        <v>60</v>
      </c>
      <c r="L24" s="11" t="s">
        <v>92</v>
      </c>
      <c r="M24" s="11" t="s">
        <v>45</v>
      </c>
      <c r="N24" s="11" t="s">
        <v>45</v>
      </c>
      <c r="O24" s="11" t="s">
        <v>45</v>
      </c>
      <c r="P24" s="11" t="s">
        <v>84</v>
      </c>
      <c r="Q24" s="11" t="s">
        <v>86</v>
      </c>
      <c r="R24" s="11">
        <v>740</v>
      </c>
      <c r="S24" s="40" t="s">
        <v>39</v>
      </c>
      <c r="T24" s="11">
        <v>900</v>
      </c>
      <c r="U24" s="11" t="s">
        <v>45</v>
      </c>
      <c r="V24" s="11" t="s">
        <v>84</v>
      </c>
      <c r="W24" s="11" t="s">
        <v>86</v>
      </c>
      <c r="X24" s="40" t="s">
        <v>19</v>
      </c>
      <c r="Y24" s="40"/>
      <c r="Z24" s="40"/>
      <c r="AA24" s="40" t="s">
        <v>65</v>
      </c>
      <c r="AB24" s="12" t="s">
        <v>19</v>
      </c>
      <c r="AC24" s="11" t="s">
        <v>45</v>
      </c>
      <c r="AD24" s="11" t="s">
        <v>45</v>
      </c>
      <c r="AE24" s="11" t="s">
        <v>116</v>
      </c>
      <c r="AF24" s="11" t="s">
        <v>50</v>
      </c>
      <c r="AG24" s="13" t="s">
        <v>60</v>
      </c>
      <c r="AH24" s="13" t="s">
        <v>62</v>
      </c>
      <c r="AI24" s="13" t="s">
        <v>45</v>
      </c>
      <c r="AJ24" s="13" t="s">
        <v>23</v>
      </c>
      <c r="AK24" s="13" t="s">
        <v>45</v>
      </c>
      <c r="AL24" s="133" t="s">
        <v>917</v>
      </c>
      <c r="AM24" s="134"/>
      <c r="AN24" s="134"/>
      <c r="AO24" s="134"/>
      <c r="AP24" s="135"/>
    </row>
    <row r="25" spans="1:42" s="10" customFormat="1" ht="37.5" customHeight="1" x14ac:dyDescent="0.4">
      <c r="A25" s="6">
        <v>25</v>
      </c>
      <c r="B25" s="6">
        <v>105</v>
      </c>
      <c r="C25" s="6" t="s">
        <v>80</v>
      </c>
      <c r="D25" s="18" t="s">
        <v>993</v>
      </c>
      <c r="E25" s="34" t="s">
        <v>18</v>
      </c>
      <c r="F25" s="51" t="s">
        <v>994</v>
      </c>
      <c r="G25" s="6" t="s">
        <v>43</v>
      </c>
      <c r="H25" s="6" t="s">
        <v>52</v>
      </c>
      <c r="I25" s="6" t="s">
        <v>84</v>
      </c>
      <c r="J25" s="6" t="s">
        <v>85</v>
      </c>
      <c r="K25" s="6" t="s">
        <v>60</v>
      </c>
      <c r="L25" s="6" t="s">
        <v>92</v>
      </c>
      <c r="M25" s="6" t="s">
        <v>45</v>
      </c>
      <c r="N25" s="6" t="s">
        <v>45</v>
      </c>
      <c r="O25" s="6" t="s">
        <v>23</v>
      </c>
      <c r="P25" s="6" t="s">
        <v>84</v>
      </c>
      <c r="Q25" s="6" t="s">
        <v>86</v>
      </c>
      <c r="R25" s="6">
        <v>750</v>
      </c>
      <c r="S25" s="6" t="s">
        <v>39</v>
      </c>
      <c r="T25" s="6">
        <v>900</v>
      </c>
      <c r="U25" s="6" t="s">
        <v>45</v>
      </c>
      <c r="V25" s="6" t="s">
        <v>84</v>
      </c>
      <c r="W25" s="6" t="s">
        <v>86</v>
      </c>
      <c r="X25" s="6" t="s">
        <v>60</v>
      </c>
      <c r="Y25" s="6" t="s">
        <v>141</v>
      </c>
      <c r="Z25" s="6"/>
      <c r="AA25" s="6" t="s">
        <v>65</v>
      </c>
      <c r="AB25" s="15" t="s">
        <v>88</v>
      </c>
      <c r="AC25" s="16" t="s">
        <v>45</v>
      </c>
      <c r="AD25" s="16" t="s">
        <v>45</v>
      </c>
      <c r="AE25" s="16" t="s">
        <v>116</v>
      </c>
      <c r="AF25" s="16" t="s">
        <v>116</v>
      </c>
      <c r="AG25" s="17" t="s">
        <v>60</v>
      </c>
      <c r="AH25" s="17" t="s">
        <v>62</v>
      </c>
      <c r="AI25" s="17" t="s">
        <v>45</v>
      </c>
      <c r="AJ25" s="17" t="s">
        <v>45</v>
      </c>
      <c r="AK25" s="17" t="s">
        <v>23</v>
      </c>
      <c r="AL25" s="106" t="s">
        <v>995</v>
      </c>
      <c r="AM25" s="107"/>
      <c r="AN25" s="107"/>
      <c r="AO25" s="107"/>
      <c r="AP25" s="108"/>
    </row>
    <row r="26" spans="1:42" s="14" customFormat="1" ht="41.25" customHeight="1" x14ac:dyDescent="0.4">
      <c r="A26" s="11">
        <v>25</v>
      </c>
      <c r="B26" s="11">
        <v>205</v>
      </c>
      <c r="C26" s="11" t="s">
        <v>80</v>
      </c>
      <c r="D26" s="13" t="s">
        <v>969</v>
      </c>
      <c r="E26" s="33" t="s">
        <v>18</v>
      </c>
      <c r="F26" s="45" t="s">
        <v>970</v>
      </c>
      <c r="G26" s="11" t="s">
        <v>43</v>
      </c>
      <c r="H26" s="11" t="s">
        <v>52</v>
      </c>
      <c r="I26" s="11" t="s">
        <v>84</v>
      </c>
      <c r="J26" s="11" t="s">
        <v>85</v>
      </c>
      <c r="K26" s="11" t="s">
        <v>60</v>
      </c>
      <c r="L26" s="11" t="s">
        <v>92</v>
      </c>
      <c r="M26" s="11" t="s">
        <v>45</v>
      </c>
      <c r="N26" s="11" t="s">
        <v>45</v>
      </c>
      <c r="O26" s="11" t="s">
        <v>45</v>
      </c>
      <c r="P26" s="11" t="s">
        <v>84</v>
      </c>
      <c r="Q26" s="11" t="s">
        <v>86</v>
      </c>
      <c r="R26" s="11">
        <v>740</v>
      </c>
      <c r="S26" s="40" t="s">
        <v>39</v>
      </c>
      <c r="T26" s="11">
        <v>640</v>
      </c>
      <c r="U26" s="11" t="s">
        <v>45</v>
      </c>
      <c r="V26" s="11" t="s">
        <v>84</v>
      </c>
      <c r="W26" s="11" t="s">
        <v>86</v>
      </c>
      <c r="X26" s="40" t="s">
        <v>60</v>
      </c>
      <c r="Y26" s="40" t="s">
        <v>141</v>
      </c>
      <c r="Z26" s="40"/>
      <c r="AA26" s="40" t="s">
        <v>65</v>
      </c>
      <c r="AB26" s="12" t="s">
        <v>88</v>
      </c>
      <c r="AC26" s="11" t="s">
        <v>23</v>
      </c>
      <c r="AD26" s="11" t="s">
        <v>23</v>
      </c>
      <c r="AE26" s="11" t="s">
        <v>50</v>
      </c>
      <c r="AF26" s="11" t="s">
        <v>50</v>
      </c>
      <c r="AG26" s="13" t="s">
        <v>60</v>
      </c>
      <c r="AH26" s="13" t="s">
        <v>62</v>
      </c>
      <c r="AI26" s="13" t="s">
        <v>45</v>
      </c>
      <c r="AJ26" s="13" t="s">
        <v>45</v>
      </c>
      <c r="AK26" s="13" t="s">
        <v>23</v>
      </c>
      <c r="AL26" s="94" t="s">
        <v>971</v>
      </c>
      <c r="AM26" s="95"/>
      <c r="AN26" s="95"/>
      <c r="AO26" s="95"/>
      <c r="AP26" s="96"/>
    </row>
    <row r="27" spans="1:42" s="10" customFormat="1" ht="57.75" customHeight="1" x14ac:dyDescent="0.4">
      <c r="A27" s="6">
        <v>25</v>
      </c>
      <c r="B27" s="6">
        <v>305</v>
      </c>
      <c r="C27" s="6" t="s">
        <v>80</v>
      </c>
      <c r="D27" s="18" t="s">
        <v>978</v>
      </c>
      <c r="E27" s="34" t="s">
        <v>18</v>
      </c>
      <c r="F27" s="6" t="s">
        <v>979</v>
      </c>
      <c r="G27" s="6" t="s">
        <v>43</v>
      </c>
      <c r="H27" s="6" t="s">
        <v>52</v>
      </c>
      <c r="I27" s="6" t="s">
        <v>84</v>
      </c>
      <c r="J27" s="6" t="s">
        <v>85</v>
      </c>
      <c r="K27" s="6" t="s">
        <v>60</v>
      </c>
      <c r="L27" s="6" t="s">
        <v>92</v>
      </c>
      <c r="M27" s="6" t="s">
        <v>45</v>
      </c>
      <c r="N27" s="6" t="s">
        <v>45</v>
      </c>
      <c r="O27" s="6" t="s">
        <v>23</v>
      </c>
      <c r="P27" s="6" t="s">
        <v>84</v>
      </c>
      <c r="Q27" s="6" t="s">
        <v>86</v>
      </c>
      <c r="R27" s="6">
        <v>750</v>
      </c>
      <c r="S27" s="6" t="s">
        <v>39</v>
      </c>
      <c r="T27" s="6">
        <v>640</v>
      </c>
      <c r="U27" s="6" t="s">
        <v>45</v>
      </c>
      <c r="V27" s="6" t="s">
        <v>84</v>
      </c>
      <c r="W27" s="6" t="s">
        <v>86</v>
      </c>
      <c r="X27" s="6" t="s">
        <v>60</v>
      </c>
      <c r="Y27" s="6" t="s">
        <v>141</v>
      </c>
      <c r="Z27" s="6"/>
      <c r="AA27" s="6" t="s">
        <v>65</v>
      </c>
      <c r="AB27" s="15" t="s">
        <v>88</v>
      </c>
      <c r="AC27" s="16" t="s">
        <v>45</v>
      </c>
      <c r="AD27" s="16" t="s">
        <v>23</v>
      </c>
      <c r="AE27" s="16" t="s">
        <v>50</v>
      </c>
      <c r="AF27" s="16" t="s">
        <v>50</v>
      </c>
      <c r="AG27" s="17" t="s">
        <v>60</v>
      </c>
      <c r="AH27" s="17" t="s">
        <v>62</v>
      </c>
      <c r="AI27" s="17" t="s">
        <v>45</v>
      </c>
      <c r="AJ27" s="17" t="s">
        <v>45</v>
      </c>
      <c r="AK27" s="17" t="s">
        <v>23</v>
      </c>
      <c r="AL27" s="106" t="s">
        <v>980</v>
      </c>
      <c r="AM27" s="107"/>
      <c r="AN27" s="107"/>
      <c r="AO27" s="107"/>
      <c r="AP27" s="108"/>
    </row>
    <row r="28" spans="1:42" s="14" customFormat="1" ht="42" customHeight="1" x14ac:dyDescent="0.4">
      <c r="A28" s="11">
        <v>25</v>
      </c>
      <c r="B28" s="11">
        <v>405</v>
      </c>
      <c r="C28" s="11" t="s">
        <v>80</v>
      </c>
      <c r="D28" s="13" t="s">
        <v>1206</v>
      </c>
      <c r="E28" s="33" t="s">
        <v>18</v>
      </c>
      <c r="F28" s="11" t="s">
        <v>1207</v>
      </c>
      <c r="G28" s="11" t="s">
        <v>43</v>
      </c>
      <c r="H28" s="11" t="s">
        <v>52</v>
      </c>
      <c r="I28" s="11" t="s">
        <v>84</v>
      </c>
      <c r="J28" s="11" t="s">
        <v>85</v>
      </c>
      <c r="K28" s="11" t="s">
        <v>60</v>
      </c>
      <c r="L28" s="11" t="s">
        <v>92</v>
      </c>
      <c r="M28" s="11" t="s">
        <v>45</v>
      </c>
      <c r="N28" s="11" t="s">
        <v>45</v>
      </c>
      <c r="O28" s="11" t="s">
        <v>23</v>
      </c>
      <c r="P28" s="11" t="s">
        <v>84</v>
      </c>
      <c r="Q28" s="11" t="s">
        <v>86</v>
      </c>
      <c r="R28" s="11">
        <v>750</v>
      </c>
      <c r="S28" s="40" t="s">
        <v>39</v>
      </c>
      <c r="T28" s="11">
        <v>740</v>
      </c>
      <c r="U28" s="11" t="s">
        <v>45</v>
      </c>
      <c r="V28" s="11" t="s">
        <v>84</v>
      </c>
      <c r="W28" s="11" t="s">
        <v>86</v>
      </c>
      <c r="X28" s="40" t="s">
        <v>60</v>
      </c>
      <c r="Y28" s="40" t="s">
        <v>87</v>
      </c>
      <c r="Z28" s="40" t="s">
        <v>1208</v>
      </c>
      <c r="AA28" s="40" t="s">
        <v>65</v>
      </c>
      <c r="AB28" s="12" t="s">
        <v>88</v>
      </c>
      <c r="AC28" s="11" t="s">
        <v>45</v>
      </c>
      <c r="AD28" s="11" t="s">
        <v>45</v>
      </c>
      <c r="AE28" s="11" t="s">
        <v>50</v>
      </c>
      <c r="AF28" s="11" t="s">
        <v>50</v>
      </c>
      <c r="AG28" s="13" t="s">
        <v>60</v>
      </c>
      <c r="AH28" s="13" t="s">
        <v>62</v>
      </c>
      <c r="AI28" s="13" t="s">
        <v>45</v>
      </c>
      <c r="AJ28" s="13" t="s">
        <v>23</v>
      </c>
      <c r="AK28" s="13" t="s">
        <v>45</v>
      </c>
      <c r="AL28" s="133" t="s">
        <v>1209</v>
      </c>
      <c r="AM28" s="134"/>
      <c r="AN28" s="134"/>
      <c r="AO28" s="134"/>
      <c r="AP28" s="135"/>
    </row>
    <row r="29" spans="1:42" s="10" customFormat="1" ht="15" customHeight="1" x14ac:dyDescent="0.4">
      <c r="A29" s="6">
        <v>25</v>
      </c>
      <c r="B29" s="6">
        <v>505</v>
      </c>
      <c r="C29" s="6" t="s">
        <v>80</v>
      </c>
      <c r="D29" s="18"/>
      <c r="E29" s="34" t="s">
        <v>18</v>
      </c>
      <c r="F29" s="6"/>
      <c r="G29" s="6"/>
      <c r="H29" s="6"/>
      <c r="I29" s="6"/>
      <c r="J29" s="6"/>
      <c r="K29" s="6"/>
      <c r="L29" s="6"/>
      <c r="M29" s="6"/>
      <c r="N29" s="6"/>
      <c r="O29" s="6"/>
      <c r="P29" s="6"/>
      <c r="Q29" s="6"/>
      <c r="R29" s="6"/>
      <c r="S29" s="6"/>
      <c r="T29" s="6"/>
      <c r="U29" s="6"/>
      <c r="V29" s="6"/>
      <c r="W29" s="6"/>
      <c r="X29" s="6"/>
      <c r="Y29" s="6"/>
      <c r="Z29" s="6"/>
      <c r="AA29" s="6"/>
      <c r="AB29" s="15"/>
      <c r="AC29" s="16"/>
      <c r="AD29" s="16"/>
      <c r="AE29" s="16"/>
      <c r="AF29" s="16"/>
      <c r="AG29" s="17"/>
      <c r="AH29" s="17"/>
      <c r="AI29" s="17"/>
      <c r="AJ29" s="17"/>
      <c r="AK29" s="17"/>
      <c r="AL29" s="78"/>
      <c r="AM29" s="79"/>
      <c r="AN29" s="79"/>
      <c r="AO29" s="79"/>
      <c r="AP29" s="80"/>
    </row>
    <row r="30" spans="1:42" s="14" customFormat="1" ht="46.5" customHeight="1" x14ac:dyDescent="0.4">
      <c r="A30" s="11">
        <v>25</v>
      </c>
      <c r="B30" s="11">
        <v>106</v>
      </c>
      <c r="C30" s="11" t="s">
        <v>80</v>
      </c>
      <c r="D30" s="13" t="s">
        <v>990</v>
      </c>
      <c r="E30" s="33" t="s">
        <v>18</v>
      </c>
      <c r="F30" s="11" t="s">
        <v>991</v>
      </c>
      <c r="G30" s="11" t="s">
        <v>43</v>
      </c>
      <c r="H30" s="11" t="s">
        <v>52</v>
      </c>
      <c r="I30" s="11" t="s">
        <v>84</v>
      </c>
      <c r="J30" s="11" t="s">
        <v>85</v>
      </c>
      <c r="K30" s="11" t="s">
        <v>60</v>
      </c>
      <c r="L30" s="11" t="s">
        <v>92</v>
      </c>
      <c r="M30" s="11" t="s">
        <v>45</v>
      </c>
      <c r="N30" s="11" t="s">
        <v>23</v>
      </c>
      <c r="O30" s="11" t="s">
        <v>45</v>
      </c>
      <c r="P30" s="11" t="s">
        <v>84</v>
      </c>
      <c r="Q30" s="11" t="s">
        <v>877</v>
      </c>
      <c r="R30" s="11">
        <v>750</v>
      </c>
      <c r="S30" s="40" t="s">
        <v>39</v>
      </c>
      <c r="T30" s="11">
        <v>900</v>
      </c>
      <c r="U30" s="11" t="s">
        <v>45</v>
      </c>
      <c r="V30" s="11" t="s">
        <v>84</v>
      </c>
      <c r="W30" s="11" t="s">
        <v>877</v>
      </c>
      <c r="X30" s="40" t="s">
        <v>60</v>
      </c>
      <c r="Y30" s="40" t="s">
        <v>531</v>
      </c>
      <c r="Z30" s="40"/>
      <c r="AA30" s="40" t="s">
        <v>65</v>
      </c>
      <c r="AB30" s="12" t="s">
        <v>88</v>
      </c>
      <c r="AC30" s="11" t="s">
        <v>23</v>
      </c>
      <c r="AD30" s="11" t="s">
        <v>23</v>
      </c>
      <c r="AE30" s="11" t="s">
        <v>50</v>
      </c>
      <c r="AF30" s="11" t="s">
        <v>50</v>
      </c>
      <c r="AG30" s="13" t="s">
        <v>60</v>
      </c>
      <c r="AH30" s="13" t="s">
        <v>62</v>
      </c>
      <c r="AI30" s="13" t="s">
        <v>45</v>
      </c>
      <c r="AJ30" s="13" t="s">
        <v>23</v>
      </c>
      <c r="AK30" s="13" t="s">
        <v>45</v>
      </c>
      <c r="AL30" s="133" t="s">
        <v>992</v>
      </c>
      <c r="AM30" s="134"/>
      <c r="AN30" s="134"/>
      <c r="AO30" s="134"/>
      <c r="AP30" s="135"/>
    </row>
    <row r="31" spans="1:42" s="10" customFormat="1" ht="15" customHeight="1" x14ac:dyDescent="0.4">
      <c r="A31" s="6">
        <v>25</v>
      </c>
      <c r="B31" s="6">
        <v>206</v>
      </c>
      <c r="C31" s="6" t="s">
        <v>80</v>
      </c>
      <c r="D31" s="18" t="s">
        <v>972</v>
      </c>
      <c r="E31" s="34" t="s">
        <v>18</v>
      </c>
      <c r="F31" s="6" t="s">
        <v>973</v>
      </c>
      <c r="G31" s="6" t="s">
        <v>43</v>
      </c>
      <c r="H31" s="6" t="s">
        <v>52</v>
      </c>
      <c r="I31" s="6" t="s">
        <v>84</v>
      </c>
      <c r="J31" s="6" t="s">
        <v>85</v>
      </c>
      <c r="K31" s="6" t="s">
        <v>60</v>
      </c>
      <c r="L31" s="6" t="s">
        <v>92</v>
      </c>
      <c r="M31" s="6" t="s">
        <v>45</v>
      </c>
      <c r="N31" s="6" t="s">
        <v>45</v>
      </c>
      <c r="O31" s="6" t="s">
        <v>23</v>
      </c>
      <c r="P31" s="6" t="s">
        <v>84</v>
      </c>
      <c r="Q31" s="6" t="s">
        <v>86</v>
      </c>
      <c r="R31" s="6">
        <v>750</v>
      </c>
      <c r="S31" s="6" t="s">
        <v>39</v>
      </c>
      <c r="T31" s="6">
        <v>900</v>
      </c>
      <c r="U31" s="6" t="s">
        <v>45</v>
      </c>
      <c r="V31" s="6" t="s">
        <v>84</v>
      </c>
      <c r="W31" s="6" t="s">
        <v>86</v>
      </c>
      <c r="X31" s="6" t="s">
        <v>60</v>
      </c>
      <c r="Y31" s="6" t="s">
        <v>141</v>
      </c>
      <c r="Z31" s="6"/>
      <c r="AA31" s="6" t="s">
        <v>65</v>
      </c>
      <c r="AB31" s="15" t="s">
        <v>19</v>
      </c>
      <c r="AC31" s="16" t="s">
        <v>45</v>
      </c>
      <c r="AD31" s="16" t="s">
        <v>45</v>
      </c>
      <c r="AE31" s="16" t="s">
        <v>50</v>
      </c>
      <c r="AF31" s="16" t="s">
        <v>50</v>
      </c>
      <c r="AG31" s="17" t="s">
        <v>60</v>
      </c>
      <c r="AH31" s="17" t="s">
        <v>62</v>
      </c>
      <c r="AI31" s="17" t="s">
        <v>23</v>
      </c>
      <c r="AJ31" s="17" t="s">
        <v>45</v>
      </c>
      <c r="AK31" s="17" t="s">
        <v>45</v>
      </c>
      <c r="AL31" s="78" t="s">
        <v>974</v>
      </c>
      <c r="AM31" s="79"/>
      <c r="AN31" s="79"/>
      <c r="AO31" s="79"/>
      <c r="AP31" s="80"/>
    </row>
    <row r="32" spans="1:42" s="14" customFormat="1" ht="15" customHeight="1" x14ac:dyDescent="0.4">
      <c r="A32" s="11">
        <v>25</v>
      </c>
      <c r="B32" s="11">
        <v>306</v>
      </c>
      <c r="C32" s="11" t="s">
        <v>80</v>
      </c>
      <c r="D32" s="13" t="s">
        <v>975</v>
      </c>
      <c r="E32" s="33" t="s">
        <v>18</v>
      </c>
      <c r="F32" s="11" t="s">
        <v>976</v>
      </c>
      <c r="G32" s="11" t="s">
        <v>43</v>
      </c>
      <c r="H32" s="11" t="s">
        <v>52</v>
      </c>
      <c r="I32" s="11" t="s">
        <v>84</v>
      </c>
      <c r="J32" s="11" t="s">
        <v>85</v>
      </c>
      <c r="K32" s="11" t="s">
        <v>60</v>
      </c>
      <c r="L32" s="11" t="s">
        <v>92</v>
      </c>
      <c r="M32" s="11" t="s">
        <v>45</v>
      </c>
      <c r="N32" s="11" t="s">
        <v>45</v>
      </c>
      <c r="O32" s="11" t="s">
        <v>23</v>
      </c>
      <c r="P32" s="11" t="s">
        <v>84</v>
      </c>
      <c r="Q32" s="11" t="s">
        <v>86</v>
      </c>
      <c r="R32" s="11">
        <v>750</v>
      </c>
      <c r="S32" s="40" t="s">
        <v>39</v>
      </c>
      <c r="T32" s="11">
        <v>900</v>
      </c>
      <c r="U32" s="11" t="s">
        <v>45</v>
      </c>
      <c r="V32" s="11" t="s">
        <v>84</v>
      </c>
      <c r="W32" s="11" t="s">
        <v>86</v>
      </c>
      <c r="X32" s="40" t="s">
        <v>60</v>
      </c>
      <c r="Y32" s="40" t="s">
        <v>141</v>
      </c>
      <c r="Z32" s="40"/>
      <c r="AA32" s="40" t="s">
        <v>65</v>
      </c>
      <c r="AB32" s="12" t="s">
        <v>88</v>
      </c>
      <c r="AC32" s="11" t="s">
        <v>45</v>
      </c>
      <c r="AD32" s="11" t="s">
        <v>23</v>
      </c>
      <c r="AE32" s="11" t="s">
        <v>50</v>
      </c>
      <c r="AF32" s="11" t="s">
        <v>50</v>
      </c>
      <c r="AG32" s="13" t="s">
        <v>60</v>
      </c>
      <c r="AH32" s="13" t="s">
        <v>62</v>
      </c>
      <c r="AI32" s="13" t="s">
        <v>45</v>
      </c>
      <c r="AJ32" s="13" t="s">
        <v>45</v>
      </c>
      <c r="AK32" s="13" t="s">
        <v>45</v>
      </c>
      <c r="AL32" s="94" t="s">
        <v>977</v>
      </c>
      <c r="AM32" s="95"/>
      <c r="AN32" s="95"/>
      <c r="AO32" s="95"/>
      <c r="AP32" s="96"/>
    </row>
    <row r="33" spans="1:43" s="10" customFormat="1" ht="37.5" customHeight="1" x14ac:dyDescent="0.4">
      <c r="A33" s="6">
        <v>25</v>
      </c>
      <c r="B33" s="6">
        <v>406</v>
      </c>
      <c r="C33" s="6" t="s">
        <v>80</v>
      </c>
      <c r="D33" s="18" t="s">
        <v>961</v>
      </c>
      <c r="E33" s="34" t="s">
        <v>18</v>
      </c>
      <c r="F33" s="46" t="s">
        <v>962</v>
      </c>
      <c r="G33" s="6" t="s">
        <v>43</v>
      </c>
      <c r="H33" s="6" t="s">
        <v>52</v>
      </c>
      <c r="I33" s="6" t="s">
        <v>84</v>
      </c>
      <c r="J33" s="6" t="s">
        <v>85</v>
      </c>
      <c r="K33" s="6" t="s">
        <v>60</v>
      </c>
      <c r="L33" s="6" t="s">
        <v>92</v>
      </c>
      <c r="M33" s="6" t="s">
        <v>45</v>
      </c>
      <c r="N33" s="6" t="s">
        <v>23</v>
      </c>
      <c r="O33" s="6" t="s">
        <v>23</v>
      </c>
      <c r="P33" s="6" t="s">
        <v>84</v>
      </c>
      <c r="Q33" s="6" t="s">
        <v>86</v>
      </c>
      <c r="R33" s="6">
        <v>740</v>
      </c>
      <c r="S33" s="6" t="s">
        <v>39</v>
      </c>
      <c r="T33" s="6">
        <v>900</v>
      </c>
      <c r="U33" s="6" t="s">
        <v>45</v>
      </c>
      <c r="V33" s="6" t="s">
        <v>84</v>
      </c>
      <c r="W33" s="6" t="s">
        <v>86</v>
      </c>
      <c r="X33" s="6" t="s">
        <v>60</v>
      </c>
      <c r="Y33" s="6" t="s">
        <v>141</v>
      </c>
      <c r="Z33" s="6"/>
      <c r="AA33" s="6" t="s">
        <v>65</v>
      </c>
      <c r="AB33" s="15" t="s">
        <v>88</v>
      </c>
      <c r="AC33" s="16" t="s">
        <v>45</v>
      </c>
      <c r="AD33" s="16" t="s">
        <v>45</v>
      </c>
      <c r="AE33" s="16" t="s">
        <v>116</v>
      </c>
      <c r="AF33" s="16" t="s">
        <v>50</v>
      </c>
      <c r="AG33" s="17" t="s">
        <v>60</v>
      </c>
      <c r="AH33" s="17" t="s">
        <v>62</v>
      </c>
      <c r="AI33" s="17" t="s">
        <v>45</v>
      </c>
      <c r="AJ33" s="17" t="s">
        <v>45</v>
      </c>
      <c r="AK33" s="17" t="s">
        <v>45</v>
      </c>
      <c r="AL33" s="106" t="s">
        <v>963</v>
      </c>
      <c r="AM33" s="107"/>
      <c r="AN33" s="107"/>
      <c r="AO33" s="107"/>
      <c r="AP33" s="108"/>
    </row>
    <row r="34" spans="1:43" s="14" customFormat="1" ht="48" customHeight="1" x14ac:dyDescent="0.4">
      <c r="A34" s="11">
        <v>25</v>
      </c>
      <c r="B34" s="11">
        <v>506</v>
      </c>
      <c r="C34" s="11" t="s">
        <v>80</v>
      </c>
      <c r="D34" s="13" t="s">
        <v>958</v>
      </c>
      <c r="E34" s="33" t="s">
        <v>18</v>
      </c>
      <c r="F34" s="11" t="s">
        <v>959</v>
      </c>
      <c r="G34" s="11" t="s">
        <v>43</v>
      </c>
      <c r="H34" s="11" t="s">
        <v>52</v>
      </c>
      <c r="I34" s="11" t="s">
        <v>84</v>
      </c>
      <c r="J34" s="11" t="s">
        <v>85</v>
      </c>
      <c r="K34" s="11" t="s">
        <v>60</v>
      </c>
      <c r="L34" s="11" t="s">
        <v>92</v>
      </c>
      <c r="M34" s="11" t="s">
        <v>45</v>
      </c>
      <c r="N34" s="11" t="s">
        <v>45</v>
      </c>
      <c r="O34" s="11" t="s">
        <v>23</v>
      </c>
      <c r="P34" s="11" t="s">
        <v>84</v>
      </c>
      <c r="Q34" s="11" t="s">
        <v>86</v>
      </c>
      <c r="R34" s="11">
        <v>750</v>
      </c>
      <c r="S34" s="40" t="s">
        <v>39</v>
      </c>
      <c r="T34" s="11">
        <v>900</v>
      </c>
      <c r="U34" s="11" t="s">
        <v>45</v>
      </c>
      <c r="V34" s="11" t="s">
        <v>84</v>
      </c>
      <c r="W34" s="11" t="s">
        <v>86</v>
      </c>
      <c r="X34" s="40" t="s">
        <v>60</v>
      </c>
      <c r="Y34" s="40" t="s">
        <v>141</v>
      </c>
      <c r="Z34" s="40"/>
      <c r="AA34" s="40" t="s">
        <v>65</v>
      </c>
      <c r="AB34" s="12" t="s">
        <v>19</v>
      </c>
      <c r="AC34" s="11" t="s">
        <v>45</v>
      </c>
      <c r="AD34" s="11" t="s">
        <v>45</v>
      </c>
      <c r="AE34" s="11" t="s">
        <v>116</v>
      </c>
      <c r="AF34" s="11" t="s">
        <v>50</v>
      </c>
      <c r="AG34" s="13" t="s">
        <v>60</v>
      </c>
      <c r="AH34" s="13" t="s">
        <v>62</v>
      </c>
      <c r="AI34" s="13" t="s">
        <v>23</v>
      </c>
      <c r="AJ34" s="13" t="s">
        <v>45</v>
      </c>
      <c r="AK34" s="13" t="s">
        <v>23</v>
      </c>
      <c r="AL34" s="133" t="s">
        <v>960</v>
      </c>
      <c r="AM34" s="134"/>
      <c r="AN34" s="134"/>
      <c r="AO34" s="134"/>
      <c r="AP34" s="135"/>
    </row>
    <row r="35" spans="1:43" s="2" customFormat="1" ht="11.25" customHeight="1" x14ac:dyDescent="0.4">
      <c r="A35" s="118" t="s">
        <v>12</v>
      </c>
      <c r="B35" s="119"/>
      <c r="C35" s="119"/>
      <c r="D35" s="119"/>
      <c r="E35" s="120"/>
      <c r="F35" s="127">
        <f>COUNTA(D5:D34)</f>
        <v>29</v>
      </c>
      <c r="G35" s="20" t="str">
        <f>"所有→"&amp;COUNTIF(G5:G34,"所有")&amp;"戸"</f>
        <v>所有→27戸</v>
      </c>
      <c r="H35" s="20" t="str">
        <f>"未更新→"&amp;COUNTIF(H5:H34,"未更新")&amp;"戸"</f>
        <v>未更新→27戸</v>
      </c>
      <c r="I35" s="20" t="str">
        <f>"クロス→"&amp;COUNTIF(I5:I34,"クロス")&amp;"戸"</f>
        <v>クロス→29戸</v>
      </c>
      <c r="J35" s="20" t="str">
        <f>"ベニヤ→"&amp;COUNTIF(J5:J34,"ベニヤ")&amp;"戸"</f>
        <v>ベニヤ→25戸</v>
      </c>
      <c r="K35" s="20" t="str">
        <f>"既存→"&amp;COUNTIF(K5:K34,"既存")&amp;"戸"</f>
        <v>既存→2戸</v>
      </c>
      <c r="L35" s="20" t="str">
        <f>"普通便座→"&amp;COUNTIF(L5:L34,"普通便座")&amp;"戸"</f>
        <v>普通便座→2戸</v>
      </c>
      <c r="M35" s="20" t="str">
        <f>"有→"&amp;COUNTIF(M5:M34,"有")&amp;"戸"</f>
        <v>有→3戸</v>
      </c>
      <c r="N35" s="20" t="str">
        <f>"有→"&amp;COUNTIF(N5:N34,"有")&amp;"戸"</f>
        <v>有→7戸</v>
      </c>
      <c r="O35" s="20" t="str">
        <f>"有→"&amp;COUNTIF(O5:O34,"有")&amp;"戸"</f>
        <v>有→17戸</v>
      </c>
      <c r="P35" s="20" t="str">
        <f>"クロス→"&amp;COUNTIF(P5:P34,"クロス")&amp;"戸"</f>
        <v>クロス→29戸</v>
      </c>
      <c r="Q35" s="20" t="str">
        <f>"CF→"&amp;COUNTIF(Q5:Q34,"CF")&amp;"戸"</f>
        <v>CF→27戸</v>
      </c>
      <c r="R35" s="20" t="str">
        <f>"1000→"&amp;COUNTIF(R5:R34,"1000")&amp;"戸"</f>
        <v>1000→0戸</v>
      </c>
      <c r="S35" s="20" t="str">
        <f>"可→"&amp;COUNTIF(S5:S34,"可")&amp;"戸"</f>
        <v>可→28戸</v>
      </c>
      <c r="T35" s="20" t="str">
        <f>"900→"&amp;COUNTIF(T5:T34,"900")&amp;"戸"</f>
        <v>900→16戸</v>
      </c>
      <c r="U35" s="20" t="str">
        <f>"有→"&amp;COUNTIF(U5:U34,"有")&amp;"戸"</f>
        <v>有→0戸</v>
      </c>
      <c r="V35" s="20" t="str">
        <f>"クロス→"&amp;COUNTIF(V5:V34,"クロス")&amp;"戸"</f>
        <v>クロス→28戸</v>
      </c>
      <c r="W35" s="20" t="str">
        <f>"CF→"&amp;COUNTIF(W5:W34,"CF")&amp;"戸"</f>
        <v>CF→25戸</v>
      </c>
      <c r="X35" s="20" t="str">
        <f>"既存→"&amp;COUNTIF(X5:X34,"既存")&amp;"戸"</f>
        <v>既存→3戸</v>
      </c>
      <c r="Y35" s="20" t="str">
        <f>"TOTO→"&amp;COUNTIF(Y5:Y34,"TOTO")&amp;"戸"</f>
        <v>TOTO→11戸</v>
      </c>
      <c r="Z35" s="130">
        <f>COUNTA(Z5:Z34)</f>
        <v>12</v>
      </c>
      <c r="AA35" s="20" t="str">
        <f>"可→"&amp;COUNTIF(AA5:AA34,"可")&amp;"戸"</f>
        <v>可→3戸</v>
      </c>
      <c r="AB35" s="20" t="str">
        <f>"既存→"&amp;COUNTIF(AB5:AB34,"既存")&amp;"戸"</f>
        <v>既存→7戸</v>
      </c>
      <c r="AC35" s="130">
        <f>COUNTIF(AC5:AC34,"有")</f>
        <v>10</v>
      </c>
      <c r="AD35" s="130">
        <f>COUNTIF(AD5:AD34,"有")</f>
        <v>15</v>
      </c>
      <c r="AE35" s="20" t="str">
        <f>"ポリ板→"&amp;COUNTIF(AE5:AE34,"ポリ板")&amp;"戸"</f>
        <v>ポリ板→17戸</v>
      </c>
      <c r="AF35" s="20" t="str">
        <f>"ポリ板→"&amp;COUNTIF(AF5:AF34,"ポリ板")&amp;"戸"</f>
        <v>ポリ板→25戸</v>
      </c>
      <c r="AG35" s="20" t="str">
        <f>"既存→"&amp;COUNTIF(AG5:AG34,"既存")&amp;"戸"</f>
        <v>既存→0戸</v>
      </c>
      <c r="AH35" s="20" t="str">
        <f>"洗面所→"&amp;COUNTIF(AH5:AH34,"洗面所")&amp;"戸"</f>
        <v>洗面所→25戸</v>
      </c>
      <c r="AI35" s="130">
        <f>COUNTIF(AI5:AI34,"有")</f>
        <v>5</v>
      </c>
      <c r="AJ35" s="130">
        <f>COUNTIF(AJ5:AJ34,"有")</f>
        <v>13</v>
      </c>
      <c r="AK35" s="130">
        <f>COUNTIF(AK5:AK34,"有")</f>
        <v>14</v>
      </c>
      <c r="AL35" s="109"/>
      <c r="AM35" s="110"/>
      <c r="AN35" s="110"/>
      <c r="AO35" s="110"/>
      <c r="AP35" s="111"/>
      <c r="AQ35" s="41"/>
    </row>
    <row r="36" spans="1:43" s="2" customFormat="1" ht="11.25" customHeight="1" x14ac:dyDescent="0.4">
      <c r="A36" s="121"/>
      <c r="B36" s="122"/>
      <c r="C36" s="122"/>
      <c r="D36" s="122"/>
      <c r="E36" s="123"/>
      <c r="F36" s="128"/>
      <c r="G36" s="35" t="str">
        <f>"賃貸→"&amp;COUNTIF(G5:G34,"賃貸")&amp;"戸"</f>
        <v>賃貸→0戸</v>
      </c>
      <c r="H36" s="35" t="str">
        <f>"更新済み→"&amp;COUNTIF(H5:H34,"更新済み")&amp;"戸"</f>
        <v>更新済み→2戸</v>
      </c>
      <c r="I36" s="35" t="str">
        <f>"珪藻土→"&amp;COUNTIF(I5:I34,"珪藻土")&amp;"戸"</f>
        <v>珪藻土→0戸</v>
      </c>
      <c r="J36" s="35" t="str">
        <f>"クロス→"&amp;COUNTIF(J5:J34,"クロス")&amp;"戸"</f>
        <v>クロス→1戸</v>
      </c>
      <c r="K36" s="35" t="str">
        <f>"タンクレス→"&amp;COUNTIF(K5:K34,"タンクレス")&amp;"戸"</f>
        <v>タンクレス→0戸</v>
      </c>
      <c r="L36" s="35" t="str">
        <f>"暖房便座→"&amp;COUNTIF(L5:L34,"暖房便座")&amp;"戸"</f>
        <v>暖房便座→1戸</v>
      </c>
      <c r="M36" s="35" t="str">
        <f>"無→"&amp;COUNTIF(M5:M34,"無")&amp;"戸"</f>
        <v>無→26戸</v>
      </c>
      <c r="N36" s="35" t="str">
        <f>"無→"&amp;COUNTIF(N5:N34,"無")&amp;"戸"</f>
        <v>無→22戸</v>
      </c>
      <c r="O36" s="35" t="str">
        <f>"無→"&amp;COUNTIF(O5:O34,"無")&amp;"戸"</f>
        <v>無→12戸</v>
      </c>
      <c r="P36" s="35" t="str">
        <f>"珪藻土→"&amp;COUNTIF(P5:P34,"珪藻土")&amp;"戸"</f>
        <v>珪藻土→0戸</v>
      </c>
      <c r="Q36" s="35" t="str">
        <f>"塩ビタイル→"&amp;COUNTIF(Q5:Q34,"塩ビタイル")&amp;"戸"</f>
        <v>塩ビタイル→0戸</v>
      </c>
      <c r="R36" s="35" t="str">
        <f>"900→"&amp;COUNTIF(R5:R34,"900")&amp;"戸"</f>
        <v>900→1戸</v>
      </c>
      <c r="S36" s="35" t="str">
        <f>"不可→"&amp;COUNTIF(S5:S34,"不可")&amp;"戸"</f>
        <v>不可→0戸</v>
      </c>
      <c r="T36" s="35" t="str">
        <f>"800→"&amp;COUNTIF(T5:T34,"800")&amp;"戸"</f>
        <v>800→4戸</v>
      </c>
      <c r="U36" s="35" t="str">
        <f>"無→"&amp;COUNTIF(U5:U34,"無")&amp;"戸"</f>
        <v>無→28戸</v>
      </c>
      <c r="V36" s="35" t="str">
        <f>"珪藻土→"&amp;COUNTIF(V5:V34,"珪藻土")&amp;"戸"</f>
        <v>珪藻土→0戸</v>
      </c>
      <c r="W36" s="35" t="str">
        <f>"塩ビタイル→"&amp;COUNTIF(W5:W34,"塩ビタイル")&amp;"戸"</f>
        <v>塩ビタイル→0戸</v>
      </c>
      <c r="X36" s="35" t="str">
        <f>"リフォーム済み→"&amp;COUNTIF(X5:X34,"リフォーム済み")&amp;"戸"</f>
        <v>リフォーム済み→25戸</v>
      </c>
      <c r="Y36" s="35" t="str">
        <f>"LIXIL→"&amp;COUNTIF(Y5:Y34,"LIXIL")&amp;"戸"</f>
        <v>LIXIL→1戸</v>
      </c>
      <c r="Z36" s="131"/>
      <c r="AA36" s="35" t="str">
        <f>"不可→"&amp;COUNTIF(AA5:AA34,"不可")&amp;"戸"</f>
        <v>不可→25戸</v>
      </c>
      <c r="AB36" s="36" t="str">
        <f>"システム→"&amp;COUNTIF(AB5:AB34,"システム")&amp;"戸"</f>
        <v>システム→21戸</v>
      </c>
      <c r="AC36" s="131"/>
      <c r="AD36" s="131"/>
      <c r="AE36" s="35" t="str">
        <f>"SUS→"&amp;COUNTIF(AE5:AE34,"SUS")&amp;"戸"</f>
        <v>SUS→10戸</v>
      </c>
      <c r="AF36" s="35" t="str">
        <f>"SUS→"&amp;COUNTIF(AF5:AF34,"SUS")&amp;"戸"</f>
        <v>SUS→2戸</v>
      </c>
      <c r="AG36" s="35" t="str">
        <f>"リフォーム済み→"&amp;COUNTIF(AG5:AG34,"リフォーム済み")&amp;"戸"</f>
        <v>リフォーム済み→28戸</v>
      </c>
      <c r="AH36" s="35" t="str">
        <f>"ベランダ→"&amp;COUNTIF(AH5:AH34,"ベランダ")&amp;"戸"</f>
        <v>ベランダ→3戸</v>
      </c>
      <c r="AI36" s="131"/>
      <c r="AJ36" s="131"/>
      <c r="AK36" s="131"/>
      <c r="AL36" s="112"/>
      <c r="AM36" s="113"/>
      <c r="AN36" s="113"/>
      <c r="AO36" s="113"/>
      <c r="AP36" s="114"/>
      <c r="AQ36" s="41"/>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その他→3戸</v>
      </c>
      <c r="K37" s="35" t="str">
        <f>"レストパル→"&amp;COUNTIF(K5:K34,"レストパル")&amp;"戸"</f>
        <v>レストパル→0戸</v>
      </c>
      <c r="L37" s="35" t="str">
        <f>"WL→"&amp;COUNTIF(L5:L34,"WL")&amp;"戸"</f>
        <v>WL→26戸</v>
      </c>
      <c r="M37" s="23"/>
      <c r="N37" s="23"/>
      <c r="O37" s="23"/>
      <c r="P37" s="35" t="str">
        <f>"塗装→"&amp;COUNTIF(P5:P34,"塗装")&amp;"戸"</f>
        <v>塗装→0戸</v>
      </c>
      <c r="Q37" s="35" t="str">
        <f>"フローリング→"&amp;COUNTIF(Q5:Q34,"フローリング")&amp;"戸"</f>
        <v>フローリング→0戸</v>
      </c>
      <c r="R37" s="35" t="str">
        <f>"750→"&amp;COUNTIF(R5:R34,"750")&amp;"戸"</f>
        <v>750→13戸</v>
      </c>
      <c r="S37" s="35"/>
      <c r="T37" s="35" t="str">
        <f>"740→"&amp;COUNTIF(T5:T34,"740")&amp;"戸"</f>
        <v>740→2戸</v>
      </c>
      <c r="U37" s="22"/>
      <c r="V37" s="35" t="str">
        <f>"塗装→"&amp;COUNTIF(V5:V34,"塗装")&amp;"戸"</f>
        <v>塗装→0戸</v>
      </c>
      <c r="W37" s="35" t="str">
        <f>"フローリング→"&amp;COUNTIF(W5:W34,"フローリング")&amp;"戸"</f>
        <v>フローリング→1戸</v>
      </c>
      <c r="X37" s="35"/>
      <c r="Y37" s="35" t="str">
        <f>"日立→"&amp;COUNTIF(Y5:Y34,"日立")&amp;"戸"</f>
        <v>日立→12戸</v>
      </c>
      <c r="Z37" s="131"/>
      <c r="AA37" s="35"/>
      <c r="AB37" s="35" t="str">
        <f>"その他→"&amp;COUNTIF(AB5:AB34,"その他")&amp;"戸"</f>
        <v>その他→0戸</v>
      </c>
      <c r="AC37" s="131"/>
      <c r="AD37" s="131"/>
      <c r="AE37" s="35" t="str">
        <f>"ホーロー→"&amp;COUNTIF(AE5:AE34,"ホーロー")&amp;"戸"</f>
        <v>ホーロー→1戸</v>
      </c>
      <c r="AF37" s="35" t="str">
        <f>"ホーロー→"&amp;COUNTIF(AF5:AF34,"ホーロー")&amp;"戸"</f>
        <v>ホーロー→1戸</v>
      </c>
      <c r="AG37" s="35"/>
      <c r="AH37" s="35"/>
      <c r="AI37" s="131"/>
      <c r="AJ37" s="131"/>
      <c r="AK37" s="131"/>
      <c r="AL37" s="112"/>
      <c r="AM37" s="113"/>
      <c r="AN37" s="113"/>
      <c r="AO37" s="113"/>
      <c r="AP37" s="114"/>
      <c r="AQ37" s="41"/>
    </row>
    <row r="38" spans="1:43" s="2" customFormat="1" ht="11.25" customHeight="1" x14ac:dyDescent="0.4">
      <c r="A38" s="124"/>
      <c r="B38" s="125"/>
      <c r="C38" s="125"/>
      <c r="D38" s="125"/>
      <c r="E38" s="126"/>
      <c r="F38" s="129"/>
      <c r="G38" s="35" t="str">
        <f>"空家→"&amp;COUNTIF(G5:G34,"空家")&amp;"戸"</f>
        <v>空家→2戸</v>
      </c>
      <c r="H38" s="39"/>
      <c r="I38" s="28"/>
      <c r="J38" s="27"/>
      <c r="K38" s="35" t="str">
        <f>"一体型→"&amp;COUNTIF(K5:K34,"一体型")&amp;"戸"</f>
        <v>一体型→0戸</v>
      </c>
      <c r="L38" s="28"/>
      <c r="M38" s="28"/>
      <c r="N38" s="28"/>
      <c r="O38" s="28"/>
      <c r="P38" s="28"/>
      <c r="Q38" s="28"/>
      <c r="R38" s="35" t="str">
        <f>"740→"&amp;COUNTIF(R5:R34,"740")&amp;"戸"</f>
        <v>740→9戸</v>
      </c>
      <c r="S38" s="27"/>
      <c r="T38" s="35" t="str">
        <f>"640→"&amp;COUNTIF(T5:T34,"640")&amp;"戸"</f>
        <v>640→4戸</v>
      </c>
      <c r="U38" s="27"/>
      <c r="V38" s="27"/>
      <c r="W38" s="27"/>
      <c r="X38" s="27"/>
      <c r="Y38" s="27"/>
      <c r="Z38" s="132"/>
      <c r="AA38" s="27"/>
      <c r="AB38" s="28"/>
      <c r="AC38" s="132"/>
      <c r="AD38" s="132"/>
      <c r="AE38" s="35" t="str">
        <f>"その他→"&amp;COUNTIF(AE5:AE34,"その他")&amp;"戸"</f>
        <v>その他→0戸</v>
      </c>
      <c r="AF38" s="35" t="str">
        <f>"その他→"&amp;COUNTIF(AF5:AF34,"その他")&amp;"戸"</f>
        <v>その他→0戸</v>
      </c>
      <c r="AG38" s="39"/>
      <c r="AH38" s="39"/>
      <c r="AI38" s="132"/>
      <c r="AJ38" s="132"/>
      <c r="AK38" s="132"/>
      <c r="AL38" s="115"/>
      <c r="AM38" s="116"/>
      <c r="AN38" s="116"/>
      <c r="AO38" s="116"/>
      <c r="AP38" s="117"/>
      <c r="AQ38" s="41"/>
    </row>
    <row r="39" spans="1:43" s="2" customFormat="1" x14ac:dyDescent="0.4">
      <c r="A39" s="31"/>
      <c r="AI39" s="37"/>
      <c r="AJ39" s="37"/>
      <c r="AQ39" s="1"/>
    </row>
  </sheetData>
  <autoFilter ref="AI3:AK4" xr:uid="{C8119E73-8B79-475B-9EF6-1329AA643C6F}"/>
  <mergeCells count="57">
    <mergeCell ref="AL34:AP34"/>
    <mergeCell ref="A35:E38"/>
    <mergeCell ref="F35:F38"/>
    <mergeCell ref="AL35:AP38"/>
    <mergeCell ref="AL28:AP28"/>
    <mergeCell ref="AL29:AP29"/>
    <mergeCell ref="AL30:AP30"/>
    <mergeCell ref="AL31:AP31"/>
    <mergeCell ref="AL32:AP32"/>
    <mergeCell ref="AL33:AP33"/>
    <mergeCell ref="Z35:Z38"/>
    <mergeCell ref="AC35:AC38"/>
    <mergeCell ref="AI35:AI38"/>
    <mergeCell ref="AJ35:AJ38"/>
    <mergeCell ref="AK35:AK38"/>
    <mergeCell ref="AD35:AD38"/>
    <mergeCell ref="AL27:AP27"/>
    <mergeCell ref="AL15:AP15"/>
    <mergeCell ref="AL16:AP16"/>
    <mergeCell ref="AL17:AP17"/>
    <mergeCell ref="AL18:AP18"/>
    <mergeCell ref="AL19:AP19"/>
    <mergeCell ref="AL20:AP20"/>
    <mergeCell ref="AL21:AP21"/>
    <mergeCell ref="AL22:AP22"/>
    <mergeCell ref="AL23:AP23"/>
    <mergeCell ref="AL24:AP24"/>
    <mergeCell ref="AL26:AP26"/>
    <mergeCell ref="AL25:AP25"/>
    <mergeCell ref="AL14:AP14"/>
    <mergeCell ref="AK3:AK4"/>
    <mergeCell ref="AL3:AP4"/>
    <mergeCell ref="AL5:AP5"/>
    <mergeCell ref="AL6:AP6"/>
    <mergeCell ref="AL7:AP7"/>
    <mergeCell ref="AL8:AP8"/>
    <mergeCell ref="AL9:AP9"/>
    <mergeCell ref="AL10:AP10"/>
    <mergeCell ref="AL11:AP11"/>
    <mergeCell ref="AL12:AP12"/>
    <mergeCell ref="AL13:AP13"/>
    <mergeCell ref="AJ3:AJ4"/>
    <mergeCell ref="A1:AP2"/>
    <mergeCell ref="A3:A4"/>
    <mergeCell ref="B3:B4"/>
    <mergeCell ref="C3:C4"/>
    <mergeCell ref="D3:E4"/>
    <mergeCell ref="F3:F4"/>
    <mergeCell ref="G3:G4"/>
    <mergeCell ref="H3:H4"/>
    <mergeCell ref="I3:J3"/>
    <mergeCell ref="K3:Q3"/>
    <mergeCell ref="R3:W3"/>
    <mergeCell ref="X3:AA3"/>
    <mergeCell ref="AB3:AF3"/>
    <mergeCell ref="AG3:AH3"/>
    <mergeCell ref="AI3:AI4"/>
  </mergeCells>
  <phoneticPr fontId="1"/>
  <dataValidations count="1">
    <dataValidation imeMode="off" allowBlank="1" showInputMessage="1" showErrorMessage="1" sqref="C1:C3 A39:C1048576 A1:A35 B1:B34 C5:C34" xr:uid="{EEC8B84B-D338-4673-A450-C6372D1E59C0}"/>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1DD1BD6A-F8E2-46A5-9A7A-6D18C062BC9A}">
          <x14:formula1>
            <xm:f>Sheet1!$G$6:$G$7</xm:f>
          </x14:formula1>
          <xm:sqref>S5:S34 AA5:AA34</xm:sqref>
        </x14:dataValidation>
        <x14:dataValidation type="list" allowBlank="1" showInputMessage="1" showErrorMessage="1" xr:uid="{E7E5E802-800A-4F0C-9DB8-242BC0ED31EB}">
          <x14:formula1>
            <xm:f>Sheet1!$I$1:$I$2</xm:f>
          </x14:formula1>
          <xm:sqref>X5:X34</xm:sqref>
        </x14:dataValidation>
        <x14:dataValidation type="list" allowBlank="1" showInputMessage="1" showErrorMessage="1" xr:uid="{27A7E26B-0EF0-4FA4-BAC6-D6F3BCCB8569}">
          <x14:formula1>
            <xm:f>Sheet1!$G$17:$G$18</xm:f>
          </x14:formula1>
          <xm:sqref>AH5:AH34</xm:sqref>
        </x14:dataValidation>
        <x14:dataValidation type="list" allowBlank="1" showInputMessage="1" showErrorMessage="1" xr:uid="{583B1069-E8D0-427E-BB64-0A4212243F31}">
          <x14:formula1>
            <xm:f>Sheet1!$E$17:$E$18</xm:f>
          </x14:formula1>
          <xm:sqref>AG5:AG34</xm:sqref>
        </x14:dataValidation>
        <x14:dataValidation type="list" allowBlank="1" showInputMessage="1" showErrorMessage="1" xr:uid="{E0609961-7101-4B29-8058-C4279D7645F1}">
          <x14:formula1>
            <xm:f>Sheet1!$G$1:$G$4</xm:f>
          </x14:formula1>
          <xm:sqref>AE5:AF34</xm:sqref>
        </x14:dataValidation>
        <x14:dataValidation type="list" allowBlank="1" showInputMessage="1" showErrorMessage="1" xr:uid="{F6A15C00-4288-4F11-966A-9D24CADDCD47}">
          <x14:formula1>
            <xm:f>Sheet1!$A$13:$A$15</xm:f>
          </x14:formula1>
          <xm:sqref>AB5:AB34</xm:sqref>
        </x14:dataValidation>
        <x14:dataValidation type="list" allowBlank="1" showInputMessage="1" showErrorMessage="1" xr:uid="{C84232BF-82EF-425A-8F25-CF8050515BB4}">
          <x14:formula1>
            <xm:f>Sheet1!$C$17:$C$20</xm:f>
          </x14:formula1>
          <xm:sqref>T17:T34 T5:T11 T13:T15</xm:sqref>
        </x14:dataValidation>
        <x14:dataValidation type="list" allowBlank="1" showInputMessage="1" showErrorMessage="1" xr:uid="{5F3EBA52-88B0-4004-A19D-4F87DE3EBA01}">
          <x14:formula1>
            <xm:f>Sheet1!$A$17:$A$20</xm:f>
          </x14:formula1>
          <xm:sqref>R12:R13 R20 R8:R10 R22 R17:R18 R34 R25 R27:R32</xm:sqref>
        </x14:dataValidation>
        <x14:dataValidation type="list" allowBlank="1" showInputMessage="1" showErrorMessage="1" xr:uid="{A6C3786F-4DD4-4712-A04C-37E7ACBA52BF}">
          <x14:formula1>
            <xm:f>Sheet1!$C$6:$C$7</xm:f>
          </x14:formula1>
          <xm:sqref>M5:O34 AC5:AD34 U5:U34 AJ5:AK34</xm:sqref>
        </x14:dataValidation>
        <x14:dataValidation type="list" allowBlank="1" showInputMessage="1" showErrorMessage="1" xr:uid="{080D09E4-4DBA-47DB-ABA0-22E4711B8CA8}">
          <x14:formula1>
            <xm:f>Sheet1!$E$9:$E$11</xm:f>
          </x14:formula1>
          <xm:sqref>L5:L34</xm:sqref>
        </x14:dataValidation>
        <x14:dataValidation type="list" allowBlank="1" showInputMessage="1" showErrorMessage="1" xr:uid="{49DB26A1-8ACA-4BC6-AE28-A0659A6D72E4}">
          <x14:formula1>
            <xm:f>Sheet1!$G$9:$G$12</xm:f>
          </x14:formula1>
          <xm:sqref>K5:K34</xm:sqref>
        </x14:dataValidation>
        <x14:dataValidation type="list" allowBlank="1" showInputMessage="1" showErrorMessage="1" xr:uid="{3C582707-D226-4A0F-AE13-DB68B531F1C0}">
          <x14:formula1>
            <xm:f>Sheet1!$D$1:$D$3</xm:f>
          </x14:formula1>
          <xm:sqref>J5:J34</xm:sqref>
        </x14:dataValidation>
        <x14:dataValidation type="list" allowBlank="1" showInputMessage="1" showErrorMessage="1" xr:uid="{F5E4B101-4BCA-4F75-9CE9-2F74BB9CA95E}">
          <x14:formula1>
            <xm:f>Sheet1!$A$9:$A$11</xm:f>
          </x14:formula1>
          <xm:sqref>V5:V34 P5:P34 I5:I34</xm:sqref>
        </x14:dataValidation>
        <x14:dataValidation type="list" allowBlank="1" showInputMessage="1" showErrorMessage="1" xr:uid="{0DDF6C9C-6D4F-4D46-A6D2-879852F9EE76}">
          <x14:formula1>
            <xm:f>Sheet1!$A$6:$A$7</xm:f>
          </x14:formula1>
          <xm:sqref>H5:H34</xm:sqref>
        </x14:dataValidation>
        <x14:dataValidation type="list" allowBlank="1" showInputMessage="1" showErrorMessage="1" xr:uid="{FED95C1B-0131-4E3A-8505-35554A6B00BD}">
          <x14:formula1>
            <xm:f>Sheet1!$A$1:$A$4</xm:f>
          </x14:formula1>
          <xm:sqref>G5:G34</xm:sqref>
        </x14:dataValidation>
        <x14:dataValidation type="list" allowBlank="1" showInputMessage="1" showErrorMessage="1" xr:uid="{D44B9429-AF13-4843-9C3B-332B4C974E5C}">
          <x14:formula1>
            <xm:f>Sheet1!$C$9:$C$11</xm:f>
          </x14:formula1>
          <xm:sqref>W31:W34 W5:W13 Q5:Q21 W15:W29 Q23:Q29 Q31:Q34</xm:sqref>
        </x14:dataValidation>
        <x14:dataValidation type="list" allowBlank="1" showInputMessage="1" showErrorMessage="1" xr:uid="{946B171C-4520-489C-8DC9-8DDC56B1C6BC}">
          <x14:formula1>
            <xm:f>Sheet1!$C$6:$C$8</xm:f>
          </x14:formula1>
          <xm:sqref>AI5:AI34</xm:sqref>
        </x14:dataValidation>
        <x14:dataValidation type="list" allowBlank="1" showInputMessage="1" showErrorMessage="1" xr:uid="{E895114B-1782-4F58-9C18-C67718736B55}">
          <x14:formula1>
            <xm:f>Sheet1!$I$9:$I$13</xm:f>
          </x14:formula1>
          <xm:sqref>Y5:Y34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F3D50-D44C-4160-888B-A0687D033DE6}">
  <sheetPr codeName="Sheet26">
    <tabColor theme="4" tint="0.39997558519241921"/>
  </sheetPr>
  <dimension ref="A1:AT29"/>
  <sheetViews>
    <sheetView view="pageBreakPreview" zoomScaleNormal="40" zoomScaleSheetLayoutView="70" workbookViewId="0">
      <pane xSplit="5" ySplit="4" topLeftCell="AI20" activePane="bottomRight" state="frozen"/>
      <selection activeCell="A5" sqref="A5:F23"/>
      <selection pane="topRight" activeCell="A5" sqref="A5:F23"/>
      <selection pane="bottomLeft" activeCell="A5" sqref="A5:F23"/>
      <selection pane="bottomRight" activeCell="AI25" sqref="AI25:AI2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910</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6" s="10" customFormat="1" ht="44.25" customHeight="1" x14ac:dyDescent="0.4">
      <c r="A5" s="6">
        <v>26</v>
      </c>
      <c r="B5" s="6">
        <v>101</v>
      </c>
      <c r="C5" s="6" t="s">
        <v>80</v>
      </c>
      <c r="D5" s="18" t="s">
        <v>790</v>
      </c>
      <c r="E5" s="32" t="s">
        <v>18</v>
      </c>
      <c r="F5" s="6" t="s">
        <v>791</v>
      </c>
      <c r="G5" s="6" t="s">
        <v>43</v>
      </c>
      <c r="H5" s="6" t="s">
        <v>52</v>
      </c>
      <c r="I5" s="6" t="s">
        <v>84</v>
      </c>
      <c r="J5" s="6" t="s">
        <v>85</v>
      </c>
      <c r="K5" s="6" t="s">
        <v>60</v>
      </c>
      <c r="L5" s="6" t="s">
        <v>92</v>
      </c>
      <c r="M5" s="6" t="s">
        <v>45</v>
      </c>
      <c r="N5" s="6" t="s">
        <v>23</v>
      </c>
      <c r="O5" s="6" t="s">
        <v>45</v>
      </c>
      <c r="P5" s="6" t="s">
        <v>84</v>
      </c>
      <c r="Q5" s="6" t="s">
        <v>86</v>
      </c>
      <c r="R5" s="6">
        <v>750</v>
      </c>
      <c r="S5" s="16" t="s">
        <v>39</v>
      </c>
      <c r="T5" s="6">
        <v>900</v>
      </c>
      <c r="U5" s="6" t="s">
        <v>23</v>
      </c>
      <c r="V5" s="6" t="s">
        <v>84</v>
      </c>
      <c r="W5" s="6" t="s">
        <v>86</v>
      </c>
      <c r="X5" s="16" t="s">
        <v>60</v>
      </c>
      <c r="Y5" s="16" t="s">
        <v>87</v>
      </c>
      <c r="Z5" s="16" t="s">
        <v>792</v>
      </c>
      <c r="AA5" s="16" t="s">
        <v>65</v>
      </c>
      <c r="AB5" s="7" t="s">
        <v>88</v>
      </c>
      <c r="AC5" s="8" t="s">
        <v>45</v>
      </c>
      <c r="AD5" s="8" t="s">
        <v>45</v>
      </c>
      <c r="AE5" s="8" t="s">
        <v>116</v>
      </c>
      <c r="AF5" s="16" t="s">
        <v>50</v>
      </c>
      <c r="AG5" s="17" t="s">
        <v>60</v>
      </c>
      <c r="AH5" s="17" t="s">
        <v>62</v>
      </c>
      <c r="AI5" s="17" t="s">
        <v>45</v>
      </c>
      <c r="AJ5" s="17" t="s">
        <v>23</v>
      </c>
      <c r="AK5" s="9" t="s">
        <v>45</v>
      </c>
      <c r="AL5" s="140" t="s">
        <v>801</v>
      </c>
      <c r="AM5" s="104"/>
      <c r="AN5" s="104"/>
      <c r="AO5" s="104"/>
      <c r="AP5" s="105"/>
    </row>
    <row r="6" spans="1:46" s="14" customFormat="1" ht="37.5" customHeight="1" x14ac:dyDescent="0.4">
      <c r="A6" s="11">
        <v>26</v>
      </c>
      <c r="B6" s="11">
        <v>201</v>
      </c>
      <c r="C6" s="11" t="s">
        <v>80</v>
      </c>
      <c r="D6" s="13" t="s">
        <v>781</v>
      </c>
      <c r="E6" s="33" t="s">
        <v>18</v>
      </c>
      <c r="F6" s="11" t="s">
        <v>782</v>
      </c>
      <c r="G6" s="11" t="s">
        <v>43</v>
      </c>
      <c r="H6" s="11" t="s">
        <v>52</v>
      </c>
      <c r="I6" s="11" t="s">
        <v>84</v>
      </c>
      <c r="J6" s="11" t="s">
        <v>85</v>
      </c>
      <c r="K6" s="11" t="s">
        <v>60</v>
      </c>
      <c r="L6" s="11" t="s">
        <v>92</v>
      </c>
      <c r="M6" s="11" t="s">
        <v>45</v>
      </c>
      <c r="N6" s="11" t="s">
        <v>45</v>
      </c>
      <c r="O6" s="11" t="s">
        <v>23</v>
      </c>
      <c r="P6" s="11" t="s">
        <v>84</v>
      </c>
      <c r="Q6" s="11" t="s">
        <v>86</v>
      </c>
      <c r="R6" s="11">
        <v>1000</v>
      </c>
      <c r="S6" s="40" t="s">
        <v>39</v>
      </c>
      <c r="T6" s="11">
        <v>900</v>
      </c>
      <c r="U6" s="11" t="s">
        <v>45</v>
      </c>
      <c r="V6" s="11" t="s">
        <v>84</v>
      </c>
      <c r="W6" s="11" t="s">
        <v>86</v>
      </c>
      <c r="X6" s="40" t="s">
        <v>60</v>
      </c>
      <c r="Y6" s="40" t="s">
        <v>141</v>
      </c>
      <c r="Z6" s="40"/>
      <c r="AA6" s="40" t="s">
        <v>65</v>
      </c>
      <c r="AB6" s="12" t="s">
        <v>88</v>
      </c>
      <c r="AC6" s="11" t="s">
        <v>45</v>
      </c>
      <c r="AD6" s="11" t="s">
        <v>45</v>
      </c>
      <c r="AE6" s="11" t="s">
        <v>116</v>
      </c>
      <c r="AF6" s="11" t="s">
        <v>50</v>
      </c>
      <c r="AG6" s="13" t="s">
        <v>60</v>
      </c>
      <c r="AH6" s="13" t="s">
        <v>62</v>
      </c>
      <c r="AI6" s="13" t="s">
        <v>45</v>
      </c>
      <c r="AJ6" s="13" t="s">
        <v>23</v>
      </c>
      <c r="AK6" s="13" t="s">
        <v>23</v>
      </c>
      <c r="AL6" s="133" t="s">
        <v>802</v>
      </c>
      <c r="AM6" s="95"/>
      <c r="AN6" s="95"/>
      <c r="AO6" s="95"/>
      <c r="AP6" s="96"/>
    </row>
    <row r="7" spans="1:46" s="10" customFormat="1" ht="31.5" customHeight="1" x14ac:dyDescent="0.4">
      <c r="A7" s="6">
        <v>26</v>
      </c>
      <c r="B7" s="6">
        <v>301</v>
      </c>
      <c r="C7" s="6" t="s">
        <v>80</v>
      </c>
      <c r="D7" s="18" t="s">
        <v>778</v>
      </c>
      <c r="E7" s="34" t="s">
        <v>18</v>
      </c>
      <c r="F7" s="6" t="s">
        <v>779</v>
      </c>
      <c r="G7" s="6" t="s">
        <v>43</v>
      </c>
      <c r="H7" s="6" t="s">
        <v>52</v>
      </c>
      <c r="I7" s="6" t="s">
        <v>84</v>
      </c>
      <c r="J7" s="6" t="s">
        <v>85</v>
      </c>
      <c r="K7" s="6" t="s">
        <v>60</v>
      </c>
      <c r="L7" s="6" t="s">
        <v>92</v>
      </c>
      <c r="M7" s="6" t="s">
        <v>45</v>
      </c>
      <c r="N7" s="6" t="s">
        <v>45</v>
      </c>
      <c r="O7" s="6" t="s">
        <v>23</v>
      </c>
      <c r="P7" s="6" t="s">
        <v>84</v>
      </c>
      <c r="Q7" s="6" t="s">
        <v>86</v>
      </c>
      <c r="R7" s="6" t="s">
        <v>780</v>
      </c>
      <c r="S7" s="6" t="s">
        <v>39</v>
      </c>
      <c r="T7" s="6">
        <v>900</v>
      </c>
      <c r="U7" s="6" t="s">
        <v>45</v>
      </c>
      <c r="V7" s="6" t="s">
        <v>84</v>
      </c>
      <c r="W7" s="6" t="s">
        <v>86</v>
      </c>
      <c r="X7" s="6" t="s">
        <v>60</v>
      </c>
      <c r="Y7" s="6" t="s">
        <v>141</v>
      </c>
      <c r="Z7" s="6"/>
      <c r="AA7" s="6" t="s">
        <v>65</v>
      </c>
      <c r="AB7" s="15" t="s">
        <v>88</v>
      </c>
      <c r="AC7" s="16" t="s">
        <v>45</v>
      </c>
      <c r="AD7" s="16" t="s">
        <v>45</v>
      </c>
      <c r="AE7" s="16" t="s">
        <v>116</v>
      </c>
      <c r="AF7" s="16" t="s">
        <v>50</v>
      </c>
      <c r="AG7" s="17" t="s">
        <v>60</v>
      </c>
      <c r="AH7" s="17" t="s">
        <v>62</v>
      </c>
      <c r="AI7" s="17" t="s">
        <v>45</v>
      </c>
      <c r="AJ7" s="17" t="s">
        <v>45</v>
      </c>
      <c r="AK7" s="17" t="s">
        <v>23</v>
      </c>
      <c r="AL7" s="106" t="s">
        <v>803</v>
      </c>
      <c r="AM7" s="79"/>
      <c r="AN7" s="79"/>
      <c r="AO7" s="79"/>
      <c r="AP7" s="80"/>
    </row>
    <row r="8" spans="1:46" s="14" customFormat="1" ht="58.5" customHeight="1" x14ac:dyDescent="0.4">
      <c r="A8" s="11">
        <v>26</v>
      </c>
      <c r="B8" s="11">
        <v>401</v>
      </c>
      <c r="C8" s="11" t="s">
        <v>80</v>
      </c>
      <c r="D8" s="13" t="s">
        <v>769</v>
      </c>
      <c r="E8" s="33" t="s">
        <v>18</v>
      </c>
      <c r="F8" s="11" t="s">
        <v>770</v>
      </c>
      <c r="G8" s="11" t="s">
        <v>43</v>
      </c>
      <c r="H8" s="11" t="s">
        <v>52</v>
      </c>
      <c r="I8" s="11" t="s">
        <v>84</v>
      </c>
      <c r="J8" s="11" t="s">
        <v>85</v>
      </c>
      <c r="K8" s="11" t="s">
        <v>60</v>
      </c>
      <c r="L8" s="11" t="s">
        <v>20</v>
      </c>
      <c r="M8" s="11" t="s">
        <v>45</v>
      </c>
      <c r="N8" s="11" t="s">
        <v>45</v>
      </c>
      <c r="O8" s="11" t="s">
        <v>45</v>
      </c>
      <c r="P8" s="11" t="s">
        <v>84</v>
      </c>
      <c r="Q8" s="11" t="s">
        <v>86</v>
      </c>
      <c r="R8" s="11">
        <v>740</v>
      </c>
      <c r="S8" s="40" t="s">
        <v>39</v>
      </c>
      <c r="T8" s="11">
        <v>900</v>
      </c>
      <c r="U8" s="11" t="s">
        <v>45</v>
      </c>
      <c r="V8" s="11" t="s">
        <v>84</v>
      </c>
      <c r="W8" s="11" t="s">
        <v>86</v>
      </c>
      <c r="X8" s="40" t="s">
        <v>60</v>
      </c>
      <c r="Y8" s="40" t="s">
        <v>87</v>
      </c>
      <c r="Z8" s="40" t="s">
        <v>771</v>
      </c>
      <c r="AA8" s="40" t="s">
        <v>65</v>
      </c>
      <c r="AB8" s="12" t="s">
        <v>88</v>
      </c>
      <c r="AC8" s="11" t="s">
        <v>45</v>
      </c>
      <c r="AD8" s="11" t="s">
        <v>45</v>
      </c>
      <c r="AE8" s="11" t="s">
        <v>50</v>
      </c>
      <c r="AF8" s="11" t="s">
        <v>50</v>
      </c>
      <c r="AG8" s="13" t="s">
        <v>60</v>
      </c>
      <c r="AH8" s="13" t="s">
        <v>62</v>
      </c>
      <c r="AI8" s="13" t="s">
        <v>45</v>
      </c>
      <c r="AJ8" s="13" t="s">
        <v>45</v>
      </c>
      <c r="AK8" s="13" t="s">
        <v>23</v>
      </c>
      <c r="AL8" s="133" t="s">
        <v>804</v>
      </c>
      <c r="AM8" s="95"/>
      <c r="AN8" s="95"/>
      <c r="AO8" s="95"/>
      <c r="AP8" s="96"/>
    </row>
    <row r="9" spans="1:46" s="10" customFormat="1" ht="31.5" customHeight="1" x14ac:dyDescent="0.4">
      <c r="A9" s="6">
        <v>26</v>
      </c>
      <c r="B9" s="6">
        <v>501</v>
      </c>
      <c r="C9" s="6" t="s">
        <v>80</v>
      </c>
      <c r="D9" s="18" t="s">
        <v>833</v>
      </c>
      <c r="E9" s="34" t="s">
        <v>18</v>
      </c>
      <c r="F9" s="6" t="s">
        <v>834</v>
      </c>
      <c r="G9" s="6" t="s">
        <v>43</v>
      </c>
      <c r="H9" s="6" t="s">
        <v>52</v>
      </c>
      <c r="I9" s="6" t="s">
        <v>84</v>
      </c>
      <c r="J9" s="6" t="s">
        <v>85</v>
      </c>
      <c r="K9" s="6" t="s">
        <v>60</v>
      </c>
      <c r="L9" s="6" t="s">
        <v>92</v>
      </c>
      <c r="M9" s="6" t="s">
        <v>45</v>
      </c>
      <c r="N9" s="6" t="s">
        <v>45</v>
      </c>
      <c r="O9" s="6" t="s">
        <v>23</v>
      </c>
      <c r="P9" s="6" t="s">
        <v>84</v>
      </c>
      <c r="Q9" s="6" t="s">
        <v>86</v>
      </c>
      <c r="R9" s="6">
        <v>750</v>
      </c>
      <c r="S9" s="6" t="s">
        <v>39</v>
      </c>
      <c r="T9" s="6">
        <v>900</v>
      </c>
      <c r="U9" s="6" t="s">
        <v>45</v>
      </c>
      <c r="V9" s="6" t="s">
        <v>84</v>
      </c>
      <c r="W9" s="6" t="s">
        <v>86</v>
      </c>
      <c r="X9" s="6" t="s">
        <v>60</v>
      </c>
      <c r="Y9" s="6" t="s">
        <v>87</v>
      </c>
      <c r="Z9" s="6" t="s">
        <v>835</v>
      </c>
      <c r="AA9" s="6" t="s">
        <v>65</v>
      </c>
      <c r="AB9" s="15" t="s">
        <v>88</v>
      </c>
      <c r="AC9" s="16" t="s">
        <v>23</v>
      </c>
      <c r="AD9" s="16" t="s">
        <v>23</v>
      </c>
      <c r="AE9" s="16" t="s">
        <v>50</v>
      </c>
      <c r="AF9" s="16" t="s">
        <v>50</v>
      </c>
      <c r="AG9" s="17" t="s">
        <v>60</v>
      </c>
      <c r="AH9" s="17" t="s">
        <v>62</v>
      </c>
      <c r="AI9" s="17" t="s">
        <v>241</v>
      </c>
      <c r="AJ9" s="17" t="s">
        <v>23</v>
      </c>
      <c r="AK9" s="17" t="s">
        <v>45</v>
      </c>
      <c r="AL9" s="106" t="s">
        <v>836</v>
      </c>
      <c r="AM9" s="79"/>
      <c r="AN9" s="79"/>
      <c r="AO9" s="79"/>
      <c r="AP9" s="80"/>
    </row>
    <row r="10" spans="1:46" s="14" customFormat="1" ht="89.25" customHeight="1" x14ac:dyDescent="0.4">
      <c r="A10" s="11">
        <v>26</v>
      </c>
      <c r="B10" s="11">
        <v>102</v>
      </c>
      <c r="C10" s="11" t="s">
        <v>80</v>
      </c>
      <c r="D10" s="13" t="s">
        <v>894</v>
      </c>
      <c r="E10" s="33" t="s">
        <v>18</v>
      </c>
      <c r="F10" s="45" t="s">
        <v>895</v>
      </c>
      <c r="G10" s="11" t="s">
        <v>43</v>
      </c>
      <c r="H10" s="11" t="s">
        <v>52</v>
      </c>
      <c r="I10" s="11" t="s">
        <v>84</v>
      </c>
      <c r="J10" s="11" t="s">
        <v>46</v>
      </c>
      <c r="K10" s="11" t="s">
        <v>361</v>
      </c>
      <c r="L10" s="11" t="s">
        <v>92</v>
      </c>
      <c r="M10" s="11" t="s">
        <v>45</v>
      </c>
      <c r="N10" s="11" t="s">
        <v>23</v>
      </c>
      <c r="O10" s="11" t="s">
        <v>45</v>
      </c>
      <c r="P10" s="11" t="s">
        <v>84</v>
      </c>
      <c r="Q10" s="11" t="s">
        <v>25</v>
      </c>
      <c r="R10" s="11" t="s">
        <v>896</v>
      </c>
      <c r="S10" s="40" t="s">
        <v>65</v>
      </c>
      <c r="T10" s="11">
        <v>640</v>
      </c>
      <c r="U10" s="11" t="s">
        <v>45</v>
      </c>
      <c r="V10" s="11" t="s">
        <v>84</v>
      </c>
      <c r="W10" s="11" t="s">
        <v>25</v>
      </c>
      <c r="X10" s="40" t="s">
        <v>60</v>
      </c>
      <c r="Y10" s="40" t="s">
        <v>344</v>
      </c>
      <c r="Z10" s="40"/>
      <c r="AA10" s="40" t="s">
        <v>65</v>
      </c>
      <c r="AB10" s="12" t="s">
        <v>88</v>
      </c>
      <c r="AC10" s="11" t="s">
        <v>45</v>
      </c>
      <c r="AD10" s="11" t="s">
        <v>23</v>
      </c>
      <c r="AE10" s="11" t="s">
        <v>50</v>
      </c>
      <c r="AF10" s="11" t="s">
        <v>50</v>
      </c>
      <c r="AG10" s="13" t="s">
        <v>60</v>
      </c>
      <c r="AH10" s="13" t="s">
        <v>96</v>
      </c>
      <c r="AI10" s="13" t="s">
        <v>45</v>
      </c>
      <c r="AJ10" s="13" t="s">
        <v>23</v>
      </c>
      <c r="AK10" s="13" t="s">
        <v>45</v>
      </c>
      <c r="AL10" s="133" t="s">
        <v>897</v>
      </c>
      <c r="AM10" s="134"/>
      <c r="AN10" s="134"/>
      <c r="AO10" s="134"/>
      <c r="AP10" s="135"/>
    </row>
    <row r="11" spans="1:46" s="10" customFormat="1" ht="30" customHeight="1" x14ac:dyDescent="0.4">
      <c r="A11" s="6">
        <v>26</v>
      </c>
      <c r="B11" s="6">
        <v>202</v>
      </c>
      <c r="C11" s="6" t="s">
        <v>80</v>
      </c>
      <c r="D11" s="18" t="s">
        <v>787</v>
      </c>
      <c r="E11" s="34" t="s">
        <v>18</v>
      </c>
      <c r="F11" s="6" t="s">
        <v>788</v>
      </c>
      <c r="G11" s="6" t="s">
        <v>43</v>
      </c>
      <c r="H11" s="6" t="s">
        <v>52</v>
      </c>
      <c r="I11" s="6" t="s">
        <v>84</v>
      </c>
      <c r="J11" s="6" t="s">
        <v>85</v>
      </c>
      <c r="K11" s="6" t="s">
        <v>60</v>
      </c>
      <c r="L11" s="6" t="s">
        <v>92</v>
      </c>
      <c r="M11" s="6" t="s">
        <v>45</v>
      </c>
      <c r="N11" s="6" t="s">
        <v>45</v>
      </c>
      <c r="O11" s="6" t="s">
        <v>45</v>
      </c>
      <c r="P11" s="6" t="s">
        <v>84</v>
      </c>
      <c r="Q11" s="6" t="s">
        <v>86</v>
      </c>
      <c r="R11" s="6">
        <v>750</v>
      </c>
      <c r="S11" s="6" t="s">
        <v>39</v>
      </c>
      <c r="T11" s="6">
        <v>900</v>
      </c>
      <c r="U11" s="6" t="s">
        <v>45</v>
      </c>
      <c r="V11" s="6" t="s">
        <v>84</v>
      </c>
      <c r="W11" s="6" t="s">
        <v>86</v>
      </c>
      <c r="X11" s="6" t="s">
        <v>60</v>
      </c>
      <c r="Y11" s="6" t="s">
        <v>87</v>
      </c>
      <c r="Z11" s="6" t="s">
        <v>789</v>
      </c>
      <c r="AA11" s="6" t="s">
        <v>65</v>
      </c>
      <c r="AB11" s="15" t="s">
        <v>19</v>
      </c>
      <c r="AC11" s="16" t="s">
        <v>45</v>
      </c>
      <c r="AD11" s="16" t="s">
        <v>45</v>
      </c>
      <c r="AE11" s="16" t="s">
        <v>116</v>
      </c>
      <c r="AF11" s="16" t="s">
        <v>50</v>
      </c>
      <c r="AG11" s="17" t="s">
        <v>60</v>
      </c>
      <c r="AH11" s="17" t="s">
        <v>62</v>
      </c>
      <c r="AI11" s="17" t="s">
        <v>45</v>
      </c>
      <c r="AJ11" s="17" t="s">
        <v>23</v>
      </c>
      <c r="AK11" s="17" t="s">
        <v>45</v>
      </c>
      <c r="AL11" s="152" t="s">
        <v>805</v>
      </c>
      <c r="AM11" s="153"/>
      <c r="AN11" s="153"/>
      <c r="AO11" s="153"/>
      <c r="AP11" s="154"/>
    </row>
    <row r="12" spans="1:46" s="14" customFormat="1" ht="15" customHeight="1" x14ac:dyDescent="0.4">
      <c r="A12" s="11">
        <v>26</v>
      </c>
      <c r="B12" s="11">
        <v>302</v>
      </c>
      <c r="C12" s="11" t="s">
        <v>80</v>
      </c>
      <c r="D12" s="13" t="s">
        <v>775</v>
      </c>
      <c r="E12" s="33" t="s">
        <v>18</v>
      </c>
      <c r="F12" s="11" t="s">
        <v>776</v>
      </c>
      <c r="G12" s="11" t="s">
        <v>43</v>
      </c>
      <c r="H12" s="11" t="s">
        <v>52</v>
      </c>
      <c r="I12" s="11" t="s">
        <v>84</v>
      </c>
      <c r="J12" s="11" t="s">
        <v>85</v>
      </c>
      <c r="K12" s="11" t="s">
        <v>60</v>
      </c>
      <c r="L12" s="11" t="s">
        <v>92</v>
      </c>
      <c r="M12" s="11" t="s">
        <v>45</v>
      </c>
      <c r="N12" s="11" t="s">
        <v>45</v>
      </c>
      <c r="O12" s="11" t="s">
        <v>23</v>
      </c>
      <c r="P12" s="11" t="s">
        <v>84</v>
      </c>
      <c r="Q12" s="11" t="s">
        <v>86</v>
      </c>
      <c r="R12" s="11">
        <v>740</v>
      </c>
      <c r="S12" s="40" t="s">
        <v>39</v>
      </c>
      <c r="T12" s="11">
        <v>900</v>
      </c>
      <c r="U12" s="11" t="s">
        <v>45</v>
      </c>
      <c r="V12" s="11" t="s">
        <v>84</v>
      </c>
      <c r="W12" s="11" t="s">
        <v>86</v>
      </c>
      <c r="X12" s="40" t="s">
        <v>19</v>
      </c>
      <c r="Y12" s="40"/>
      <c r="Z12" s="40"/>
      <c r="AA12" s="40" t="s">
        <v>65</v>
      </c>
      <c r="AB12" s="12" t="s">
        <v>19</v>
      </c>
      <c r="AC12" s="11" t="s">
        <v>45</v>
      </c>
      <c r="AD12" s="11" t="s">
        <v>45</v>
      </c>
      <c r="AE12" s="11" t="s">
        <v>116</v>
      </c>
      <c r="AF12" s="11" t="s">
        <v>50</v>
      </c>
      <c r="AG12" s="13" t="s">
        <v>60</v>
      </c>
      <c r="AH12" s="13" t="s">
        <v>62</v>
      </c>
      <c r="AI12" s="13" t="s">
        <v>241</v>
      </c>
      <c r="AJ12" s="13" t="s">
        <v>23</v>
      </c>
      <c r="AK12" s="13" t="s">
        <v>23</v>
      </c>
      <c r="AL12" s="94" t="s">
        <v>777</v>
      </c>
      <c r="AM12" s="95"/>
      <c r="AN12" s="95"/>
      <c r="AO12" s="95"/>
      <c r="AP12" s="96"/>
    </row>
    <row r="13" spans="1:46" s="10" customFormat="1" ht="29.25" customHeight="1" x14ac:dyDescent="0.4">
      <c r="A13" s="6">
        <v>26</v>
      </c>
      <c r="B13" s="6">
        <v>402</v>
      </c>
      <c r="C13" s="6" t="s">
        <v>80</v>
      </c>
      <c r="D13" s="18" t="s">
        <v>772</v>
      </c>
      <c r="E13" s="34" t="s">
        <v>18</v>
      </c>
      <c r="F13" s="6" t="s">
        <v>773</v>
      </c>
      <c r="G13" s="6" t="s">
        <v>43</v>
      </c>
      <c r="H13" s="6" t="s">
        <v>52</v>
      </c>
      <c r="I13" s="6" t="s">
        <v>84</v>
      </c>
      <c r="J13" s="6" t="s">
        <v>85</v>
      </c>
      <c r="K13" s="6" t="s">
        <v>60</v>
      </c>
      <c r="L13" s="6" t="s">
        <v>92</v>
      </c>
      <c r="M13" s="6" t="s">
        <v>45</v>
      </c>
      <c r="N13" s="6" t="s">
        <v>45</v>
      </c>
      <c r="O13" s="6" t="s">
        <v>23</v>
      </c>
      <c r="P13" s="6" t="s">
        <v>84</v>
      </c>
      <c r="Q13" s="6" t="s">
        <v>86</v>
      </c>
      <c r="R13" s="6">
        <v>740</v>
      </c>
      <c r="S13" s="6" t="s">
        <v>39</v>
      </c>
      <c r="T13" s="6">
        <v>630</v>
      </c>
      <c r="U13" s="6" t="s">
        <v>45</v>
      </c>
      <c r="V13" s="6" t="s">
        <v>84</v>
      </c>
      <c r="W13" s="6" t="s">
        <v>86</v>
      </c>
      <c r="X13" s="6" t="s">
        <v>60</v>
      </c>
      <c r="Y13" s="6" t="s">
        <v>87</v>
      </c>
      <c r="Z13" s="6" t="s">
        <v>774</v>
      </c>
      <c r="AA13" s="6" t="s">
        <v>65</v>
      </c>
      <c r="AB13" s="15" t="s">
        <v>88</v>
      </c>
      <c r="AC13" s="16" t="s">
        <v>45</v>
      </c>
      <c r="AD13" s="16" t="s">
        <v>23</v>
      </c>
      <c r="AE13" s="16" t="s">
        <v>50</v>
      </c>
      <c r="AF13" s="16" t="s">
        <v>50</v>
      </c>
      <c r="AG13" s="17" t="s">
        <v>60</v>
      </c>
      <c r="AH13" s="17" t="s">
        <v>62</v>
      </c>
      <c r="AI13" s="17" t="s">
        <v>241</v>
      </c>
      <c r="AJ13" s="17" t="s">
        <v>45</v>
      </c>
      <c r="AK13" s="17" t="s">
        <v>45</v>
      </c>
      <c r="AL13" s="106" t="s">
        <v>806</v>
      </c>
      <c r="AM13" s="79"/>
      <c r="AN13" s="79"/>
      <c r="AO13" s="79"/>
      <c r="AP13" s="80"/>
    </row>
    <row r="14" spans="1:46" s="14" customFormat="1" ht="15" customHeight="1" x14ac:dyDescent="0.4">
      <c r="A14" s="11">
        <v>26</v>
      </c>
      <c r="B14" s="11">
        <v>502</v>
      </c>
      <c r="C14" s="11" t="s">
        <v>80</v>
      </c>
      <c r="D14" s="13" t="s">
        <v>783</v>
      </c>
      <c r="E14" s="33" t="s">
        <v>18</v>
      </c>
      <c r="F14" s="11" t="s">
        <v>784</v>
      </c>
      <c r="G14" s="11" t="s">
        <v>43</v>
      </c>
      <c r="H14" s="11" t="s">
        <v>52</v>
      </c>
      <c r="I14" s="11" t="s">
        <v>84</v>
      </c>
      <c r="J14" s="11" t="s">
        <v>85</v>
      </c>
      <c r="K14" s="11" t="s">
        <v>60</v>
      </c>
      <c r="L14" s="11" t="s">
        <v>92</v>
      </c>
      <c r="M14" s="11" t="s">
        <v>45</v>
      </c>
      <c r="N14" s="11" t="s">
        <v>45</v>
      </c>
      <c r="O14" s="11" t="s">
        <v>45</v>
      </c>
      <c r="P14" s="11" t="s">
        <v>84</v>
      </c>
      <c r="Q14" s="11" t="s">
        <v>86</v>
      </c>
      <c r="R14" s="11">
        <v>750</v>
      </c>
      <c r="S14" s="40" t="s">
        <v>39</v>
      </c>
      <c r="T14" s="11">
        <v>900</v>
      </c>
      <c r="U14" s="11" t="s">
        <v>45</v>
      </c>
      <c r="V14" s="11" t="s">
        <v>84</v>
      </c>
      <c r="W14" s="11" t="s">
        <v>86</v>
      </c>
      <c r="X14" s="40" t="s">
        <v>60</v>
      </c>
      <c r="Y14" s="40" t="s">
        <v>785</v>
      </c>
      <c r="Z14" s="40"/>
      <c r="AA14" s="40" t="s">
        <v>65</v>
      </c>
      <c r="AB14" s="12" t="s">
        <v>19</v>
      </c>
      <c r="AC14" s="11" t="s">
        <v>45</v>
      </c>
      <c r="AD14" s="11" t="s">
        <v>45</v>
      </c>
      <c r="AE14" s="11" t="s">
        <v>50</v>
      </c>
      <c r="AF14" s="11" t="s">
        <v>50</v>
      </c>
      <c r="AG14" s="13" t="s">
        <v>60</v>
      </c>
      <c r="AH14" s="13" t="s">
        <v>62</v>
      </c>
      <c r="AI14" s="13" t="s">
        <v>241</v>
      </c>
      <c r="AJ14" s="13" t="s">
        <v>45</v>
      </c>
      <c r="AK14" s="13" t="s">
        <v>23</v>
      </c>
      <c r="AL14" s="94" t="s">
        <v>786</v>
      </c>
      <c r="AM14" s="95"/>
      <c r="AN14" s="95"/>
      <c r="AO14" s="95"/>
      <c r="AP14" s="96"/>
    </row>
    <row r="15" spans="1:46" s="10" customFormat="1" ht="78" customHeight="1" x14ac:dyDescent="0.4">
      <c r="A15" s="6">
        <v>26</v>
      </c>
      <c r="B15" s="6">
        <v>103</v>
      </c>
      <c r="C15" s="6" t="s">
        <v>80</v>
      </c>
      <c r="D15" s="18" t="s">
        <v>864</v>
      </c>
      <c r="E15" s="34" t="s">
        <v>18</v>
      </c>
      <c r="F15" s="6" t="s">
        <v>865</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866</v>
      </c>
      <c r="AA15" s="6" t="s">
        <v>65</v>
      </c>
      <c r="AB15" s="15" t="s">
        <v>19</v>
      </c>
      <c r="AC15" s="16" t="s">
        <v>45</v>
      </c>
      <c r="AD15" s="16" t="s">
        <v>45</v>
      </c>
      <c r="AE15" s="16" t="s">
        <v>116</v>
      </c>
      <c r="AF15" s="16" t="s">
        <v>50</v>
      </c>
      <c r="AG15" s="17" t="s">
        <v>60</v>
      </c>
      <c r="AH15" s="17" t="s">
        <v>62</v>
      </c>
      <c r="AI15" s="17" t="s">
        <v>45</v>
      </c>
      <c r="AJ15" s="17" t="s">
        <v>23</v>
      </c>
      <c r="AK15" s="17" t="s">
        <v>23</v>
      </c>
      <c r="AL15" s="106" t="s">
        <v>1069</v>
      </c>
      <c r="AM15" s="107"/>
      <c r="AN15" s="107"/>
      <c r="AO15" s="107"/>
      <c r="AP15" s="108"/>
    </row>
    <row r="16" spans="1:46" s="14" customFormat="1" ht="54" customHeight="1" x14ac:dyDescent="0.4">
      <c r="A16" s="11">
        <v>26</v>
      </c>
      <c r="B16" s="11">
        <v>203</v>
      </c>
      <c r="C16" s="11" t="s">
        <v>80</v>
      </c>
      <c r="D16" s="13" t="s">
        <v>849</v>
      </c>
      <c r="E16" s="33" t="s">
        <v>18</v>
      </c>
      <c r="F16" s="11" t="s">
        <v>850</v>
      </c>
      <c r="G16" s="11" t="s">
        <v>43</v>
      </c>
      <c r="H16" s="11" t="s">
        <v>52</v>
      </c>
      <c r="I16" s="11" t="s">
        <v>84</v>
      </c>
      <c r="J16" s="11" t="s">
        <v>85</v>
      </c>
      <c r="K16" s="11" t="s">
        <v>60</v>
      </c>
      <c r="L16" s="11" t="s">
        <v>92</v>
      </c>
      <c r="M16" s="11" t="s">
        <v>23</v>
      </c>
      <c r="N16" s="11" t="s">
        <v>45</v>
      </c>
      <c r="O16" s="11" t="s">
        <v>23</v>
      </c>
      <c r="P16" s="11" t="s">
        <v>84</v>
      </c>
      <c r="Q16" s="11" t="s">
        <v>86</v>
      </c>
      <c r="R16" s="11" t="s">
        <v>851</v>
      </c>
      <c r="S16" s="40" t="s">
        <v>39</v>
      </c>
      <c r="T16" s="11">
        <v>640</v>
      </c>
      <c r="U16" s="11" t="s">
        <v>45</v>
      </c>
      <c r="V16" s="11" t="s">
        <v>84</v>
      </c>
      <c r="W16" s="11" t="s">
        <v>86</v>
      </c>
      <c r="X16" s="40" t="s">
        <v>60</v>
      </c>
      <c r="Y16" s="40" t="s">
        <v>141</v>
      </c>
      <c r="Z16" s="40"/>
      <c r="AA16" s="40" t="s">
        <v>65</v>
      </c>
      <c r="AB16" s="12" t="s">
        <v>88</v>
      </c>
      <c r="AC16" s="11" t="s">
        <v>45</v>
      </c>
      <c r="AD16" s="11" t="s">
        <v>23</v>
      </c>
      <c r="AE16" s="11" t="s">
        <v>50</v>
      </c>
      <c r="AF16" s="11" t="s">
        <v>50</v>
      </c>
      <c r="AG16" s="13" t="s">
        <v>60</v>
      </c>
      <c r="AH16" s="13" t="s">
        <v>96</v>
      </c>
      <c r="AI16" s="13" t="s">
        <v>45</v>
      </c>
      <c r="AJ16" s="13" t="s">
        <v>45</v>
      </c>
      <c r="AK16" s="13" t="s">
        <v>23</v>
      </c>
      <c r="AL16" s="133" t="s">
        <v>852</v>
      </c>
      <c r="AM16" s="134"/>
      <c r="AN16" s="134"/>
      <c r="AO16" s="134"/>
      <c r="AP16" s="135"/>
    </row>
    <row r="17" spans="1:43" s="10" customFormat="1" ht="32.25" customHeight="1" x14ac:dyDescent="0.4">
      <c r="A17" s="6">
        <v>26</v>
      </c>
      <c r="B17" s="6">
        <v>303</v>
      </c>
      <c r="C17" s="6" t="s">
        <v>80</v>
      </c>
      <c r="D17" s="18" t="s">
        <v>853</v>
      </c>
      <c r="E17" s="34" t="s">
        <v>18</v>
      </c>
      <c r="F17" s="46" t="s">
        <v>854</v>
      </c>
      <c r="G17" s="6" t="s">
        <v>43</v>
      </c>
      <c r="H17" s="6" t="s">
        <v>52</v>
      </c>
      <c r="I17" s="6" t="s">
        <v>84</v>
      </c>
      <c r="J17" s="6" t="s">
        <v>85</v>
      </c>
      <c r="K17" s="6" t="s">
        <v>60</v>
      </c>
      <c r="L17" s="6" t="s">
        <v>92</v>
      </c>
      <c r="M17" s="6" t="s">
        <v>45</v>
      </c>
      <c r="N17" s="6" t="s">
        <v>45</v>
      </c>
      <c r="O17" s="6" t="s">
        <v>23</v>
      </c>
      <c r="P17" s="6" t="s">
        <v>84</v>
      </c>
      <c r="Q17" s="6" t="s">
        <v>86</v>
      </c>
      <c r="R17" s="6">
        <v>740</v>
      </c>
      <c r="S17" s="6" t="s">
        <v>39</v>
      </c>
      <c r="T17" s="6">
        <v>900</v>
      </c>
      <c r="U17" s="6" t="s">
        <v>45</v>
      </c>
      <c r="V17" s="6" t="s">
        <v>84</v>
      </c>
      <c r="W17" s="6" t="s">
        <v>86</v>
      </c>
      <c r="X17" s="6" t="s">
        <v>60</v>
      </c>
      <c r="Y17" s="6" t="s">
        <v>87</v>
      </c>
      <c r="Z17" s="6" t="s">
        <v>855</v>
      </c>
      <c r="AA17" s="6" t="s">
        <v>65</v>
      </c>
      <c r="AB17" s="15" t="s">
        <v>19</v>
      </c>
      <c r="AC17" s="16" t="s">
        <v>45</v>
      </c>
      <c r="AD17" s="16" t="s">
        <v>45</v>
      </c>
      <c r="AE17" s="16" t="s">
        <v>50</v>
      </c>
      <c r="AF17" s="16" t="s">
        <v>50</v>
      </c>
      <c r="AG17" s="17" t="s">
        <v>60</v>
      </c>
      <c r="AH17" s="17" t="s">
        <v>62</v>
      </c>
      <c r="AI17" s="17" t="s">
        <v>241</v>
      </c>
      <c r="AJ17" s="17" t="s">
        <v>23</v>
      </c>
      <c r="AK17" s="17" t="s">
        <v>23</v>
      </c>
      <c r="AL17" s="106" t="s">
        <v>856</v>
      </c>
      <c r="AM17" s="107"/>
      <c r="AN17" s="107"/>
      <c r="AO17" s="107"/>
      <c r="AP17" s="108"/>
    </row>
    <row r="18" spans="1:43" s="14" customFormat="1" ht="55.5" customHeight="1" x14ac:dyDescent="0.4">
      <c r="A18" s="11">
        <v>26</v>
      </c>
      <c r="B18" s="11">
        <v>403</v>
      </c>
      <c r="C18" s="11" t="s">
        <v>80</v>
      </c>
      <c r="D18" s="13" t="s">
        <v>1217</v>
      </c>
      <c r="E18" s="33" t="s">
        <v>18</v>
      </c>
      <c r="F18" s="11" t="s">
        <v>1218</v>
      </c>
      <c r="G18" s="11" t="s">
        <v>43</v>
      </c>
      <c r="H18" s="11" t="s">
        <v>52</v>
      </c>
      <c r="I18" s="11" t="s">
        <v>84</v>
      </c>
      <c r="J18" s="11" t="s">
        <v>85</v>
      </c>
      <c r="K18" s="11" t="s">
        <v>60</v>
      </c>
      <c r="L18" s="11" t="s">
        <v>92</v>
      </c>
      <c r="M18" s="11" t="s">
        <v>45</v>
      </c>
      <c r="N18" s="11" t="s">
        <v>45</v>
      </c>
      <c r="O18" s="11" t="s">
        <v>23</v>
      </c>
      <c r="P18" s="11" t="s">
        <v>84</v>
      </c>
      <c r="Q18" s="11" t="s">
        <v>1221</v>
      </c>
      <c r="R18" s="11">
        <v>750</v>
      </c>
      <c r="S18" s="40" t="s">
        <v>39</v>
      </c>
      <c r="T18" s="11">
        <v>740</v>
      </c>
      <c r="U18" s="11" t="s">
        <v>45</v>
      </c>
      <c r="V18" s="11" t="s">
        <v>84</v>
      </c>
      <c r="W18" s="11" t="s">
        <v>1220</v>
      </c>
      <c r="X18" s="40" t="s">
        <v>60</v>
      </c>
      <c r="Y18" s="40" t="s">
        <v>87</v>
      </c>
      <c r="Z18" s="40" t="s">
        <v>1219</v>
      </c>
      <c r="AA18" s="40" t="s">
        <v>65</v>
      </c>
      <c r="AB18" s="12" t="s">
        <v>88</v>
      </c>
      <c r="AC18" s="11" t="s">
        <v>23</v>
      </c>
      <c r="AD18" s="11" t="s">
        <v>45</v>
      </c>
      <c r="AE18" s="11" t="s">
        <v>50</v>
      </c>
      <c r="AF18" s="11" t="s">
        <v>50</v>
      </c>
      <c r="AG18" s="13" t="s">
        <v>60</v>
      </c>
      <c r="AH18" s="13" t="s">
        <v>62</v>
      </c>
      <c r="AI18" s="13" t="s">
        <v>45</v>
      </c>
      <c r="AJ18" s="13" t="s">
        <v>45</v>
      </c>
      <c r="AK18" s="13" t="s">
        <v>23</v>
      </c>
      <c r="AL18" s="133" t="s">
        <v>1222</v>
      </c>
      <c r="AM18" s="134"/>
      <c r="AN18" s="134"/>
      <c r="AO18" s="134"/>
      <c r="AP18" s="135"/>
    </row>
    <row r="19" spans="1:43" s="10" customFormat="1" ht="30.75" customHeight="1" x14ac:dyDescent="0.4">
      <c r="A19" s="6">
        <v>26</v>
      </c>
      <c r="B19" s="6">
        <v>503</v>
      </c>
      <c r="C19" s="6" t="s">
        <v>80</v>
      </c>
      <c r="D19" s="18" t="s">
        <v>837</v>
      </c>
      <c r="E19" s="34" t="s">
        <v>18</v>
      </c>
      <c r="F19" s="6" t="s">
        <v>838</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839</v>
      </c>
      <c r="Z19" s="46" t="s">
        <v>840</v>
      </c>
      <c r="AA19" s="6" t="s">
        <v>65</v>
      </c>
      <c r="AB19" s="15" t="s">
        <v>88</v>
      </c>
      <c r="AC19" s="16" t="s">
        <v>45</v>
      </c>
      <c r="AD19" s="16" t="s">
        <v>23</v>
      </c>
      <c r="AE19" s="16" t="s">
        <v>116</v>
      </c>
      <c r="AF19" s="16" t="s">
        <v>50</v>
      </c>
      <c r="AG19" s="17" t="s">
        <v>60</v>
      </c>
      <c r="AH19" s="17" t="s">
        <v>62</v>
      </c>
      <c r="AI19" s="17" t="s">
        <v>45</v>
      </c>
      <c r="AJ19" s="17" t="s">
        <v>23</v>
      </c>
      <c r="AK19" s="17" t="s">
        <v>23</v>
      </c>
      <c r="AL19" s="78" t="s">
        <v>841</v>
      </c>
      <c r="AM19" s="79"/>
      <c r="AN19" s="79"/>
      <c r="AO19" s="79"/>
      <c r="AP19" s="80"/>
    </row>
    <row r="20" spans="1:43" s="14" customFormat="1" ht="48" customHeight="1" x14ac:dyDescent="0.4">
      <c r="A20" s="11">
        <v>26</v>
      </c>
      <c r="B20" s="11">
        <v>104</v>
      </c>
      <c r="C20" s="11" t="s">
        <v>80</v>
      </c>
      <c r="D20" s="13" t="s">
        <v>872</v>
      </c>
      <c r="E20" s="33" t="s">
        <v>18</v>
      </c>
      <c r="F20" s="11" t="s">
        <v>873</v>
      </c>
      <c r="G20" s="11" t="s">
        <v>43</v>
      </c>
      <c r="H20" s="11" t="s">
        <v>52</v>
      </c>
      <c r="I20" s="11" t="s">
        <v>84</v>
      </c>
      <c r="J20" s="11" t="s">
        <v>85</v>
      </c>
      <c r="K20" s="11" t="s">
        <v>361</v>
      </c>
      <c r="L20" s="11" t="s">
        <v>92</v>
      </c>
      <c r="M20" s="11" t="s">
        <v>45</v>
      </c>
      <c r="N20" s="11" t="s">
        <v>45</v>
      </c>
      <c r="O20" s="11" t="s">
        <v>23</v>
      </c>
      <c r="P20" s="11" t="s">
        <v>84</v>
      </c>
      <c r="Q20" s="11" t="s">
        <v>86</v>
      </c>
      <c r="R20" s="11">
        <v>750</v>
      </c>
      <c r="S20" s="40" t="s">
        <v>39</v>
      </c>
      <c r="T20" s="11">
        <v>900</v>
      </c>
      <c r="U20" s="11" t="s">
        <v>45</v>
      </c>
      <c r="V20" s="11" t="s">
        <v>84</v>
      </c>
      <c r="W20" s="11" t="s">
        <v>86</v>
      </c>
      <c r="X20" s="40" t="s">
        <v>60</v>
      </c>
      <c r="Y20" s="40" t="s">
        <v>531</v>
      </c>
      <c r="Z20" s="40"/>
      <c r="AA20" s="40" t="s">
        <v>65</v>
      </c>
      <c r="AB20" s="12" t="s">
        <v>19</v>
      </c>
      <c r="AC20" s="11" t="s">
        <v>45</v>
      </c>
      <c r="AD20" s="11" t="s">
        <v>45</v>
      </c>
      <c r="AE20" s="11" t="s">
        <v>116</v>
      </c>
      <c r="AF20" s="11" t="s">
        <v>50</v>
      </c>
      <c r="AG20" s="13" t="s">
        <v>60</v>
      </c>
      <c r="AH20" s="13" t="s">
        <v>96</v>
      </c>
      <c r="AI20" s="13" t="s">
        <v>45</v>
      </c>
      <c r="AJ20" s="13" t="s">
        <v>45</v>
      </c>
      <c r="AK20" s="13" t="s">
        <v>23</v>
      </c>
      <c r="AL20" s="133" t="s">
        <v>874</v>
      </c>
      <c r="AM20" s="134"/>
      <c r="AN20" s="134"/>
      <c r="AO20" s="134"/>
      <c r="AP20" s="135"/>
    </row>
    <row r="21" spans="1:43" s="10" customFormat="1" ht="38.25" customHeight="1" x14ac:dyDescent="0.4">
      <c r="A21" s="6">
        <v>26</v>
      </c>
      <c r="B21" s="6">
        <v>204</v>
      </c>
      <c r="C21" s="6" t="s">
        <v>80</v>
      </c>
      <c r="D21" s="18" t="s">
        <v>867</v>
      </c>
      <c r="E21" s="34" t="s">
        <v>18</v>
      </c>
      <c r="F21" s="6" t="s">
        <v>868</v>
      </c>
      <c r="G21" s="6" t="s">
        <v>43</v>
      </c>
      <c r="H21" s="6" t="s">
        <v>52</v>
      </c>
      <c r="I21" s="6" t="s">
        <v>84</v>
      </c>
      <c r="J21" s="6" t="s">
        <v>85</v>
      </c>
      <c r="K21" s="6" t="s">
        <v>60</v>
      </c>
      <c r="L21" s="6" t="s">
        <v>92</v>
      </c>
      <c r="M21" s="6" t="s">
        <v>45</v>
      </c>
      <c r="N21" s="6" t="s">
        <v>45</v>
      </c>
      <c r="O21" s="6" t="s">
        <v>23</v>
      </c>
      <c r="P21" s="6" t="s">
        <v>84</v>
      </c>
      <c r="Q21" s="6" t="s">
        <v>86</v>
      </c>
      <c r="R21" s="6" t="s">
        <v>869</v>
      </c>
      <c r="S21" s="6" t="s">
        <v>39</v>
      </c>
      <c r="T21" s="6">
        <v>900</v>
      </c>
      <c r="U21" s="6" t="s">
        <v>45</v>
      </c>
      <c r="V21" s="6" t="s">
        <v>84</v>
      </c>
      <c r="W21" s="6" t="s">
        <v>86</v>
      </c>
      <c r="X21" s="6" t="s">
        <v>60</v>
      </c>
      <c r="Y21" s="6" t="s">
        <v>87</v>
      </c>
      <c r="Z21" s="6" t="s">
        <v>870</v>
      </c>
      <c r="AA21" s="6" t="s">
        <v>65</v>
      </c>
      <c r="AB21" s="15" t="s">
        <v>88</v>
      </c>
      <c r="AC21" s="16" t="s">
        <v>45</v>
      </c>
      <c r="AD21" s="16" t="s">
        <v>45</v>
      </c>
      <c r="AE21" s="16" t="s">
        <v>50</v>
      </c>
      <c r="AF21" s="16" t="s">
        <v>50</v>
      </c>
      <c r="AG21" s="17" t="s">
        <v>60</v>
      </c>
      <c r="AH21" s="17" t="s">
        <v>62</v>
      </c>
      <c r="AI21" s="17" t="s">
        <v>23</v>
      </c>
      <c r="AJ21" s="17" t="s">
        <v>23</v>
      </c>
      <c r="AK21" s="17" t="s">
        <v>45</v>
      </c>
      <c r="AL21" s="106" t="s">
        <v>871</v>
      </c>
      <c r="AM21" s="107"/>
      <c r="AN21" s="107"/>
      <c r="AO21" s="107"/>
      <c r="AP21" s="108"/>
    </row>
    <row r="22" spans="1:43" s="14" customFormat="1" ht="30.75" customHeight="1" x14ac:dyDescent="0.4">
      <c r="A22" s="11">
        <v>26</v>
      </c>
      <c r="B22" s="11">
        <v>304</v>
      </c>
      <c r="C22" s="11" t="s">
        <v>80</v>
      </c>
      <c r="D22" s="13" t="s">
        <v>857</v>
      </c>
      <c r="E22" s="33" t="s">
        <v>18</v>
      </c>
      <c r="F22" s="11" t="s">
        <v>858</v>
      </c>
      <c r="G22" s="11" t="s">
        <v>43</v>
      </c>
      <c r="H22" s="11" t="s">
        <v>52</v>
      </c>
      <c r="I22" s="11" t="s">
        <v>84</v>
      </c>
      <c r="J22" s="11" t="s">
        <v>85</v>
      </c>
      <c r="K22" s="11" t="s">
        <v>60</v>
      </c>
      <c r="L22" s="11" t="s">
        <v>92</v>
      </c>
      <c r="M22" s="11" t="s">
        <v>45</v>
      </c>
      <c r="N22" s="11" t="s">
        <v>23</v>
      </c>
      <c r="O22" s="11" t="s">
        <v>23</v>
      </c>
      <c r="P22" s="11" t="s">
        <v>84</v>
      </c>
      <c r="Q22" s="11" t="s">
        <v>86</v>
      </c>
      <c r="R22" s="11">
        <v>750</v>
      </c>
      <c r="S22" s="40" t="s">
        <v>39</v>
      </c>
      <c r="T22" s="11">
        <v>900</v>
      </c>
      <c r="U22" s="11" t="s">
        <v>45</v>
      </c>
      <c r="V22" s="11" t="s">
        <v>84</v>
      </c>
      <c r="W22" s="11" t="s">
        <v>378</v>
      </c>
      <c r="X22" s="40" t="s">
        <v>60</v>
      </c>
      <c r="Y22" s="40" t="s">
        <v>87</v>
      </c>
      <c r="Z22" s="40" t="s">
        <v>859</v>
      </c>
      <c r="AA22" s="40" t="s">
        <v>65</v>
      </c>
      <c r="AB22" s="12" t="s">
        <v>88</v>
      </c>
      <c r="AC22" s="11" t="s">
        <v>45</v>
      </c>
      <c r="AD22" s="11" t="s">
        <v>23</v>
      </c>
      <c r="AE22" s="11" t="s">
        <v>50</v>
      </c>
      <c r="AF22" s="11" t="s">
        <v>50</v>
      </c>
      <c r="AG22" s="13" t="s">
        <v>60</v>
      </c>
      <c r="AH22" s="13" t="s">
        <v>62</v>
      </c>
      <c r="AI22" s="13" t="s">
        <v>23</v>
      </c>
      <c r="AJ22" s="13" t="s">
        <v>23</v>
      </c>
      <c r="AK22" s="13" t="s">
        <v>45</v>
      </c>
      <c r="AL22" s="133" t="s">
        <v>860</v>
      </c>
      <c r="AM22" s="134"/>
      <c r="AN22" s="134"/>
      <c r="AO22" s="134"/>
      <c r="AP22" s="135"/>
    </row>
    <row r="23" spans="1:43" s="10" customFormat="1" ht="15" customHeight="1" x14ac:dyDescent="0.4">
      <c r="A23" s="6">
        <v>26</v>
      </c>
      <c r="B23" s="6">
        <v>404</v>
      </c>
      <c r="C23" s="6" t="s">
        <v>80</v>
      </c>
      <c r="D23" s="18" t="s">
        <v>861</v>
      </c>
      <c r="E23" s="34" t="s">
        <v>18</v>
      </c>
      <c r="F23" s="6" t="s">
        <v>862</v>
      </c>
      <c r="G23" s="6" t="s">
        <v>43</v>
      </c>
      <c r="H23" s="6" t="s">
        <v>52</v>
      </c>
      <c r="I23" s="6" t="s">
        <v>84</v>
      </c>
      <c r="J23" s="6" t="s">
        <v>85</v>
      </c>
      <c r="K23" s="6" t="s">
        <v>60</v>
      </c>
      <c r="L23" s="6" t="s">
        <v>92</v>
      </c>
      <c r="M23" s="6" t="s">
        <v>45</v>
      </c>
      <c r="N23" s="6" t="s">
        <v>45</v>
      </c>
      <c r="O23" s="6" t="s">
        <v>23</v>
      </c>
      <c r="P23" s="6" t="s">
        <v>84</v>
      </c>
      <c r="Q23" s="6" t="s">
        <v>86</v>
      </c>
      <c r="R23" s="6">
        <v>750</v>
      </c>
      <c r="S23" s="6" t="s">
        <v>39</v>
      </c>
      <c r="T23" s="6">
        <v>900</v>
      </c>
      <c r="U23" s="6" t="s">
        <v>45</v>
      </c>
      <c r="V23" s="6" t="s">
        <v>84</v>
      </c>
      <c r="W23" s="6" t="s">
        <v>86</v>
      </c>
      <c r="X23" s="6" t="s">
        <v>60</v>
      </c>
      <c r="Y23" s="6" t="s">
        <v>141</v>
      </c>
      <c r="Z23" s="6"/>
      <c r="AA23" s="6" t="s">
        <v>65</v>
      </c>
      <c r="AB23" s="15" t="s">
        <v>19</v>
      </c>
      <c r="AC23" s="16" t="s">
        <v>45</v>
      </c>
      <c r="AD23" s="16" t="s">
        <v>45</v>
      </c>
      <c r="AE23" s="16" t="s">
        <v>116</v>
      </c>
      <c r="AF23" s="16" t="s">
        <v>50</v>
      </c>
      <c r="AG23" s="17" t="s">
        <v>60</v>
      </c>
      <c r="AH23" s="17" t="s">
        <v>62</v>
      </c>
      <c r="AI23" s="17" t="s">
        <v>23</v>
      </c>
      <c r="AJ23" s="17" t="s">
        <v>45</v>
      </c>
      <c r="AK23" s="17" t="s">
        <v>45</v>
      </c>
      <c r="AL23" s="78" t="s">
        <v>863</v>
      </c>
      <c r="AM23" s="79"/>
      <c r="AN23" s="79"/>
      <c r="AO23" s="79"/>
      <c r="AP23" s="80"/>
    </row>
    <row r="24" spans="1:43" s="14" customFormat="1" ht="54.75" customHeight="1" x14ac:dyDescent="0.4">
      <c r="A24" s="11">
        <v>26</v>
      </c>
      <c r="B24" s="11">
        <v>504</v>
      </c>
      <c r="C24" s="11" t="s">
        <v>80</v>
      </c>
      <c r="D24" s="13" t="s">
        <v>842</v>
      </c>
      <c r="E24" s="33" t="s">
        <v>18</v>
      </c>
      <c r="F24" s="45" t="s">
        <v>843</v>
      </c>
      <c r="G24" s="11" t="s">
        <v>43</v>
      </c>
      <c r="H24" s="11" t="s">
        <v>52</v>
      </c>
      <c r="I24" s="11" t="s">
        <v>84</v>
      </c>
      <c r="J24" s="11" t="s">
        <v>85</v>
      </c>
      <c r="K24" s="11" t="s">
        <v>60</v>
      </c>
      <c r="L24" s="11" t="s">
        <v>92</v>
      </c>
      <c r="M24" s="11" t="s">
        <v>45</v>
      </c>
      <c r="N24" s="11" t="s">
        <v>45</v>
      </c>
      <c r="O24" s="11" t="s">
        <v>23</v>
      </c>
      <c r="P24" s="11" t="s">
        <v>84</v>
      </c>
      <c r="Q24" s="11" t="s">
        <v>86</v>
      </c>
      <c r="R24" s="11">
        <v>740</v>
      </c>
      <c r="S24" s="40" t="s">
        <v>39</v>
      </c>
      <c r="T24" s="11">
        <v>900</v>
      </c>
      <c r="U24" s="11" t="s">
        <v>45</v>
      </c>
      <c r="V24" s="11" t="s">
        <v>84</v>
      </c>
      <c r="W24" s="11" t="s">
        <v>86</v>
      </c>
      <c r="X24" s="40" t="s">
        <v>60</v>
      </c>
      <c r="Y24" s="40" t="s">
        <v>87</v>
      </c>
      <c r="Z24" s="40" t="s">
        <v>844</v>
      </c>
      <c r="AA24" s="40" t="s">
        <v>65</v>
      </c>
      <c r="AB24" s="12" t="s">
        <v>88</v>
      </c>
      <c r="AC24" s="11" t="s">
        <v>45</v>
      </c>
      <c r="AD24" s="11" t="s">
        <v>45</v>
      </c>
      <c r="AE24" s="11" t="s">
        <v>116</v>
      </c>
      <c r="AF24" s="11" t="s">
        <v>50</v>
      </c>
      <c r="AG24" s="13" t="s">
        <v>60</v>
      </c>
      <c r="AH24" s="13" t="s">
        <v>62</v>
      </c>
      <c r="AI24" s="13" t="s">
        <v>23</v>
      </c>
      <c r="AJ24" s="13" t="s">
        <v>23</v>
      </c>
      <c r="AK24" s="13" t="s">
        <v>45</v>
      </c>
      <c r="AL24" s="133" t="s">
        <v>845</v>
      </c>
      <c r="AM24" s="95"/>
      <c r="AN24" s="95"/>
      <c r="AO24" s="95"/>
      <c r="AP24" s="96"/>
    </row>
    <row r="25" spans="1:43" s="2" customFormat="1" ht="11.25" customHeight="1" x14ac:dyDescent="0.4">
      <c r="A25" s="118" t="s">
        <v>12</v>
      </c>
      <c r="B25" s="119"/>
      <c r="C25" s="119"/>
      <c r="D25" s="119"/>
      <c r="E25" s="120"/>
      <c r="F25" s="136">
        <f>COUNTA(D5:D24)</f>
        <v>20</v>
      </c>
      <c r="G25" s="20" t="str">
        <f>"所有→"&amp;COUNTIF(G5:G24,"所有")&amp;"戸"</f>
        <v>所有→20戸</v>
      </c>
      <c r="H25" s="20" t="str">
        <f>"未更新→"&amp;COUNTIF(H5:H24,"未更新")&amp;"戸"</f>
        <v>未更新→20戸</v>
      </c>
      <c r="I25" s="20" t="str">
        <f>"クロス→"&amp;COUNTIF(I5:I24,"クロス")&amp;"戸"</f>
        <v>クロス→20戸</v>
      </c>
      <c r="J25" s="20" t="str">
        <f>"ベニヤ→"&amp;COUNTIF(J5:J24,"ベニヤ")&amp;"戸"</f>
        <v>ベニヤ→19戸</v>
      </c>
      <c r="K25" s="20" t="str">
        <f>"既存→"&amp;COUNTIF(K5:K24,"既存")&amp;"戸"</f>
        <v>既存→0戸</v>
      </c>
      <c r="L25" s="20" t="str">
        <f>"普通便座→"&amp;COUNTIF(L5:L24,"普通便座")&amp;"戸"</f>
        <v>普通便座→0戸</v>
      </c>
      <c r="M25" s="20" t="str">
        <f>"有→"&amp;COUNTIF(M5:M24,"有")&amp;"戸"</f>
        <v>有→1戸</v>
      </c>
      <c r="N25" s="20" t="str">
        <f>"有→"&amp;COUNTIF(N5:N24,"有")&amp;"戸"</f>
        <v>有→3戸</v>
      </c>
      <c r="O25" s="20" t="str">
        <f>"有→"&amp;COUNTIF(O5:O24,"有")&amp;"戸"</f>
        <v>有→15戸</v>
      </c>
      <c r="P25" s="20" t="str">
        <f>"クロス→"&amp;COUNTIF(P5:P24,"クロス")&amp;"戸"</f>
        <v>クロス→20戸</v>
      </c>
      <c r="Q25" s="20" t="str">
        <f>"CF→"&amp;COUNTIF(Q5:Q24,"CF")&amp;"戸"</f>
        <v>CF→18戸</v>
      </c>
      <c r="R25" s="20" t="str">
        <f>"1000→"&amp;COUNTIF(R5:R24,"1000")&amp;"戸"</f>
        <v>1000→1戸</v>
      </c>
      <c r="S25" s="20" t="str">
        <f>"可→"&amp;COUNTIF(S5:S24,"可")&amp;"戸"</f>
        <v>可→19戸</v>
      </c>
      <c r="T25" s="20" t="str">
        <f>"900→"&amp;COUNTIF(T5:T24,"900")&amp;"戸"</f>
        <v>900→16戸</v>
      </c>
      <c r="U25" s="20" t="str">
        <f>"有→"&amp;COUNTIF(U5:U24,"有")&amp;"戸"</f>
        <v>有→1戸</v>
      </c>
      <c r="V25" s="20" t="str">
        <f>"クロス→"&amp;COUNTIF(V5:V24,"クロス")&amp;"戸"</f>
        <v>クロス→20戸</v>
      </c>
      <c r="W25" s="20" t="str">
        <f>"CF→"&amp;COUNTIF(W5:W24,"CF")&amp;"戸"</f>
        <v>CF→17戸</v>
      </c>
      <c r="X25" s="20" t="str">
        <f>"既存→"&amp;COUNTIF(X5:X24,"既存")&amp;"戸"</f>
        <v>既存→1戸</v>
      </c>
      <c r="Y25" s="20" t="str">
        <f>"TOTO→"&amp;COUNTIF(Y5:Y24,"TOTO")&amp;"戸"</f>
        <v>TOTO→11戸</v>
      </c>
      <c r="Z25" s="130">
        <f>-COUNTA(Z5:Z24)</f>
        <v>-12</v>
      </c>
      <c r="AA25" s="20" t="str">
        <f>"可→"&amp;COUNTIF(AA5:AA24,"可")&amp;"戸"</f>
        <v>可→0戸</v>
      </c>
      <c r="AB25" s="20" t="str">
        <f>"既存→"&amp;COUNTIF(AB5:AB24,"既存")&amp;"戸"</f>
        <v>既存→7戸</v>
      </c>
      <c r="AC25" s="130">
        <f>COUNTIF(AC5:AC24,"有")</f>
        <v>2</v>
      </c>
      <c r="AD25" s="130">
        <f>COUNTIF(AD5:AD24,"有")</f>
        <v>6</v>
      </c>
      <c r="AE25" s="20" t="str">
        <f>"ポリ板→"&amp;COUNTIF(AE5:AE24,"ポリ板")&amp;"戸"</f>
        <v>ポリ板→10戸</v>
      </c>
      <c r="AF25" s="20" t="str">
        <f>"ポリ板→"&amp;COUNTIF(AF5:AF24,"ポリ板")&amp;"戸"</f>
        <v>ポリ板→20戸</v>
      </c>
      <c r="AG25" s="20" t="str">
        <f>"既存→"&amp;COUNTIF(AG5:AG24,"既存")&amp;"戸"</f>
        <v>既存→0戸</v>
      </c>
      <c r="AH25" s="20" t="str">
        <f>"洗面所→"&amp;COUNTIF(AH5:AH24,"洗面所")&amp;"戸"</f>
        <v>洗面所→17戸</v>
      </c>
      <c r="AI25" s="130">
        <f>COUNTIF(AI5:AI24,"有")</f>
        <v>4</v>
      </c>
      <c r="AJ25" s="130">
        <f>COUNTIF(AJ5:AJ24,"有")</f>
        <v>12</v>
      </c>
      <c r="AK25" s="130">
        <f>COUNTIF(AK5:AK24,"有")</f>
        <v>11</v>
      </c>
      <c r="AL25" s="109"/>
      <c r="AM25" s="110"/>
      <c r="AN25" s="110"/>
      <c r="AO25" s="110"/>
      <c r="AP25" s="111"/>
      <c r="AQ25" s="41"/>
    </row>
    <row r="26" spans="1:43" s="2" customFormat="1" ht="11.25" customHeight="1" x14ac:dyDescent="0.4">
      <c r="A26" s="121"/>
      <c r="B26" s="122"/>
      <c r="C26" s="122"/>
      <c r="D26" s="122"/>
      <c r="E26" s="123"/>
      <c r="F26" s="137"/>
      <c r="G26" s="35" t="str">
        <f>"賃貸→"&amp;COUNTIF(G5:G24,"賃貸")&amp;"戸"</f>
        <v>賃貸→0戸</v>
      </c>
      <c r="H26" s="35" t="str">
        <f>"更新済み→"&amp;COUNTIF(H5:H24,"更新済み")&amp;"戸"</f>
        <v>更新済み→0戸</v>
      </c>
      <c r="I26" s="35" t="str">
        <f>"珪藻土→"&amp;COUNTIF(I5:I24,"珪藻土")&amp;"戸"</f>
        <v>珪藻土→0戸</v>
      </c>
      <c r="J26" s="35" t="str">
        <f>"クロス→"&amp;COUNTIF(J5:J24,"クロス")&amp;"戸"</f>
        <v>クロス→0戸</v>
      </c>
      <c r="K26" s="35" t="str">
        <f>"タンクレス→"&amp;COUNTIF(K5:K24,"タンクレス")&amp;"戸"</f>
        <v>タンクレス→2戸</v>
      </c>
      <c r="L26" s="35" t="str">
        <f>"暖房便座→"&amp;COUNTIF(L5:L24,"暖房便座")&amp;"戸"</f>
        <v>暖房便座→1戸</v>
      </c>
      <c r="M26" s="35" t="str">
        <f>"無→"&amp;COUNTIF(M5:M24,"無")&amp;"戸"</f>
        <v>無→19戸</v>
      </c>
      <c r="N26" s="35" t="str">
        <f>"無→"&amp;COUNTIF(N5:N24,"無")&amp;"戸"</f>
        <v>無→17戸</v>
      </c>
      <c r="O26" s="35" t="str">
        <f>"無→"&amp;COUNTIF(O5:O24,"無")&amp;"戸"</f>
        <v>無→5戸</v>
      </c>
      <c r="P26" s="35" t="str">
        <f>"珪藻土→"&amp;COUNTIF(P5:P24,"珪藻土")&amp;"戸"</f>
        <v>珪藻土→0戸</v>
      </c>
      <c r="Q26" s="35" t="str">
        <f>"塩ビタイル→"&amp;COUNTIF(Q5:Q24,"塩ビタイル")&amp;"戸"</f>
        <v>塩ビタイル→1戸</v>
      </c>
      <c r="R26" s="35" t="str">
        <f>"900→"&amp;COUNTIF(R5:R24,"900")&amp;"戸"</f>
        <v>900→0戸</v>
      </c>
      <c r="S26" s="35" t="str">
        <f>"不可→"&amp;COUNTIF(S5:S24,"不可")&amp;"戸"</f>
        <v>不可→1戸</v>
      </c>
      <c r="T26" s="35" t="str">
        <f>"800→"&amp;COUNTIF(T5:T24,"800")&amp;"戸"</f>
        <v>800→0戸</v>
      </c>
      <c r="U26" s="35" t="str">
        <f>"無→"&amp;COUNTIF(U5:U24,"無")&amp;"戸"</f>
        <v>無→19戸</v>
      </c>
      <c r="V26" s="35" t="str">
        <f>"珪藻土→"&amp;COUNTIF(V5:V24,"珪藻土")&amp;"戸"</f>
        <v>珪藻土→0戸</v>
      </c>
      <c r="W26" s="35" t="str">
        <f>"塩ビタイル→"&amp;COUNTIF(W5:W24,"塩ビタイル")&amp;"戸"</f>
        <v>塩ビタイル→1戸</v>
      </c>
      <c r="X26" s="35" t="str">
        <f>"リフォーム済み→"&amp;COUNTIF(X5:X24,"リフォーム済み")&amp;"戸"</f>
        <v>リフォーム済み→19戸</v>
      </c>
      <c r="Y26" s="35" t="str">
        <f>"LIXIL→"&amp;COUNTIF(Y5:Y24,"LIXIL")&amp;"戸"</f>
        <v>LIXIL→1戸</v>
      </c>
      <c r="Z26" s="131"/>
      <c r="AA26" s="35" t="str">
        <f>"不可→"&amp;COUNTIF(AA5:AA24,"不可")&amp;"戸"</f>
        <v>不可→20戸</v>
      </c>
      <c r="AB26" s="36" t="str">
        <f>"システム→"&amp;COUNTIF(AB5:AB24,"システム")&amp;"戸"</f>
        <v>システム→13戸</v>
      </c>
      <c r="AC26" s="131"/>
      <c r="AD26" s="131"/>
      <c r="AE26" s="35" t="str">
        <f>"SUS→"&amp;COUNTIF(AE5:AE24,"SUS")&amp;"戸"</f>
        <v>SUS→10戸</v>
      </c>
      <c r="AF26" s="35" t="str">
        <f>"SUS→"&amp;COUNTIF(AF5:AF24,"SUS")&amp;"戸"</f>
        <v>SUS→0戸</v>
      </c>
      <c r="AG26" s="35" t="str">
        <f>"リフォーム済み→"&amp;COUNTIF(AG5:AG24,"リフォーム済み")&amp;"戸"</f>
        <v>リフォーム済み→20戸</v>
      </c>
      <c r="AH26" s="35" t="str">
        <f>"ベランダ→"&amp;COUNTIF(AH5:AH24,"ベランダ")&amp;"戸"</f>
        <v>ベランダ→3戸</v>
      </c>
      <c r="AI26" s="131"/>
      <c r="AJ26" s="131"/>
      <c r="AK26" s="131"/>
      <c r="AL26" s="112"/>
      <c r="AM26" s="113"/>
      <c r="AN26" s="113"/>
      <c r="AO26" s="113"/>
      <c r="AP26" s="114"/>
      <c r="AQ26" s="41"/>
    </row>
    <row r="27" spans="1:43" s="2" customFormat="1" ht="11.25" customHeight="1" x14ac:dyDescent="0.4">
      <c r="A27" s="121"/>
      <c r="B27" s="122"/>
      <c r="C27" s="122"/>
      <c r="D27" s="122"/>
      <c r="E27" s="123"/>
      <c r="F27" s="137"/>
      <c r="G27" s="35" t="str">
        <f>"外部居住→"&amp;COUNTIF(G5:G24,"外部居住")&amp;"戸"</f>
        <v>外部居住→0戸</v>
      </c>
      <c r="H27" s="35"/>
      <c r="I27" s="35" t="str">
        <f>"塗装→"&amp;COUNTIF(I5:I24,"塗装")&amp;"戸"</f>
        <v>塗装→0戸</v>
      </c>
      <c r="J27" s="35" t="str">
        <f>"その他→"&amp;COUNTIF(J5:J24,"その他")&amp;"戸"</f>
        <v>その他→1戸</v>
      </c>
      <c r="K27" s="35" t="str">
        <f>"レストパル→"&amp;COUNTIF(K5:K24,"レストパル")&amp;"戸"</f>
        <v>レストパル→0戸</v>
      </c>
      <c r="L27" s="35" t="str">
        <f>"WL→"&amp;COUNTIF(L5:L24,"WL")&amp;"戸"</f>
        <v>WL→19戸</v>
      </c>
      <c r="M27" s="23"/>
      <c r="N27" s="23"/>
      <c r="O27" s="23"/>
      <c r="P27" s="35" t="str">
        <f>"塗装→"&amp;COUNTIF(P5:P24,"塗装")&amp;"戸"</f>
        <v>塗装→0戸</v>
      </c>
      <c r="Q27" s="35" t="str">
        <f>"フローリング→"&amp;COUNTIF(Q5:Q24,"フローリング")&amp;"戸"</f>
        <v>フローリング→0戸</v>
      </c>
      <c r="R27" s="35" t="str">
        <f>"750→"&amp;COUNTIF(R5:R24,"750")&amp;"戸"</f>
        <v>750→10戸</v>
      </c>
      <c r="S27" s="35"/>
      <c r="T27" s="35" t="str">
        <f>"740→"&amp;COUNTIF(T5:T24,"740")&amp;"戸"</f>
        <v>740→1戸</v>
      </c>
      <c r="U27" s="22"/>
      <c r="V27" s="35" t="str">
        <f>"塗装→"&amp;COUNTIF(V5:V24,"塗装")&amp;"戸"</f>
        <v>塗装→0戸</v>
      </c>
      <c r="W27" s="35" t="str">
        <f>"フローリング→"&amp;COUNTIF(W5:W24,"フローリング")&amp;"戸"</f>
        <v>フローリング→1戸</v>
      </c>
      <c r="X27" s="35"/>
      <c r="Y27" s="35" t="str">
        <f>"Panasonic→"&amp;COUNTIF(Y5:Y24,"Panasonic")&amp;"戸"</f>
        <v>Panasonic→0戸</v>
      </c>
      <c r="Z27" s="131"/>
      <c r="AA27" s="35"/>
      <c r="AB27" s="35" t="str">
        <f>"その他→"&amp;COUNTIF(AB5:AB24,"その他")&amp;"戸"</f>
        <v>その他→0戸</v>
      </c>
      <c r="AC27" s="131"/>
      <c r="AD27" s="131"/>
      <c r="AE27" s="35" t="str">
        <f>"ホーロー→"&amp;COUNTIF(AE5:AE24,"ホーロー")&amp;"戸"</f>
        <v>ホーロー→0戸</v>
      </c>
      <c r="AF27" s="35" t="str">
        <f>"ホーロー→"&amp;COUNTIF(AF5:AF24,"ホーロー")&amp;"戸"</f>
        <v>ホーロー→0戸</v>
      </c>
      <c r="AG27" s="35"/>
      <c r="AH27" s="35"/>
      <c r="AI27" s="131"/>
      <c r="AJ27" s="131"/>
      <c r="AK27" s="131"/>
      <c r="AL27" s="112"/>
      <c r="AM27" s="113"/>
      <c r="AN27" s="113"/>
      <c r="AO27" s="113"/>
      <c r="AP27" s="114"/>
      <c r="AQ27" s="41"/>
    </row>
    <row r="28" spans="1:43" s="2" customFormat="1" ht="11.25" customHeight="1" x14ac:dyDescent="0.4">
      <c r="A28" s="124"/>
      <c r="B28" s="125"/>
      <c r="C28" s="125"/>
      <c r="D28" s="125"/>
      <c r="E28" s="126"/>
      <c r="F28" s="138"/>
      <c r="G28" s="55" t="str">
        <f>"空家→"&amp;COUNTIF(G5:G24,"空家")&amp;"戸"</f>
        <v>空家→0戸</v>
      </c>
      <c r="H28" s="55"/>
      <c r="I28" s="28"/>
      <c r="J28" s="27"/>
      <c r="K28" s="55" t="str">
        <f>"一体型→"&amp;COUNTIF(K5:K24,"一体型")&amp;"戸"</f>
        <v>一体型→0戸</v>
      </c>
      <c r="L28" s="28"/>
      <c r="M28" s="28"/>
      <c r="N28" s="28"/>
      <c r="O28" s="28"/>
      <c r="P28" s="28"/>
      <c r="Q28" s="28"/>
      <c r="R28" s="55" t="str">
        <f>"740→"&amp;COUNTIF(R5:R24,"740")&amp;"戸"</f>
        <v>740→5戸</v>
      </c>
      <c r="S28" s="27"/>
      <c r="T28" s="55" t="str">
        <f>"640→"&amp;COUNTIF(T5:T24,"640")&amp;"戸"</f>
        <v>640→2戸</v>
      </c>
      <c r="U28" s="27"/>
      <c r="V28" s="27"/>
      <c r="W28" s="27"/>
      <c r="X28" s="27"/>
      <c r="Y28" s="27"/>
      <c r="Z28" s="132"/>
      <c r="AA28" s="27"/>
      <c r="AB28" s="28"/>
      <c r="AC28" s="132"/>
      <c r="AD28" s="132"/>
      <c r="AE28" s="55" t="str">
        <f>"その他→"&amp;COUNTIF(AE5:AE24,"その他")&amp;"戸"</f>
        <v>その他→0戸</v>
      </c>
      <c r="AF28" s="55" t="str">
        <f>"その他→"&amp;COUNTIF(AF5:AF24,"その他")&amp;"戸"</f>
        <v>その他→0戸</v>
      </c>
      <c r="AG28" s="55"/>
      <c r="AH28" s="55"/>
      <c r="AI28" s="132"/>
      <c r="AJ28" s="132"/>
      <c r="AK28" s="132"/>
      <c r="AL28" s="115"/>
      <c r="AM28" s="116"/>
      <c r="AN28" s="116"/>
      <c r="AO28" s="116"/>
      <c r="AP28" s="117"/>
      <c r="AQ28" s="41"/>
    </row>
    <row r="29" spans="1:43" s="2" customFormat="1" x14ac:dyDescent="0.4">
      <c r="A29" s="31"/>
      <c r="AI29" s="37"/>
      <c r="AJ29" s="37"/>
      <c r="AQ29" s="1"/>
    </row>
  </sheetData>
  <autoFilter ref="AI3:AK4" xr:uid="{981F3D50-D44C-4160-888B-A0687D033DE6}"/>
  <mergeCells count="47">
    <mergeCell ref="AL21:AP21"/>
    <mergeCell ref="AL22:AP22"/>
    <mergeCell ref="AL23:AP23"/>
    <mergeCell ref="AL24:AP24"/>
    <mergeCell ref="A25:E28"/>
    <mergeCell ref="F25:F28"/>
    <mergeCell ref="AL25:AP28"/>
    <mergeCell ref="Z25:Z28"/>
    <mergeCell ref="AC25:AC28"/>
    <mergeCell ref="AI25:AI28"/>
    <mergeCell ref="AJ25:AJ28"/>
    <mergeCell ref="AK25:AK28"/>
    <mergeCell ref="AD25:AD28"/>
    <mergeCell ref="AL20:AP20"/>
    <mergeCell ref="AL9:AP9"/>
    <mergeCell ref="AL10:AP10"/>
    <mergeCell ref="AL11:AP11"/>
    <mergeCell ref="AL12:AP12"/>
    <mergeCell ref="AL13:AP13"/>
    <mergeCell ref="AL14:AP14"/>
    <mergeCell ref="AL15:AP15"/>
    <mergeCell ref="AL16:AP16"/>
    <mergeCell ref="AL17:AP17"/>
    <mergeCell ref="AL18:AP18"/>
    <mergeCell ref="AL19:AP19"/>
    <mergeCell ref="AL8:AP8"/>
    <mergeCell ref="R3:W3"/>
    <mergeCell ref="X3:AA3"/>
    <mergeCell ref="AB3:AF3"/>
    <mergeCell ref="AG3:AH3"/>
    <mergeCell ref="AI3:AI4"/>
    <mergeCell ref="AJ3:AJ4"/>
    <mergeCell ref="AK3:AK4"/>
    <mergeCell ref="AL3:AP4"/>
    <mergeCell ref="AL5:AP5"/>
    <mergeCell ref="AL6:AP6"/>
    <mergeCell ref="AL7:AP7"/>
    <mergeCell ref="A1:AP2"/>
    <mergeCell ref="A3:A4"/>
    <mergeCell ref="B3:B4"/>
    <mergeCell ref="C3:C4"/>
    <mergeCell ref="D3:E4"/>
    <mergeCell ref="F3:F4"/>
    <mergeCell ref="G3:G4"/>
    <mergeCell ref="H3:H4"/>
    <mergeCell ref="I3:J3"/>
    <mergeCell ref="K3:Q3"/>
  </mergeCells>
  <phoneticPr fontId="1"/>
  <dataValidations count="1">
    <dataValidation imeMode="off" allowBlank="1" showInputMessage="1" showErrorMessage="1" sqref="C1:C3 A29:C1048576 A1:A25 B1:B24 C5:C24" xr:uid="{65F43E80-B6D5-4EB6-9C7C-80E7D7303C8E}"/>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1048575"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21AE7013-6EE5-4295-9552-B2207488C363}">
          <x14:formula1>
            <xm:f>Sheet1!$C$9:$C$11</xm:f>
          </x14:formula1>
          <xm:sqref>W19:W24 W5:W17 Q5:Q17 Q19:Q24</xm:sqref>
        </x14:dataValidation>
        <x14:dataValidation type="list" allowBlank="1" showInputMessage="1" showErrorMessage="1" xr:uid="{81FE254B-A3B7-47FA-831E-24D0E07CDCEA}">
          <x14:formula1>
            <xm:f>Sheet1!$A$1:$A$4</xm:f>
          </x14:formula1>
          <xm:sqref>G5:G24</xm:sqref>
        </x14:dataValidation>
        <x14:dataValidation type="list" allowBlank="1" showInputMessage="1" showErrorMessage="1" xr:uid="{D9CD2153-24FE-4FFF-BE73-9A9A87D075A9}">
          <x14:formula1>
            <xm:f>Sheet1!$A$6:$A$7</xm:f>
          </x14:formula1>
          <xm:sqref>H5:H24</xm:sqref>
        </x14:dataValidation>
        <x14:dataValidation type="list" allowBlank="1" showInputMessage="1" showErrorMessage="1" xr:uid="{F7979D8D-53BF-4805-AD46-82CE1BB724DB}">
          <x14:formula1>
            <xm:f>Sheet1!$A$9:$A$11</xm:f>
          </x14:formula1>
          <xm:sqref>V5:V24 P5:P24 I5:I24</xm:sqref>
        </x14:dataValidation>
        <x14:dataValidation type="list" allowBlank="1" showInputMessage="1" showErrorMessage="1" xr:uid="{F487CF6C-6A93-4362-96F5-693339BCBA48}">
          <x14:formula1>
            <xm:f>Sheet1!$D$1:$D$3</xm:f>
          </x14:formula1>
          <xm:sqref>J5:J24</xm:sqref>
        </x14:dataValidation>
        <x14:dataValidation type="list" allowBlank="1" showInputMessage="1" showErrorMessage="1" xr:uid="{8945F4B3-E0E0-4EC6-93D3-A939041D51B8}">
          <x14:formula1>
            <xm:f>Sheet1!$G$9:$G$12</xm:f>
          </x14:formula1>
          <xm:sqref>K5:K24</xm:sqref>
        </x14:dataValidation>
        <x14:dataValidation type="list" allowBlank="1" showInputMessage="1" showErrorMessage="1" xr:uid="{64F9D07A-6675-4636-830A-78FE97867E8A}">
          <x14:formula1>
            <xm:f>Sheet1!$E$9:$E$11</xm:f>
          </x14:formula1>
          <xm:sqref>L5:L24</xm:sqref>
        </x14:dataValidation>
        <x14:dataValidation type="list" allowBlank="1" showInputMessage="1" showErrorMessage="1" xr:uid="{D0E2D737-C1CF-477E-95D8-D47A15479228}">
          <x14:formula1>
            <xm:f>Sheet1!$C$6:$C$7</xm:f>
          </x14:formula1>
          <xm:sqref>AJ5:AK24 AC5:AD24 U5:U24 M5:O24</xm:sqref>
        </x14:dataValidation>
        <x14:dataValidation type="list" allowBlank="1" showInputMessage="1" showErrorMessage="1" xr:uid="{A9A5E251-A15A-43A5-9621-98873BF3A756}">
          <x14:formula1>
            <xm:f>Sheet1!$A$17:$A$20</xm:f>
          </x14:formula1>
          <xm:sqref>R22:R23 R5:R6 R14:R15 R18:R20 R9 R11</xm:sqref>
        </x14:dataValidation>
        <x14:dataValidation type="list" allowBlank="1" showInputMessage="1" showErrorMessage="1" xr:uid="{FD815B29-9B53-4AFE-B898-6090A72476A9}">
          <x14:formula1>
            <xm:f>Sheet1!$C$17:$C$20</xm:f>
          </x14:formula1>
          <xm:sqref>T5:T12 T14:T24</xm:sqref>
        </x14:dataValidation>
        <x14:dataValidation type="list" allowBlank="1" showInputMessage="1" showErrorMessage="1" xr:uid="{F98A2702-3C8A-46DE-B9CD-9BCC0F2FADBC}">
          <x14:formula1>
            <xm:f>Sheet1!$A$13:$A$15</xm:f>
          </x14:formula1>
          <xm:sqref>AB5:AB24</xm:sqref>
        </x14:dataValidation>
        <x14:dataValidation type="list" allowBlank="1" showInputMessage="1" showErrorMessage="1" xr:uid="{C5F6C9F3-763D-462C-BC14-1D0D6B34D00F}">
          <x14:formula1>
            <xm:f>Sheet1!$G$1:$G$4</xm:f>
          </x14:formula1>
          <xm:sqref>AE5:AF24</xm:sqref>
        </x14:dataValidation>
        <x14:dataValidation type="list" allowBlank="1" showInputMessage="1" showErrorMessage="1" xr:uid="{BB387C6A-71C2-4AB3-A1C5-92C94A64EAC6}">
          <x14:formula1>
            <xm:f>Sheet1!$E$17:$E$18</xm:f>
          </x14:formula1>
          <xm:sqref>AG5:AG24</xm:sqref>
        </x14:dataValidation>
        <x14:dataValidation type="list" allowBlank="1" showInputMessage="1" showErrorMessage="1" xr:uid="{2F03828C-8B0F-4B71-9567-610A9F360BC9}">
          <x14:formula1>
            <xm:f>Sheet1!$G$17:$G$18</xm:f>
          </x14:formula1>
          <xm:sqref>AH5:AH24</xm:sqref>
        </x14:dataValidation>
        <x14:dataValidation type="list" allowBlank="1" showInputMessage="1" showErrorMessage="1" xr:uid="{6D035A83-32C8-4EE8-BF0C-D32AAA89F9C4}">
          <x14:formula1>
            <xm:f>Sheet1!$I$1:$I$2</xm:f>
          </x14:formula1>
          <xm:sqref>X5:X24</xm:sqref>
        </x14:dataValidation>
        <x14:dataValidation type="list" allowBlank="1" showInputMessage="1" showErrorMessage="1" xr:uid="{288F0716-6BC4-4E7C-AA25-2DCEF81D0C36}">
          <x14:formula1>
            <xm:f>Sheet1!$G$6:$G$7</xm:f>
          </x14:formula1>
          <xm:sqref>S5:S24 AA5:AA24</xm:sqref>
        </x14:dataValidation>
        <x14:dataValidation type="list" allowBlank="1" showInputMessage="1" showErrorMessage="1" xr:uid="{E1E33C1C-306F-42DD-89D7-B981669B6EF8}">
          <x14:formula1>
            <xm:f>Sheet1!$C$6:$C$8</xm:f>
          </x14:formula1>
          <xm:sqref>AI5:AI24</xm:sqref>
        </x14:dataValidation>
        <x14:dataValidation type="list" allowBlank="1" showInputMessage="1" showErrorMessage="1" xr:uid="{97398756-2CA5-48DC-87A2-70E98DB65669}">
          <x14:formula1>
            <xm:f>Sheet1!$I$9:$I$13</xm:f>
          </x14:formula1>
          <xm:sqref>Y5:Y13 Y15:Y18 Y20:Y24</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E393B-E54C-4DB5-9405-D68C3F458079}">
  <sheetPr codeName="Sheet27">
    <tabColor theme="4" tint="0.39997558519241921"/>
  </sheetPr>
  <dimension ref="A1:AT39"/>
  <sheetViews>
    <sheetView view="pageBreakPreview" zoomScaleNormal="40" zoomScaleSheetLayoutView="70" workbookViewId="0">
      <pane xSplit="5" ySplit="4" topLeftCell="AI26" activePane="bottomRight" state="frozen"/>
      <selection activeCell="A5" sqref="A5:F23"/>
      <selection pane="topRight" activeCell="A5" sqref="A5:F23"/>
      <selection pane="bottomLeft" activeCell="A5" sqref="A5:F23"/>
      <selection pane="bottomRight" activeCell="AQ28" sqref="AQ28"/>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3.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33.87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67</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910</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6" s="10" customFormat="1" ht="15" customHeight="1" x14ac:dyDescent="0.4">
      <c r="A5" s="6">
        <v>27</v>
      </c>
      <c r="B5" s="6">
        <v>101</v>
      </c>
      <c r="C5" s="6" t="s">
        <v>80</v>
      </c>
      <c r="D5" s="18" t="s">
        <v>478</v>
      </c>
      <c r="E5" s="32" t="s">
        <v>18</v>
      </c>
      <c r="F5" s="6" t="s">
        <v>479</v>
      </c>
      <c r="G5" s="6" t="s">
        <v>43</v>
      </c>
      <c r="H5" s="6" t="s">
        <v>52</v>
      </c>
      <c r="I5" s="6" t="s">
        <v>84</v>
      </c>
      <c r="J5" s="6" t="s">
        <v>85</v>
      </c>
      <c r="K5" s="6" t="s">
        <v>60</v>
      </c>
      <c r="L5" s="6" t="s">
        <v>92</v>
      </c>
      <c r="M5" s="6" t="s">
        <v>45</v>
      </c>
      <c r="N5" s="6" t="s">
        <v>45</v>
      </c>
      <c r="O5" s="6" t="s">
        <v>23</v>
      </c>
      <c r="P5" s="6" t="s">
        <v>84</v>
      </c>
      <c r="Q5" s="6" t="s">
        <v>86</v>
      </c>
      <c r="R5" s="6">
        <v>740</v>
      </c>
      <c r="S5" s="16" t="s">
        <v>39</v>
      </c>
      <c r="T5" s="6">
        <v>900</v>
      </c>
      <c r="U5" s="6" t="s">
        <v>45</v>
      </c>
      <c r="V5" s="6" t="s">
        <v>84</v>
      </c>
      <c r="W5" s="6" t="s">
        <v>86</v>
      </c>
      <c r="X5" s="16" t="s">
        <v>60</v>
      </c>
      <c r="Y5" s="16" t="s">
        <v>87</v>
      </c>
      <c r="Z5" s="16" t="s">
        <v>608</v>
      </c>
      <c r="AA5" s="16" t="s">
        <v>39</v>
      </c>
      <c r="AB5" s="7" t="s">
        <v>88</v>
      </c>
      <c r="AC5" s="8" t="s">
        <v>45</v>
      </c>
      <c r="AD5" s="8" t="s">
        <v>23</v>
      </c>
      <c r="AE5" s="8" t="s">
        <v>50</v>
      </c>
      <c r="AF5" s="16" t="s">
        <v>50</v>
      </c>
      <c r="AG5" s="17" t="s">
        <v>60</v>
      </c>
      <c r="AH5" s="17" t="s">
        <v>62</v>
      </c>
      <c r="AI5" s="17" t="s">
        <v>45</v>
      </c>
      <c r="AJ5" s="17" t="s">
        <v>23</v>
      </c>
      <c r="AK5" s="9" t="s">
        <v>45</v>
      </c>
      <c r="AL5" s="103" t="s">
        <v>480</v>
      </c>
      <c r="AM5" s="104"/>
      <c r="AN5" s="104"/>
      <c r="AO5" s="104"/>
      <c r="AP5" s="105"/>
    </row>
    <row r="6" spans="1:46" s="14" customFormat="1" ht="32.25" customHeight="1" x14ac:dyDescent="0.4">
      <c r="A6" s="11">
        <v>27</v>
      </c>
      <c r="B6" s="11">
        <v>201</v>
      </c>
      <c r="C6" s="11" t="s">
        <v>80</v>
      </c>
      <c r="D6" s="13" t="s">
        <v>570</v>
      </c>
      <c r="E6" s="33" t="s">
        <v>18</v>
      </c>
      <c r="F6" s="45" t="s">
        <v>571</v>
      </c>
      <c r="G6" s="11" t="s">
        <v>43</v>
      </c>
      <c r="H6" s="11" t="s">
        <v>52</v>
      </c>
      <c r="I6" s="11" t="s">
        <v>84</v>
      </c>
      <c r="J6" s="11" t="s">
        <v>85</v>
      </c>
      <c r="K6" s="11" t="s">
        <v>60</v>
      </c>
      <c r="L6" s="11" t="s">
        <v>92</v>
      </c>
      <c r="M6" s="11" t="s">
        <v>45</v>
      </c>
      <c r="N6" s="11" t="s">
        <v>45</v>
      </c>
      <c r="O6" s="11" t="s">
        <v>23</v>
      </c>
      <c r="P6" s="11" t="s">
        <v>84</v>
      </c>
      <c r="Q6" s="11" t="s">
        <v>86</v>
      </c>
      <c r="R6" s="11">
        <v>750</v>
      </c>
      <c r="S6" s="40" t="s">
        <v>39</v>
      </c>
      <c r="T6" s="11">
        <v>900</v>
      </c>
      <c r="U6" s="11" t="s">
        <v>45</v>
      </c>
      <c r="V6" s="11" t="s">
        <v>84</v>
      </c>
      <c r="W6" s="11" t="s">
        <v>86</v>
      </c>
      <c r="X6" s="40" t="s">
        <v>60</v>
      </c>
      <c r="Y6" s="40" t="s">
        <v>87</v>
      </c>
      <c r="Z6" s="40" t="s">
        <v>572</v>
      </c>
      <c r="AA6" s="40" t="s">
        <v>39</v>
      </c>
      <c r="AB6" s="12" t="s">
        <v>88</v>
      </c>
      <c r="AC6" s="11" t="s">
        <v>45</v>
      </c>
      <c r="AD6" s="11" t="s">
        <v>23</v>
      </c>
      <c r="AE6" s="11" t="s">
        <v>50</v>
      </c>
      <c r="AF6" s="11" t="s">
        <v>50</v>
      </c>
      <c r="AG6" s="13" t="s">
        <v>60</v>
      </c>
      <c r="AH6" s="13" t="s">
        <v>96</v>
      </c>
      <c r="AI6" s="13" t="s">
        <v>45</v>
      </c>
      <c r="AJ6" s="13" t="s">
        <v>45</v>
      </c>
      <c r="AK6" s="13" t="s">
        <v>45</v>
      </c>
      <c r="AL6" s="94" t="s">
        <v>573</v>
      </c>
      <c r="AM6" s="95"/>
      <c r="AN6" s="95"/>
      <c r="AO6" s="95"/>
      <c r="AP6" s="96"/>
    </row>
    <row r="7" spans="1:46" s="10" customFormat="1" ht="32.25" customHeight="1" x14ac:dyDescent="0.4">
      <c r="A7" s="6">
        <v>27</v>
      </c>
      <c r="B7" s="6">
        <v>301</v>
      </c>
      <c r="C7" s="6" t="s">
        <v>80</v>
      </c>
      <c r="D7" s="18" t="s">
        <v>459</v>
      </c>
      <c r="E7" s="34" t="s">
        <v>18</v>
      </c>
      <c r="F7" s="6" t="s">
        <v>460</v>
      </c>
      <c r="G7" s="6" t="s">
        <v>43</v>
      </c>
      <c r="H7" s="6" t="s">
        <v>52</v>
      </c>
      <c r="I7" s="6" t="s">
        <v>84</v>
      </c>
      <c r="J7" s="6" t="s">
        <v>85</v>
      </c>
      <c r="K7" s="6" t="s">
        <v>60</v>
      </c>
      <c r="L7" s="6" t="s">
        <v>92</v>
      </c>
      <c r="M7" s="6" t="s">
        <v>45</v>
      </c>
      <c r="N7" s="6" t="s">
        <v>45</v>
      </c>
      <c r="O7" s="6" t="s">
        <v>45</v>
      </c>
      <c r="P7" s="6" t="s">
        <v>84</v>
      </c>
      <c r="Q7" s="6" t="s">
        <v>378</v>
      </c>
      <c r="R7" s="6">
        <v>740</v>
      </c>
      <c r="S7" s="6" t="s">
        <v>39</v>
      </c>
      <c r="T7" s="6">
        <v>620</v>
      </c>
      <c r="U7" s="6" t="s">
        <v>45</v>
      </c>
      <c r="V7" s="6" t="s">
        <v>84</v>
      </c>
      <c r="W7" s="6" t="s">
        <v>378</v>
      </c>
      <c r="X7" s="6" t="s">
        <v>60</v>
      </c>
      <c r="Y7" s="6" t="s">
        <v>344</v>
      </c>
      <c r="Z7" s="46" t="s">
        <v>609</v>
      </c>
      <c r="AA7" s="6" t="s">
        <v>39</v>
      </c>
      <c r="AB7" s="15" t="s">
        <v>19</v>
      </c>
      <c r="AC7" s="16" t="s">
        <v>45</v>
      </c>
      <c r="AD7" s="16" t="s">
        <v>45</v>
      </c>
      <c r="AE7" s="16" t="s">
        <v>50</v>
      </c>
      <c r="AF7" s="16" t="s">
        <v>50</v>
      </c>
      <c r="AG7" s="17" t="s">
        <v>60</v>
      </c>
      <c r="AH7" s="17" t="s">
        <v>62</v>
      </c>
      <c r="AI7" s="17" t="s">
        <v>45</v>
      </c>
      <c r="AJ7" s="17" t="s">
        <v>45</v>
      </c>
      <c r="AK7" s="17" t="s">
        <v>45</v>
      </c>
      <c r="AL7" s="78" t="s">
        <v>461</v>
      </c>
      <c r="AM7" s="79"/>
      <c r="AN7" s="79"/>
      <c r="AO7" s="79"/>
      <c r="AP7" s="80"/>
    </row>
    <row r="8" spans="1:46" s="14" customFormat="1" ht="15" customHeight="1" x14ac:dyDescent="0.4">
      <c r="A8" s="11">
        <v>27</v>
      </c>
      <c r="B8" s="11">
        <v>401</v>
      </c>
      <c r="C8" s="11" t="s">
        <v>80</v>
      </c>
      <c r="D8" s="13" t="s">
        <v>462</v>
      </c>
      <c r="E8" s="33" t="s">
        <v>18</v>
      </c>
      <c r="F8" s="11" t="s">
        <v>463</v>
      </c>
      <c r="G8" s="11" t="s">
        <v>43</v>
      </c>
      <c r="H8" s="11" t="s">
        <v>52</v>
      </c>
      <c r="I8" s="11" t="s">
        <v>84</v>
      </c>
      <c r="J8" s="11" t="s">
        <v>85</v>
      </c>
      <c r="K8" s="11" t="s">
        <v>60</v>
      </c>
      <c r="L8" s="11" t="s">
        <v>92</v>
      </c>
      <c r="M8" s="11" t="s">
        <v>45</v>
      </c>
      <c r="N8" s="11" t="s">
        <v>23</v>
      </c>
      <c r="O8" s="11" t="s">
        <v>23</v>
      </c>
      <c r="P8" s="11" t="s">
        <v>84</v>
      </c>
      <c r="Q8" s="11" t="s">
        <v>86</v>
      </c>
      <c r="R8" s="11">
        <v>750</v>
      </c>
      <c r="S8" s="40" t="s">
        <v>39</v>
      </c>
      <c r="T8" s="11">
        <v>900</v>
      </c>
      <c r="U8" s="11" t="s">
        <v>45</v>
      </c>
      <c r="V8" s="11" t="s">
        <v>84</v>
      </c>
      <c r="W8" s="11" t="s">
        <v>86</v>
      </c>
      <c r="X8" s="40" t="s">
        <v>19</v>
      </c>
      <c r="Y8" s="40"/>
      <c r="Z8" s="40"/>
      <c r="AA8" s="40" t="s">
        <v>39</v>
      </c>
      <c r="AB8" s="12" t="s">
        <v>19</v>
      </c>
      <c r="AC8" s="11" t="s">
        <v>45</v>
      </c>
      <c r="AD8" s="11" t="s">
        <v>45</v>
      </c>
      <c r="AE8" s="11" t="s">
        <v>116</v>
      </c>
      <c r="AF8" s="11" t="s">
        <v>50</v>
      </c>
      <c r="AG8" s="13" t="s">
        <v>60</v>
      </c>
      <c r="AH8" s="13" t="s">
        <v>62</v>
      </c>
      <c r="AI8" s="13" t="s">
        <v>45</v>
      </c>
      <c r="AJ8" s="13" t="s">
        <v>23</v>
      </c>
      <c r="AK8" s="13" t="s">
        <v>45</v>
      </c>
      <c r="AL8" s="94" t="s">
        <v>466</v>
      </c>
      <c r="AM8" s="95"/>
      <c r="AN8" s="95"/>
      <c r="AO8" s="95"/>
      <c r="AP8" s="96"/>
    </row>
    <row r="9" spans="1:46" s="10" customFormat="1" ht="15" customHeight="1" x14ac:dyDescent="0.4">
      <c r="A9" s="6">
        <v>27</v>
      </c>
      <c r="B9" s="6">
        <v>501</v>
      </c>
      <c r="C9" s="6" t="s">
        <v>80</v>
      </c>
      <c r="D9" s="18" t="s">
        <v>464</v>
      </c>
      <c r="E9" s="34" t="s">
        <v>18</v>
      </c>
      <c r="F9" s="6" t="s">
        <v>465</v>
      </c>
      <c r="G9" s="6" t="s">
        <v>22</v>
      </c>
      <c r="H9" s="6" t="s">
        <v>52</v>
      </c>
      <c r="I9" s="6" t="s">
        <v>84</v>
      </c>
      <c r="J9" s="6" t="s">
        <v>85</v>
      </c>
      <c r="K9" s="6" t="s">
        <v>19</v>
      </c>
      <c r="L9" s="6" t="s">
        <v>92</v>
      </c>
      <c r="M9" s="6" t="s">
        <v>45</v>
      </c>
      <c r="N9" s="6" t="s">
        <v>45</v>
      </c>
      <c r="O9" s="6" t="s">
        <v>23</v>
      </c>
      <c r="P9" s="6" t="s">
        <v>84</v>
      </c>
      <c r="Q9" s="6" t="s">
        <v>86</v>
      </c>
      <c r="R9" s="6">
        <v>750</v>
      </c>
      <c r="S9" s="6" t="s">
        <v>39</v>
      </c>
      <c r="T9" s="6">
        <v>900</v>
      </c>
      <c r="U9" s="6" t="s">
        <v>45</v>
      </c>
      <c r="V9" s="6" t="s">
        <v>84</v>
      </c>
      <c r="W9" s="6" t="s">
        <v>86</v>
      </c>
      <c r="X9" s="6" t="s">
        <v>19</v>
      </c>
      <c r="Y9" s="6"/>
      <c r="Z9" s="6"/>
      <c r="AA9" s="6" t="s">
        <v>39</v>
      </c>
      <c r="AB9" s="15" t="s">
        <v>19</v>
      </c>
      <c r="AC9" s="16" t="s">
        <v>45</v>
      </c>
      <c r="AD9" s="16" t="s">
        <v>45</v>
      </c>
      <c r="AE9" s="16" t="s">
        <v>116</v>
      </c>
      <c r="AF9" s="16" t="s">
        <v>50</v>
      </c>
      <c r="AG9" s="17" t="s">
        <v>60</v>
      </c>
      <c r="AH9" s="17" t="s">
        <v>62</v>
      </c>
      <c r="AI9" s="17" t="s">
        <v>23</v>
      </c>
      <c r="AJ9" s="17" t="s">
        <v>23</v>
      </c>
      <c r="AK9" s="17" t="s">
        <v>45</v>
      </c>
      <c r="AL9" s="78" t="s">
        <v>467</v>
      </c>
      <c r="AM9" s="79"/>
      <c r="AN9" s="79"/>
      <c r="AO9" s="79"/>
      <c r="AP9" s="80"/>
    </row>
    <row r="10" spans="1:46" s="14" customFormat="1" ht="31.5" customHeight="1" x14ac:dyDescent="0.4">
      <c r="A10" s="11">
        <v>27</v>
      </c>
      <c r="B10" s="11">
        <v>102</v>
      </c>
      <c r="C10" s="11" t="s">
        <v>80</v>
      </c>
      <c r="D10" s="13" t="s">
        <v>481</v>
      </c>
      <c r="E10" s="33" t="s">
        <v>18</v>
      </c>
      <c r="F10" s="45" t="s">
        <v>482</v>
      </c>
      <c r="G10" s="11" t="s">
        <v>43</v>
      </c>
      <c r="H10" s="11" t="s">
        <v>52</v>
      </c>
      <c r="I10" s="11" t="s">
        <v>84</v>
      </c>
      <c r="J10" s="11" t="s">
        <v>85</v>
      </c>
      <c r="K10" s="11" t="s">
        <v>60</v>
      </c>
      <c r="L10" s="11" t="s">
        <v>92</v>
      </c>
      <c r="M10" s="11" t="s">
        <v>45</v>
      </c>
      <c r="N10" s="11" t="s">
        <v>45</v>
      </c>
      <c r="O10" s="11" t="s">
        <v>23</v>
      </c>
      <c r="P10" s="11" t="s">
        <v>84</v>
      </c>
      <c r="Q10" s="11" t="s">
        <v>86</v>
      </c>
      <c r="R10" s="11">
        <v>750</v>
      </c>
      <c r="S10" s="40" t="s">
        <v>39</v>
      </c>
      <c r="T10" s="11">
        <v>900</v>
      </c>
      <c r="U10" s="11" t="s">
        <v>45</v>
      </c>
      <c r="V10" s="11" t="s">
        <v>84</v>
      </c>
      <c r="W10" s="11" t="s">
        <v>25</v>
      </c>
      <c r="X10" s="40" t="s">
        <v>60</v>
      </c>
      <c r="Y10" s="40" t="s">
        <v>87</v>
      </c>
      <c r="Z10" s="40" t="s">
        <v>610</v>
      </c>
      <c r="AA10" s="40" t="s">
        <v>39</v>
      </c>
      <c r="AB10" s="12" t="s">
        <v>88</v>
      </c>
      <c r="AC10" s="11" t="s">
        <v>45</v>
      </c>
      <c r="AD10" s="11" t="s">
        <v>45</v>
      </c>
      <c r="AE10" s="11" t="s">
        <v>50</v>
      </c>
      <c r="AF10" s="11" t="s">
        <v>50</v>
      </c>
      <c r="AG10" s="13" t="s">
        <v>60</v>
      </c>
      <c r="AH10" s="13" t="s">
        <v>62</v>
      </c>
      <c r="AI10" s="13" t="s">
        <v>23</v>
      </c>
      <c r="AJ10" s="13" t="s">
        <v>45</v>
      </c>
      <c r="AK10" s="13" t="s">
        <v>45</v>
      </c>
      <c r="AL10" s="94" t="s">
        <v>483</v>
      </c>
      <c r="AM10" s="95"/>
      <c r="AN10" s="95"/>
      <c r="AO10" s="95"/>
      <c r="AP10" s="96"/>
    </row>
    <row r="11" spans="1:46" s="10" customFormat="1" ht="15" customHeight="1" x14ac:dyDescent="0.4">
      <c r="A11" s="6">
        <v>27</v>
      </c>
      <c r="B11" s="6">
        <v>202</v>
      </c>
      <c r="C11" s="6" t="s">
        <v>80</v>
      </c>
      <c r="D11" s="18" t="s">
        <v>484</v>
      </c>
      <c r="E11" s="34" t="s">
        <v>18</v>
      </c>
      <c r="F11" s="6" t="s">
        <v>485</v>
      </c>
      <c r="G11" s="6" t="s">
        <v>43</v>
      </c>
      <c r="H11" s="6" t="s">
        <v>52</v>
      </c>
      <c r="I11" s="6" t="s">
        <v>84</v>
      </c>
      <c r="J11" s="6" t="s">
        <v>85</v>
      </c>
      <c r="K11" s="6" t="s">
        <v>60</v>
      </c>
      <c r="L11" s="6" t="s">
        <v>92</v>
      </c>
      <c r="M11" s="6" t="s">
        <v>45</v>
      </c>
      <c r="N11" s="6" t="s">
        <v>45</v>
      </c>
      <c r="O11" s="6" t="s">
        <v>23</v>
      </c>
      <c r="P11" s="6" t="s">
        <v>84</v>
      </c>
      <c r="Q11" s="6" t="s">
        <v>86</v>
      </c>
      <c r="R11" s="6">
        <v>750</v>
      </c>
      <c r="S11" s="6" t="s">
        <v>39</v>
      </c>
      <c r="T11" s="6">
        <v>900</v>
      </c>
      <c r="U11" s="6" t="s">
        <v>45</v>
      </c>
      <c r="V11" s="6" t="s">
        <v>84</v>
      </c>
      <c r="W11" s="6" t="s">
        <v>86</v>
      </c>
      <c r="X11" s="6" t="s">
        <v>60</v>
      </c>
      <c r="Y11" s="6" t="s">
        <v>87</v>
      </c>
      <c r="Z11" s="6" t="s">
        <v>611</v>
      </c>
      <c r="AA11" s="6" t="s">
        <v>39</v>
      </c>
      <c r="AB11" s="15" t="s">
        <v>88</v>
      </c>
      <c r="AC11" s="16" t="s">
        <v>45</v>
      </c>
      <c r="AD11" s="16" t="s">
        <v>23</v>
      </c>
      <c r="AE11" s="16" t="s">
        <v>50</v>
      </c>
      <c r="AF11" s="16" t="s">
        <v>50</v>
      </c>
      <c r="AG11" s="17" t="s">
        <v>60</v>
      </c>
      <c r="AH11" s="17" t="s">
        <v>62</v>
      </c>
      <c r="AI11" s="17" t="s">
        <v>23</v>
      </c>
      <c r="AJ11" s="17" t="s">
        <v>45</v>
      </c>
      <c r="AK11" s="17" t="s">
        <v>45</v>
      </c>
      <c r="AL11" s="78" t="s">
        <v>486</v>
      </c>
      <c r="AM11" s="79"/>
      <c r="AN11" s="79"/>
      <c r="AO11" s="79"/>
      <c r="AP11" s="80"/>
    </row>
    <row r="12" spans="1:46" s="14" customFormat="1" ht="56.25" customHeight="1" x14ac:dyDescent="0.4">
      <c r="A12" s="11">
        <v>27</v>
      </c>
      <c r="B12" s="11">
        <v>302</v>
      </c>
      <c r="C12" s="11" t="s">
        <v>80</v>
      </c>
      <c r="D12" s="13" t="s">
        <v>981</v>
      </c>
      <c r="E12" s="33" t="s">
        <v>18</v>
      </c>
      <c r="F12" s="11" t="s">
        <v>982</v>
      </c>
      <c r="G12" s="11" t="s">
        <v>43</v>
      </c>
      <c r="H12" s="11" t="s">
        <v>52</v>
      </c>
      <c r="I12" s="11" t="s">
        <v>84</v>
      </c>
      <c r="J12" s="11" t="s">
        <v>85</v>
      </c>
      <c r="K12" s="11" t="s">
        <v>60</v>
      </c>
      <c r="L12" s="11" t="s">
        <v>92</v>
      </c>
      <c r="M12" s="11" t="s">
        <v>45</v>
      </c>
      <c r="N12" s="11" t="s">
        <v>45</v>
      </c>
      <c r="O12" s="11" t="s">
        <v>45</v>
      </c>
      <c r="P12" s="11" t="s">
        <v>84</v>
      </c>
      <c r="Q12" s="11" t="s">
        <v>86</v>
      </c>
      <c r="R12" s="11">
        <v>750</v>
      </c>
      <c r="S12" s="40" t="s">
        <v>39</v>
      </c>
      <c r="T12" s="11">
        <v>640</v>
      </c>
      <c r="U12" s="11" t="s">
        <v>45</v>
      </c>
      <c r="V12" s="11" t="s">
        <v>84</v>
      </c>
      <c r="W12" s="11" t="s">
        <v>86</v>
      </c>
      <c r="X12" s="40" t="s">
        <v>60</v>
      </c>
      <c r="Y12" s="40" t="s">
        <v>983</v>
      </c>
      <c r="Z12" s="40"/>
      <c r="AA12" s="40" t="s">
        <v>39</v>
      </c>
      <c r="AB12" s="12" t="s">
        <v>88</v>
      </c>
      <c r="AC12" s="11" t="s">
        <v>23</v>
      </c>
      <c r="AD12" s="11" t="s">
        <v>23</v>
      </c>
      <c r="AE12" s="11" t="s">
        <v>50</v>
      </c>
      <c r="AF12" s="11" t="s">
        <v>50</v>
      </c>
      <c r="AG12" s="13" t="s">
        <v>60</v>
      </c>
      <c r="AH12" s="13" t="s">
        <v>62</v>
      </c>
      <c r="AI12" s="13" t="s">
        <v>45</v>
      </c>
      <c r="AJ12" s="13" t="s">
        <v>45</v>
      </c>
      <c r="AK12" s="13" t="s">
        <v>45</v>
      </c>
      <c r="AL12" s="133" t="s">
        <v>984</v>
      </c>
      <c r="AM12" s="134"/>
      <c r="AN12" s="134"/>
      <c r="AO12" s="134"/>
      <c r="AP12" s="135"/>
    </row>
    <row r="13" spans="1:46" s="10" customFormat="1" ht="31.5" customHeight="1" x14ac:dyDescent="0.4">
      <c r="A13" s="6">
        <v>27</v>
      </c>
      <c r="B13" s="6">
        <v>402</v>
      </c>
      <c r="C13" s="6" t="s">
        <v>80</v>
      </c>
      <c r="D13" s="18" t="s">
        <v>468</v>
      </c>
      <c r="E13" s="34" t="s">
        <v>18</v>
      </c>
      <c r="F13" s="46" t="s">
        <v>469</v>
      </c>
      <c r="G13" s="6" t="s">
        <v>43</v>
      </c>
      <c r="H13" s="6" t="s">
        <v>52</v>
      </c>
      <c r="I13" s="6" t="s">
        <v>84</v>
      </c>
      <c r="J13" s="6" t="s">
        <v>85</v>
      </c>
      <c r="K13" s="6" t="s">
        <v>60</v>
      </c>
      <c r="L13" s="6" t="s">
        <v>92</v>
      </c>
      <c r="M13" s="6" t="s">
        <v>45</v>
      </c>
      <c r="N13" s="6" t="s">
        <v>23</v>
      </c>
      <c r="O13" s="6" t="s">
        <v>45</v>
      </c>
      <c r="P13" s="6" t="s">
        <v>84</v>
      </c>
      <c r="Q13" s="6" t="s">
        <v>86</v>
      </c>
      <c r="R13" s="6">
        <v>750</v>
      </c>
      <c r="S13" s="6" t="s">
        <v>39</v>
      </c>
      <c r="T13" s="6">
        <v>740</v>
      </c>
      <c r="U13" s="6" t="s">
        <v>23</v>
      </c>
      <c r="V13" s="6" t="s">
        <v>84</v>
      </c>
      <c r="W13" s="6" t="s">
        <v>86</v>
      </c>
      <c r="X13" s="6" t="s">
        <v>60</v>
      </c>
      <c r="Y13" s="6" t="s">
        <v>87</v>
      </c>
      <c r="Z13" s="6" t="s">
        <v>470</v>
      </c>
      <c r="AA13" s="6" t="s">
        <v>65</v>
      </c>
      <c r="AB13" s="15" t="s">
        <v>88</v>
      </c>
      <c r="AC13" s="16" t="s">
        <v>23</v>
      </c>
      <c r="AD13" s="16" t="s">
        <v>23</v>
      </c>
      <c r="AE13" s="16" t="s">
        <v>50</v>
      </c>
      <c r="AF13" s="16" t="s">
        <v>50</v>
      </c>
      <c r="AG13" s="17" t="s">
        <v>60</v>
      </c>
      <c r="AH13" s="17" t="s">
        <v>62</v>
      </c>
      <c r="AI13" s="17" t="s">
        <v>45</v>
      </c>
      <c r="AJ13" s="17" t="s">
        <v>23</v>
      </c>
      <c r="AK13" s="17" t="s">
        <v>45</v>
      </c>
      <c r="AL13" s="78" t="s">
        <v>471</v>
      </c>
      <c r="AM13" s="79"/>
      <c r="AN13" s="79"/>
      <c r="AO13" s="79"/>
      <c r="AP13" s="80"/>
    </row>
    <row r="14" spans="1:46" s="14" customFormat="1" ht="15" customHeight="1" x14ac:dyDescent="0.4">
      <c r="A14" s="11">
        <v>27</v>
      </c>
      <c r="B14" s="11">
        <v>502</v>
      </c>
      <c r="C14" s="11" t="s">
        <v>80</v>
      </c>
      <c r="D14" s="13" t="s">
        <v>472</v>
      </c>
      <c r="E14" s="33" t="s">
        <v>18</v>
      </c>
      <c r="F14" s="11" t="s">
        <v>473</v>
      </c>
      <c r="G14" s="11" t="s">
        <v>43</v>
      </c>
      <c r="H14" s="11" t="s">
        <v>52</v>
      </c>
      <c r="I14" s="11" t="s">
        <v>84</v>
      </c>
      <c r="J14" s="11" t="s">
        <v>85</v>
      </c>
      <c r="K14" s="11" t="s">
        <v>60</v>
      </c>
      <c r="L14" s="11" t="s">
        <v>92</v>
      </c>
      <c r="M14" s="11" t="s">
        <v>45</v>
      </c>
      <c r="N14" s="11" t="s">
        <v>45</v>
      </c>
      <c r="O14" s="11" t="s">
        <v>45</v>
      </c>
      <c r="P14" s="11" t="s">
        <v>84</v>
      </c>
      <c r="Q14" s="11" t="s">
        <v>86</v>
      </c>
      <c r="R14" s="11">
        <v>750</v>
      </c>
      <c r="S14" s="40" t="s">
        <v>39</v>
      </c>
      <c r="T14" s="11">
        <v>800</v>
      </c>
      <c r="U14" s="11" t="s">
        <v>45</v>
      </c>
      <c r="V14" s="11" t="s">
        <v>84</v>
      </c>
      <c r="W14" s="11" t="s">
        <v>86</v>
      </c>
      <c r="X14" s="40" t="s">
        <v>60</v>
      </c>
      <c r="Y14" s="40" t="s">
        <v>474</v>
      </c>
      <c r="Z14" s="40"/>
      <c r="AA14" s="40" t="s">
        <v>65</v>
      </c>
      <c r="AB14" s="12" t="s">
        <v>88</v>
      </c>
      <c r="AC14" s="11" t="s">
        <v>23</v>
      </c>
      <c r="AD14" s="11" t="s">
        <v>45</v>
      </c>
      <c r="AE14" s="11" t="s">
        <v>50</v>
      </c>
      <c r="AF14" s="11" t="s">
        <v>50</v>
      </c>
      <c r="AG14" s="13" t="s">
        <v>60</v>
      </c>
      <c r="AH14" s="13" t="s">
        <v>62</v>
      </c>
      <c r="AI14" s="13" t="s">
        <v>241</v>
      </c>
      <c r="AJ14" s="13" t="s">
        <v>45</v>
      </c>
      <c r="AK14" s="13" t="s">
        <v>23</v>
      </c>
      <c r="AL14" s="94" t="s">
        <v>815</v>
      </c>
      <c r="AM14" s="95"/>
      <c r="AN14" s="95"/>
      <c r="AO14" s="95"/>
      <c r="AP14" s="96"/>
    </row>
    <row r="15" spans="1:46" s="10" customFormat="1" ht="15" customHeight="1" x14ac:dyDescent="0.4">
      <c r="A15" s="6">
        <v>27</v>
      </c>
      <c r="B15" s="6">
        <v>103</v>
      </c>
      <c r="C15" s="6" t="s">
        <v>80</v>
      </c>
      <c r="D15" s="18"/>
      <c r="E15" s="34" t="s">
        <v>18</v>
      </c>
      <c r="F15" s="6"/>
      <c r="G15" s="6"/>
      <c r="H15" s="6"/>
      <c r="I15" s="6"/>
      <c r="J15" s="6"/>
      <c r="K15" s="6"/>
      <c r="L15" s="6"/>
      <c r="M15" s="6"/>
      <c r="N15" s="6"/>
      <c r="O15" s="6"/>
      <c r="P15" s="6"/>
      <c r="Q15" s="6"/>
      <c r="R15" s="6"/>
      <c r="S15" s="6"/>
      <c r="T15" s="6"/>
      <c r="U15" s="6"/>
      <c r="V15" s="6"/>
      <c r="W15" s="6"/>
      <c r="X15" s="6"/>
      <c r="Y15" s="6"/>
      <c r="Z15" s="6"/>
      <c r="AA15" s="6"/>
      <c r="AB15" s="15"/>
      <c r="AC15" s="16"/>
      <c r="AD15" s="16"/>
      <c r="AE15" s="16"/>
      <c r="AF15" s="16"/>
      <c r="AG15" s="17"/>
      <c r="AH15" s="17"/>
      <c r="AI15" s="17"/>
      <c r="AJ15" s="17"/>
      <c r="AK15" s="17"/>
      <c r="AL15" s="78"/>
      <c r="AM15" s="79"/>
      <c r="AN15" s="79"/>
      <c r="AO15" s="79"/>
      <c r="AP15" s="80"/>
    </row>
    <row r="16" spans="1:46" s="14" customFormat="1" ht="32.25" customHeight="1" x14ac:dyDescent="0.4">
      <c r="A16" s="11">
        <v>27</v>
      </c>
      <c r="B16" s="11">
        <v>203</v>
      </c>
      <c r="C16" s="11" t="s">
        <v>80</v>
      </c>
      <c r="D16" s="13" t="s">
        <v>497</v>
      </c>
      <c r="E16" s="33" t="s">
        <v>18</v>
      </c>
      <c r="F16" s="45" t="s">
        <v>498</v>
      </c>
      <c r="G16" s="11" t="s">
        <v>43</v>
      </c>
      <c r="H16" s="11" t="s">
        <v>52</v>
      </c>
      <c r="I16" s="11" t="s">
        <v>84</v>
      </c>
      <c r="J16" s="11" t="s">
        <v>85</v>
      </c>
      <c r="K16" s="11" t="s">
        <v>60</v>
      </c>
      <c r="L16" s="11" t="s">
        <v>92</v>
      </c>
      <c r="M16" s="11" t="s">
        <v>45</v>
      </c>
      <c r="N16" s="11" t="s">
        <v>45</v>
      </c>
      <c r="O16" s="11" t="s">
        <v>45</v>
      </c>
      <c r="P16" s="11" t="s">
        <v>84</v>
      </c>
      <c r="Q16" s="11" t="s">
        <v>86</v>
      </c>
      <c r="R16" s="11">
        <v>750</v>
      </c>
      <c r="S16" s="40" t="s">
        <v>39</v>
      </c>
      <c r="T16" s="11">
        <v>900</v>
      </c>
      <c r="U16" s="11" t="s">
        <v>45</v>
      </c>
      <c r="V16" s="11" t="s">
        <v>84</v>
      </c>
      <c r="W16" s="11" t="s">
        <v>86</v>
      </c>
      <c r="X16" s="40" t="s">
        <v>60</v>
      </c>
      <c r="Y16" s="40" t="s">
        <v>87</v>
      </c>
      <c r="Z16" s="40" t="s">
        <v>499</v>
      </c>
      <c r="AA16" s="40" t="s">
        <v>39</v>
      </c>
      <c r="AB16" s="12" t="s">
        <v>88</v>
      </c>
      <c r="AC16" s="11" t="s">
        <v>23</v>
      </c>
      <c r="AD16" s="11" t="s">
        <v>23</v>
      </c>
      <c r="AE16" s="11" t="s">
        <v>50</v>
      </c>
      <c r="AF16" s="11" t="s">
        <v>50</v>
      </c>
      <c r="AG16" s="13" t="s">
        <v>60</v>
      </c>
      <c r="AH16" s="13" t="s">
        <v>62</v>
      </c>
      <c r="AI16" s="13" t="s">
        <v>45</v>
      </c>
      <c r="AJ16" s="13" t="s">
        <v>23</v>
      </c>
      <c r="AK16" s="13" t="s">
        <v>45</v>
      </c>
      <c r="AL16" s="133" t="s">
        <v>812</v>
      </c>
      <c r="AM16" s="95"/>
      <c r="AN16" s="95"/>
      <c r="AO16" s="95"/>
      <c r="AP16" s="96"/>
    </row>
    <row r="17" spans="1:42" s="10" customFormat="1" ht="15" customHeight="1" x14ac:dyDescent="0.4">
      <c r="A17" s="6">
        <v>27</v>
      </c>
      <c r="B17" s="6">
        <v>303</v>
      </c>
      <c r="C17" s="6" t="s">
        <v>80</v>
      </c>
      <c r="D17" s="18" t="s">
        <v>500</v>
      </c>
      <c r="E17" s="34" t="s">
        <v>18</v>
      </c>
      <c r="F17" s="6" t="s">
        <v>501</v>
      </c>
      <c r="G17" s="6" t="s">
        <v>43</v>
      </c>
      <c r="H17" s="6" t="s">
        <v>30</v>
      </c>
      <c r="I17" s="6" t="s">
        <v>84</v>
      </c>
      <c r="J17" s="6" t="s">
        <v>85</v>
      </c>
      <c r="K17" s="6" t="s">
        <v>60</v>
      </c>
      <c r="L17" s="6" t="s">
        <v>92</v>
      </c>
      <c r="M17" s="6" t="s">
        <v>45</v>
      </c>
      <c r="N17" s="6" t="s">
        <v>45</v>
      </c>
      <c r="O17" s="6" t="s">
        <v>23</v>
      </c>
      <c r="P17" s="6" t="s">
        <v>84</v>
      </c>
      <c r="Q17" s="6" t="s">
        <v>86</v>
      </c>
      <c r="R17" s="6">
        <v>1000</v>
      </c>
      <c r="S17" s="6" t="s">
        <v>39</v>
      </c>
      <c r="T17" s="6">
        <v>740</v>
      </c>
      <c r="U17" s="6" t="s">
        <v>45</v>
      </c>
      <c r="V17" s="6" t="s">
        <v>84</v>
      </c>
      <c r="W17" s="6" t="s">
        <v>86</v>
      </c>
      <c r="X17" s="6" t="s">
        <v>60</v>
      </c>
      <c r="Y17" s="6" t="s">
        <v>87</v>
      </c>
      <c r="Z17" s="6" t="s">
        <v>612</v>
      </c>
      <c r="AA17" s="6" t="s">
        <v>39</v>
      </c>
      <c r="AB17" s="15" t="s">
        <v>88</v>
      </c>
      <c r="AC17" s="16" t="s">
        <v>45</v>
      </c>
      <c r="AD17" s="16" t="s">
        <v>23</v>
      </c>
      <c r="AE17" s="16" t="s">
        <v>50</v>
      </c>
      <c r="AF17" s="16" t="s">
        <v>50</v>
      </c>
      <c r="AG17" s="17" t="s">
        <v>60</v>
      </c>
      <c r="AH17" s="17" t="s">
        <v>96</v>
      </c>
      <c r="AI17" s="17" t="s">
        <v>45</v>
      </c>
      <c r="AJ17" s="17" t="s">
        <v>23</v>
      </c>
      <c r="AK17" s="17" t="s">
        <v>45</v>
      </c>
      <c r="AL17" s="78" t="s">
        <v>502</v>
      </c>
      <c r="AM17" s="79"/>
      <c r="AN17" s="79"/>
      <c r="AO17" s="79"/>
      <c r="AP17" s="80"/>
    </row>
    <row r="18" spans="1:42" s="14" customFormat="1" ht="15" customHeight="1" x14ac:dyDescent="0.4">
      <c r="A18" s="11">
        <v>27</v>
      </c>
      <c r="B18" s="11">
        <v>403</v>
      </c>
      <c r="C18" s="11" t="s">
        <v>80</v>
      </c>
      <c r="D18" s="13" t="s">
        <v>559</v>
      </c>
      <c r="E18" s="33" t="s">
        <v>18</v>
      </c>
      <c r="F18" s="11" t="s">
        <v>560</v>
      </c>
      <c r="G18" s="11" t="s">
        <v>43</v>
      </c>
      <c r="H18" s="11" t="s">
        <v>52</v>
      </c>
      <c r="I18" s="11" t="s">
        <v>84</v>
      </c>
      <c r="J18" s="11" t="s">
        <v>85</v>
      </c>
      <c r="K18" s="11" t="s">
        <v>60</v>
      </c>
      <c r="L18" s="11" t="s">
        <v>92</v>
      </c>
      <c r="M18" s="11" t="s">
        <v>45</v>
      </c>
      <c r="N18" s="11" t="s">
        <v>45</v>
      </c>
      <c r="O18" s="11" t="s">
        <v>23</v>
      </c>
      <c r="P18" s="11" t="s">
        <v>84</v>
      </c>
      <c r="Q18" s="11" t="s">
        <v>86</v>
      </c>
      <c r="R18" s="11" t="s">
        <v>561</v>
      </c>
      <c r="S18" s="40" t="s">
        <v>39</v>
      </c>
      <c r="T18" s="11">
        <v>900</v>
      </c>
      <c r="U18" s="11" t="s">
        <v>45</v>
      </c>
      <c r="V18" s="11" t="s">
        <v>84</v>
      </c>
      <c r="W18" s="11" t="s">
        <v>86</v>
      </c>
      <c r="X18" s="40" t="s">
        <v>60</v>
      </c>
      <c r="Y18" s="40" t="s">
        <v>87</v>
      </c>
      <c r="Z18" s="40" t="s">
        <v>562</v>
      </c>
      <c r="AA18" s="40" t="s">
        <v>39</v>
      </c>
      <c r="AB18" s="12" t="s">
        <v>88</v>
      </c>
      <c r="AC18" s="11" t="s">
        <v>23</v>
      </c>
      <c r="AD18" s="11" t="s">
        <v>23</v>
      </c>
      <c r="AE18" s="11" t="s">
        <v>50</v>
      </c>
      <c r="AF18" s="11" t="s">
        <v>50</v>
      </c>
      <c r="AG18" s="13" t="s">
        <v>60</v>
      </c>
      <c r="AH18" s="13" t="s">
        <v>62</v>
      </c>
      <c r="AI18" s="13" t="s">
        <v>45</v>
      </c>
      <c r="AJ18" s="13" t="s">
        <v>45</v>
      </c>
      <c r="AK18" s="13" t="s">
        <v>23</v>
      </c>
      <c r="AL18" s="94" t="s">
        <v>563</v>
      </c>
      <c r="AM18" s="95"/>
      <c r="AN18" s="95"/>
      <c r="AO18" s="95"/>
      <c r="AP18" s="96"/>
    </row>
    <row r="19" spans="1:42" s="10" customFormat="1" ht="15" customHeight="1" x14ac:dyDescent="0.4">
      <c r="A19" s="6">
        <v>27</v>
      </c>
      <c r="B19" s="6">
        <v>503</v>
      </c>
      <c r="C19" s="6" t="s">
        <v>80</v>
      </c>
      <c r="D19" s="18" t="s">
        <v>487</v>
      </c>
      <c r="E19" s="34" t="s">
        <v>18</v>
      </c>
      <c r="F19" s="6" t="s">
        <v>488</v>
      </c>
      <c r="G19" s="6" t="s">
        <v>43</v>
      </c>
      <c r="H19" s="6" t="s">
        <v>52</v>
      </c>
      <c r="I19" s="6" t="s">
        <v>84</v>
      </c>
      <c r="J19" s="6" t="s">
        <v>85</v>
      </c>
      <c r="K19" s="6" t="s">
        <v>489</v>
      </c>
      <c r="L19" s="6" t="s">
        <v>92</v>
      </c>
      <c r="M19" s="6" t="s">
        <v>23</v>
      </c>
      <c r="N19" s="6" t="s">
        <v>45</v>
      </c>
      <c r="O19" s="6" t="s">
        <v>23</v>
      </c>
      <c r="P19" s="6" t="s">
        <v>84</v>
      </c>
      <c r="Q19" s="6" t="s">
        <v>86</v>
      </c>
      <c r="R19" s="6">
        <v>740</v>
      </c>
      <c r="S19" s="6" t="s">
        <v>39</v>
      </c>
      <c r="T19" s="6">
        <v>640</v>
      </c>
      <c r="U19" s="6" t="s">
        <v>45</v>
      </c>
      <c r="V19" s="6" t="s">
        <v>84</v>
      </c>
      <c r="W19" s="6" t="s">
        <v>86</v>
      </c>
      <c r="X19" s="6" t="s">
        <v>60</v>
      </c>
      <c r="Y19" s="6" t="s">
        <v>87</v>
      </c>
      <c r="Z19" s="6" t="s">
        <v>613</v>
      </c>
      <c r="AA19" s="6" t="s">
        <v>39</v>
      </c>
      <c r="AB19" s="15" t="s">
        <v>19</v>
      </c>
      <c r="AC19" s="16" t="s">
        <v>45</v>
      </c>
      <c r="AD19" s="16" t="s">
        <v>45</v>
      </c>
      <c r="AE19" s="16" t="s">
        <v>116</v>
      </c>
      <c r="AF19" s="16" t="s">
        <v>50</v>
      </c>
      <c r="AG19" s="17" t="s">
        <v>60</v>
      </c>
      <c r="AH19" s="17" t="s">
        <v>62</v>
      </c>
      <c r="AI19" s="17" t="s">
        <v>23</v>
      </c>
      <c r="AJ19" s="17" t="s">
        <v>45</v>
      </c>
      <c r="AK19" s="17" t="s">
        <v>45</v>
      </c>
      <c r="AL19" s="78" t="s">
        <v>490</v>
      </c>
      <c r="AM19" s="79"/>
      <c r="AN19" s="79"/>
      <c r="AO19" s="79"/>
      <c r="AP19" s="80"/>
    </row>
    <row r="20" spans="1:42" s="14" customFormat="1" ht="15" customHeight="1" x14ac:dyDescent="0.4">
      <c r="A20" s="11">
        <v>27</v>
      </c>
      <c r="B20" s="11">
        <v>104</v>
      </c>
      <c r="C20" s="11" t="s">
        <v>80</v>
      </c>
      <c r="D20" s="13" t="s">
        <v>507</v>
      </c>
      <c r="E20" s="33" t="s">
        <v>18</v>
      </c>
      <c r="F20" s="11" t="s">
        <v>508</v>
      </c>
      <c r="G20" s="11" t="s">
        <v>43</v>
      </c>
      <c r="H20" s="11" t="s">
        <v>52</v>
      </c>
      <c r="I20" s="11" t="s">
        <v>84</v>
      </c>
      <c r="J20" s="11" t="s">
        <v>85</v>
      </c>
      <c r="K20" s="11" t="s">
        <v>361</v>
      </c>
      <c r="L20" s="11" t="s">
        <v>92</v>
      </c>
      <c r="M20" s="11" t="s">
        <v>45</v>
      </c>
      <c r="N20" s="11" t="s">
        <v>45</v>
      </c>
      <c r="O20" s="11" t="s">
        <v>45</v>
      </c>
      <c r="P20" s="11" t="s">
        <v>84</v>
      </c>
      <c r="Q20" s="11" t="s">
        <v>86</v>
      </c>
      <c r="R20" s="11">
        <v>750</v>
      </c>
      <c r="S20" s="40" t="s">
        <v>39</v>
      </c>
      <c r="T20" s="11">
        <v>800</v>
      </c>
      <c r="U20" s="11" t="s">
        <v>45</v>
      </c>
      <c r="V20" s="11" t="s">
        <v>84</v>
      </c>
      <c r="W20" s="11" t="s">
        <v>86</v>
      </c>
      <c r="X20" s="40" t="s">
        <v>60</v>
      </c>
      <c r="Y20" s="40" t="s">
        <v>87</v>
      </c>
      <c r="Z20" s="40" t="s">
        <v>614</v>
      </c>
      <c r="AA20" s="40" t="s">
        <v>39</v>
      </c>
      <c r="AB20" s="12" t="s">
        <v>19</v>
      </c>
      <c r="AC20" s="11" t="s">
        <v>45</v>
      </c>
      <c r="AD20" s="11" t="s">
        <v>45</v>
      </c>
      <c r="AE20" s="11" t="s">
        <v>50</v>
      </c>
      <c r="AF20" s="11" t="s">
        <v>50</v>
      </c>
      <c r="AG20" s="13" t="s">
        <v>60</v>
      </c>
      <c r="AH20" s="13" t="s">
        <v>62</v>
      </c>
      <c r="AI20" s="13" t="s">
        <v>23</v>
      </c>
      <c r="AJ20" s="13" t="s">
        <v>23</v>
      </c>
      <c r="AK20" s="13" t="s">
        <v>23</v>
      </c>
      <c r="AL20" s="94" t="s">
        <v>509</v>
      </c>
      <c r="AM20" s="95"/>
      <c r="AN20" s="95"/>
      <c r="AO20" s="95"/>
      <c r="AP20" s="96"/>
    </row>
    <row r="21" spans="1:42" s="10" customFormat="1" ht="30" customHeight="1" x14ac:dyDescent="0.4">
      <c r="A21" s="6">
        <v>27</v>
      </c>
      <c r="B21" s="6">
        <v>204</v>
      </c>
      <c r="C21" s="6" t="s">
        <v>80</v>
      </c>
      <c r="D21" s="18" t="s">
        <v>475</v>
      </c>
      <c r="E21" s="34" t="s">
        <v>18</v>
      </c>
      <c r="F21" s="6" t="s">
        <v>476</v>
      </c>
      <c r="G21" s="6" t="s">
        <v>43</v>
      </c>
      <c r="H21" s="6" t="s">
        <v>52</v>
      </c>
      <c r="I21" s="6" t="s">
        <v>84</v>
      </c>
      <c r="J21" s="6" t="s">
        <v>85</v>
      </c>
      <c r="K21" s="6" t="s">
        <v>60</v>
      </c>
      <c r="L21" s="6" t="s">
        <v>92</v>
      </c>
      <c r="M21" s="6" t="s">
        <v>45</v>
      </c>
      <c r="N21" s="6" t="s">
        <v>45</v>
      </c>
      <c r="O21" s="6" t="s">
        <v>23</v>
      </c>
      <c r="P21" s="6" t="s">
        <v>84</v>
      </c>
      <c r="Q21" s="6" t="s">
        <v>86</v>
      </c>
      <c r="R21" s="6" t="s">
        <v>477</v>
      </c>
      <c r="S21" s="6" t="s">
        <v>39</v>
      </c>
      <c r="T21" s="6">
        <v>900</v>
      </c>
      <c r="U21" s="6" t="s">
        <v>23</v>
      </c>
      <c r="V21" s="6" t="s">
        <v>84</v>
      </c>
      <c r="W21" s="6" t="s">
        <v>86</v>
      </c>
      <c r="X21" s="6" t="s">
        <v>60</v>
      </c>
      <c r="Y21" s="6" t="s">
        <v>87</v>
      </c>
      <c r="Z21" s="6" t="s">
        <v>615</v>
      </c>
      <c r="AA21" s="6" t="s">
        <v>39</v>
      </c>
      <c r="AB21" s="15" t="s">
        <v>88</v>
      </c>
      <c r="AC21" s="16" t="s">
        <v>45</v>
      </c>
      <c r="AD21" s="16" t="s">
        <v>23</v>
      </c>
      <c r="AE21" s="16" t="s">
        <v>50</v>
      </c>
      <c r="AF21" s="16" t="s">
        <v>50</v>
      </c>
      <c r="AG21" s="17" t="s">
        <v>60</v>
      </c>
      <c r="AH21" s="17" t="s">
        <v>96</v>
      </c>
      <c r="AI21" s="17" t="s">
        <v>45</v>
      </c>
      <c r="AJ21" s="17" t="s">
        <v>23</v>
      </c>
      <c r="AK21" s="17" t="s">
        <v>23</v>
      </c>
      <c r="AL21" s="106" t="s">
        <v>813</v>
      </c>
      <c r="AM21" s="79"/>
      <c r="AN21" s="79"/>
      <c r="AO21" s="79"/>
      <c r="AP21" s="80"/>
    </row>
    <row r="22" spans="1:42" s="14" customFormat="1" ht="32.25" customHeight="1" x14ac:dyDescent="0.4">
      <c r="A22" s="11">
        <v>27</v>
      </c>
      <c r="B22" s="11">
        <v>304</v>
      </c>
      <c r="C22" s="11" t="s">
        <v>80</v>
      </c>
      <c r="D22" s="13" t="s">
        <v>503</v>
      </c>
      <c r="E22" s="33" t="s">
        <v>18</v>
      </c>
      <c r="F22" s="45" t="s">
        <v>504</v>
      </c>
      <c r="G22" s="11" t="s">
        <v>43</v>
      </c>
      <c r="H22" s="11" t="s">
        <v>52</v>
      </c>
      <c r="I22" s="11" t="s">
        <v>84</v>
      </c>
      <c r="J22" s="11" t="s">
        <v>85</v>
      </c>
      <c r="K22" s="11" t="s">
        <v>361</v>
      </c>
      <c r="L22" s="11" t="s">
        <v>92</v>
      </c>
      <c r="M22" s="11" t="s">
        <v>45</v>
      </c>
      <c r="N22" s="11" t="s">
        <v>23</v>
      </c>
      <c r="O22" s="11" t="s">
        <v>45</v>
      </c>
      <c r="P22" s="11" t="s">
        <v>84</v>
      </c>
      <c r="Q22" s="11" t="s">
        <v>86</v>
      </c>
      <c r="R22" s="11">
        <v>900</v>
      </c>
      <c r="S22" s="40" t="s">
        <v>39</v>
      </c>
      <c r="T22" s="11">
        <v>740</v>
      </c>
      <c r="U22" s="11" t="s">
        <v>45</v>
      </c>
      <c r="V22" s="11" t="s">
        <v>84</v>
      </c>
      <c r="W22" s="11" t="s">
        <v>86</v>
      </c>
      <c r="X22" s="40" t="s">
        <v>60</v>
      </c>
      <c r="Y22" s="40" t="s">
        <v>87</v>
      </c>
      <c r="Z22" s="40" t="s">
        <v>616</v>
      </c>
      <c r="AA22" s="40" t="s">
        <v>39</v>
      </c>
      <c r="AB22" s="12" t="s">
        <v>88</v>
      </c>
      <c r="AC22" s="11" t="s">
        <v>23</v>
      </c>
      <c r="AD22" s="11" t="s">
        <v>23</v>
      </c>
      <c r="AE22" s="11" t="s">
        <v>50</v>
      </c>
      <c r="AF22" s="11" t="s">
        <v>50</v>
      </c>
      <c r="AG22" s="13" t="s">
        <v>60</v>
      </c>
      <c r="AH22" s="13" t="s">
        <v>62</v>
      </c>
      <c r="AI22" s="13" t="s">
        <v>23</v>
      </c>
      <c r="AJ22" s="13" t="s">
        <v>23</v>
      </c>
      <c r="AK22" s="13" t="s">
        <v>45</v>
      </c>
      <c r="AL22" s="94" t="s">
        <v>505</v>
      </c>
      <c r="AM22" s="95"/>
      <c r="AN22" s="95"/>
      <c r="AO22" s="95"/>
      <c r="AP22" s="96"/>
    </row>
    <row r="23" spans="1:42" s="10" customFormat="1" ht="31.5" customHeight="1" x14ac:dyDescent="0.4">
      <c r="A23" s="6">
        <v>27</v>
      </c>
      <c r="B23" s="6">
        <v>404</v>
      </c>
      <c r="C23" s="6" t="s">
        <v>80</v>
      </c>
      <c r="D23" s="18" t="s">
        <v>491</v>
      </c>
      <c r="E23" s="34" t="s">
        <v>18</v>
      </c>
      <c r="F23" s="46" t="s">
        <v>492</v>
      </c>
      <c r="G23" s="6" t="s">
        <v>43</v>
      </c>
      <c r="H23" s="6" t="s">
        <v>52</v>
      </c>
      <c r="I23" s="6" t="s">
        <v>84</v>
      </c>
      <c r="J23" s="6" t="s">
        <v>85</v>
      </c>
      <c r="K23" s="6" t="s">
        <v>60</v>
      </c>
      <c r="L23" s="6" t="s">
        <v>92</v>
      </c>
      <c r="M23" s="6" t="s">
        <v>45</v>
      </c>
      <c r="N23" s="6" t="s">
        <v>45</v>
      </c>
      <c r="O23" s="6" t="s">
        <v>23</v>
      </c>
      <c r="P23" s="6" t="s">
        <v>84</v>
      </c>
      <c r="Q23" s="6" t="s">
        <v>86</v>
      </c>
      <c r="R23" s="6" t="s">
        <v>493</v>
      </c>
      <c r="S23" s="6" t="s">
        <v>39</v>
      </c>
      <c r="T23" s="6"/>
      <c r="U23" s="6" t="s">
        <v>45</v>
      </c>
      <c r="V23" s="6" t="s">
        <v>84</v>
      </c>
      <c r="W23" s="6" t="s">
        <v>86</v>
      </c>
      <c r="X23" s="6" t="s">
        <v>60</v>
      </c>
      <c r="Y23" s="6" t="s">
        <v>87</v>
      </c>
      <c r="Z23" s="6" t="s">
        <v>617</v>
      </c>
      <c r="AA23" s="6" t="s">
        <v>39</v>
      </c>
      <c r="AB23" s="15" t="s">
        <v>88</v>
      </c>
      <c r="AC23" s="16" t="s">
        <v>45</v>
      </c>
      <c r="AD23" s="16" t="s">
        <v>45</v>
      </c>
      <c r="AE23" s="16" t="s">
        <v>116</v>
      </c>
      <c r="AF23" s="16" t="s">
        <v>50</v>
      </c>
      <c r="AG23" s="17" t="s">
        <v>60</v>
      </c>
      <c r="AH23" s="17" t="s">
        <v>62</v>
      </c>
      <c r="AI23" s="17" t="s">
        <v>23</v>
      </c>
      <c r="AJ23" s="17" t="s">
        <v>23</v>
      </c>
      <c r="AK23" s="17" t="s">
        <v>23</v>
      </c>
      <c r="AL23" s="78" t="s">
        <v>490</v>
      </c>
      <c r="AM23" s="79"/>
      <c r="AN23" s="79"/>
      <c r="AO23" s="79"/>
      <c r="AP23" s="80"/>
    </row>
    <row r="24" spans="1:42" s="14" customFormat="1" ht="15" customHeight="1" x14ac:dyDescent="0.4">
      <c r="A24" s="11">
        <v>27</v>
      </c>
      <c r="B24" s="11">
        <v>504</v>
      </c>
      <c r="C24" s="11" t="s">
        <v>80</v>
      </c>
      <c r="D24" s="13" t="s">
        <v>496</v>
      </c>
      <c r="E24" s="33" t="s">
        <v>18</v>
      </c>
      <c r="F24" s="11" t="s">
        <v>494</v>
      </c>
      <c r="G24" s="11" t="s">
        <v>43</v>
      </c>
      <c r="H24" s="11" t="s">
        <v>52</v>
      </c>
      <c r="I24" s="11" t="s">
        <v>84</v>
      </c>
      <c r="J24" s="11" t="s">
        <v>85</v>
      </c>
      <c r="K24" s="11" t="s">
        <v>60</v>
      </c>
      <c r="L24" s="11" t="s">
        <v>92</v>
      </c>
      <c r="M24" s="11" t="s">
        <v>45</v>
      </c>
      <c r="N24" s="11" t="s">
        <v>45</v>
      </c>
      <c r="O24" s="11" t="s">
        <v>45</v>
      </c>
      <c r="P24" s="11" t="s">
        <v>84</v>
      </c>
      <c r="Q24" s="11" t="s">
        <v>86</v>
      </c>
      <c r="R24" s="11">
        <v>740</v>
      </c>
      <c r="S24" s="40" t="s">
        <v>39</v>
      </c>
      <c r="T24" s="11">
        <v>640</v>
      </c>
      <c r="U24" s="11" t="s">
        <v>45</v>
      </c>
      <c r="V24" s="11" t="s">
        <v>84</v>
      </c>
      <c r="W24" s="11" t="s">
        <v>86</v>
      </c>
      <c r="X24" s="40" t="s">
        <v>60</v>
      </c>
      <c r="Y24" s="40" t="s">
        <v>87</v>
      </c>
      <c r="Z24" s="40" t="s">
        <v>618</v>
      </c>
      <c r="AA24" s="40" t="s">
        <v>39</v>
      </c>
      <c r="AB24" s="12" t="s">
        <v>88</v>
      </c>
      <c r="AC24" s="11" t="s">
        <v>23</v>
      </c>
      <c r="AD24" s="11" t="s">
        <v>23</v>
      </c>
      <c r="AE24" s="11" t="s">
        <v>50</v>
      </c>
      <c r="AF24" s="11" t="s">
        <v>50</v>
      </c>
      <c r="AG24" s="13" t="s">
        <v>60</v>
      </c>
      <c r="AH24" s="13" t="s">
        <v>62</v>
      </c>
      <c r="AI24" s="13" t="s">
        <v>23</v>
      </c>
      <c r="AJ24" s="13" t="s">
        <v>23</v>
      </c>
      <c r="AK24" s="11" t="s">
        <v>45</v>
      </c>
      <c r="AL24" s="94" t="s">
        <v>495</v>
      </c>
      <c r="AM24" s="95"/>
      <c r="AN24" s="95"/>
      <c r="AO24" s="95"/>
      <c r="AP24" s="96"/>
    </row>
    <row r="25" spans="1:42" s="10" customFormat="1" ht="30.75" customHeight="1" x14ac:dyDescent="0.4">
      <c r="A25" s="6">
        <v>27</v>
      </c>
      <c r="B25" s="6">
        <v>105</v>
      </c>
      <c r="C25" s="6" t="s">
        <v>80</v>
      </c>
      <c r="D25" s="18" t="s">
        <v>574</v>
      </c>
      <c r="E25" s="34" t="s">
        <v>18</v>
      </c>
      <c r="F25" s="18" t="s">
        <v>575</v>
      </c>
      <c r="G25" s="6" t="s">
        <v>43</v>
      </c>
      <c r="H25" s="6" t="s">
        <v>52</v>
      </c>
      <c r="I25" s="6" t="s">
        <v>84</v>
      </c>
      <c r="J25" s="6" t="s">
        <v>85</v>
      </c>
      <c r="K25" s="6" t="s">
        <v>60</v>
      </c>
      <c r="L25" s="6" t="s">
        <v>92</v>
      </c>
      <c r="M25" s="6" t="s">
        <v>23</v>
      </c>
      <c r="N25" s="6" t="s">
        <v>45</v>
      </c>
      <c r="O25" s="6" t="s">
        <v>23</v>
      </c>
      <c r="P25" s="6" t="s">
        <v>84</v>
      </c>
      <c r="Q25" s="6" t="s">
        <v>86</v>
      </c>
      <c r="R25" s="6">
        <v>750</v>
      </c>
      <c r="S25" s="6" t="s">
        <v>39</v>
      </c>
      <c r="T25" s="6">
        <v>900</v>
      </c>
      <c r="U25" s="6" t="s">
        <v>45</v>
      </c>
      <c r="V25" s="6" t="s">
        <v>84</v>
      </c>
      <c r="W25" s="6" t="s">
        <v>25</v>
      </c>
      <c r="X25" s="6" t="s">
        <v>60</v>
      </c>
      <c r="Y25" s="6" t="s">
        <v>87</v>
      </c>
      <c r="Z25" s="6" t="s">
        <v>576</v>
      </c>
      <c r="AA25" s="6" t="s">
        <v>39</v>
      </c>
      <c r="AB25" s="15" t="s">
        <v>88</v>
      </c>
      <c r="AC25" s="16" t="s">
        <v>45</v>
      </c>
      <c r="AD25" s="16" t="s">
        <v>23</v>
      </c>
      <c r="AE25" s="16" t="s">
        <v>50</v>
      </c>
      <c r="AF25" s="16" t="s">
        <v>50</v>
      </c>
      <c r="AG25" s="17" t="s">
        <v>60</v>
      </c>
      <c r="AH25" s="17" t="s">
        <v>62</v>
      </c>
      <c r="AI25" s="17" t="s">
        <v>45</v>
      </c>
      <c r="AJ25" s="17" t="s">
        <v>45</v>
      </c>
      <c r="AK25" s="17" t="s">
        <v>23</v>
      </c>
      <c r="AL25" s="78" t="s">
        <v>577</v>
      </c>
      <c r="AM25" s="79"/>
      <c r="AN25" s="79"/>
      <c r="AO25" s="79"/>
      <c r="AP25" s="80"/>
    </row>
    <row r="26" spans="1:42" s="14" customFormat="1" ht="15" customHeight="1" x14ac:dyDescent="0.4">
      <c r="A26" s="11">
        <v>27</v>
      </c>
      <c r="B26" s="11">
        <v>205</v>
      </c>
      <c r="C26" s="11" t="s">
        <v>80</v>
      </c>
      <c r="D26" s="13" t="s">
        <v>547</v>
      </c>
      <c r="E26" s="33" t="s">
        <v>18</v>
      </c>
      <c r="F26" s="11" t="s">
        <v>548</v>
      </c>
      <c r="G26" s="11" t="s">
        <v>43</v>
      </c>
      <c r="H26" s="11" t="s">
        <v>52</v>
      </c>
      <c r="I26" s="11" t="s">
        <v>84</v>
      </c>
      <c r="J26" s="11" t="s">
        <v>85</v>
      </c>
      <c r="K26" s="11" t="s">
        <v>60</v>
      </c>
      <c r="L26" s="11" t="s">
        <v>92</v>
      </c>
      <c r="M26" s="11" t="s">
        <v>45</v>
      </c>
      <c r="N26" s="11" t="s">
        <v>45</v>
      </c>
      <c r="O26" s="11" t="s">
        <v>23</v>
      </c>
      <c r="P26" s="11" t="s">
        <v>549</v>
      </c>
      <c r="Q26" s="11" t="s">
        <v>86</v>
      </c>
      <c r="R26" s="11">
        <v>900</v>
      </c>
      <c r="S26" s="40" t="s">
        <v>39</v>
      </c>
      <c r="T26" s="11">
        <v>640</v>
      </c>
      <c r="U26" s="11" t="s">
        <v>45</v>
      </c>
      <c r="V26" s="11" t="s">
        <v>549</v>
      </c>
      <c r="W26" s="11" t="s">
        <v>86</v>
      </c>
      <c r="X26" s="40" t="s">
        <v>60</v>
      </c>
      <c r="Y26" s="40" t="s">
        <v>87</v>
      </c>
      <c r="Z26" s="40" t="s">
        <v>550</v>
      </c>
      <c r="AA26" s="40" t="s">
        <v>39</v>
      </c>
      <c r="AB26" s="12" t="s">
        <v>88</v>
      </c>
      <c r="AC26" s="11" t="s">
        <v>23</v>
      </c>
      <c r="AD26" s="11" t="s">
        <v>23</v>
      </c>
      <c r="AE26" s="11" t="s">
        <v>50</v>
      </c>
      <c r="AF26" s="11" t="s">
        <v>50</v>
      </c>
      <c r="AG26" s="13" t="s">
        <v>60</v>
      </c>
      <c r="AH26" s="13" t="s">
        <v>62</v>
      </c>
      <c r="AI26" s="13" t="s">
        <v>45</v>
      </c>
      <c r="AJ26" s="13" t="s">
        <v>23</v>
      </c>
      <c r="AK26" s="13" t="s">
        <v>23</v>
      </c>
      <c r="AL26" s="94" t="s">
        <v>551</v>
      </c>
      <c r="AM26" s="95"/>
      <c r="AN26" s="95"/>
      <c r="AO26" s="95"/>
      <c r="AP26" s="96"/>
    </row>
    <row r="27" spans="1:42" s="10" customFormat="1" ht="15" customHeight="1" x14ac:dyDescent="0.4">
      <c r="A27" s="6">
        <v>27</v>
      </c>
      <c r="B27" s="6">
        <v>305</v>
      </c>
      <c r="C27" s="6" t="s">
        <v>80</v>
      </c>
      <c r="D27" s="18" t="s">
        <v>552</v>
      </c>
      <c r="E27" s="34" t="s">
        <v>18</v>
      </c>
      <c r="F27" s="6" t="s">
        <v>553</v>
      </c>
      <c r="G27" s="6" t="s">
        <v>43</v>
      </c>
      <c r="H27" s="6" t="s">
        <v>52</v>
      </c>
      <c r="I27" s="6" t="s">
        <v>84</v>
      </c>
      <c r="J27" s="6" t="s">
        <v>85</v>
      </c>
      <c r="K27" s="6" t="s">
        <v>60</v>
      </c>
      <c r="L27" s="6" t="s">
        <v>92</v>
      </c>
      <c r="M27" s="6" t="s">
        <v>45</v>
      </c>
      <c r="N27" s="6" t="s">
        <v>45</v>
      </c>
      <c r="O27" s="6" t="s">
        <v>23</v>
      </c>
      <c r="P27" s="6" t="s">
        <v>84</v>
      </c>
      <c r="Q27" s="6" t="s">
        <v>86</v>
      </c>
      <c r="R27" s="6" t="s">
        <v>554</v>
      </c>
      <c r="S27" s="6" t="s">
        <v>39</v>
      </c>
      <c r="T27" s="6">
        <v>900</v>
      </c>
      <c r="U27" s="6" t="s">
        <v>45</v>
      </c>
      <c r="V27" s="6" t="s">
        <v>84</v>
      </c>
      <c r="W27" s="6" t="s">
        <v>86</v>
      </c>
      <c r="X27" s="6" t="s">
        <v>60</v>
      </c>
      <c r="Y27" s="6" t="s">
        <v>87</v>
      </c>
      <c r="Z27" s="6" t="s">
        <v>555</v>
      </c>
      <c r="AA27" s="6" t="s">
        <v>39</v>
      </c>
      <c r="AB27" s="15" t="s">
        <v>88</v>
      </c>
      <c r="AC27" s="16" t="s">
        <v>45</v>
      </c>
      <c r="AD27" s="16" t="s">
        <v>45</v>
      </c>
      <c r="AE27" s="16" t="s">
        <v>50</v>
      </c>
      <c r="AF27" s="16" t="s">
        <v>50</v>
      </c>
      <c r="AG27" s="17" t="s">
        <v>60</v>
      </c>
      <c r="AH27" s="17" t="s">
        <v>62</v>
      </c>
      <c r="AI27" s="17" t="s">
        <v>23</v>
      </c>
      <c r="AJ27" s="17" t="s">
        <v>45</v>
      </c>
      <c r="AK27" s="17" t="s">
        <v>23</v>
      </c>
      <c r="AL27" s="78"/>
      <c r="AM27" s="79"/>
      <c r="AN27" s="79"/>
      <c r="AO27" s="79"/>
      <c r="AP27" s="80"/>
    </row>
    <row r="28" spans="1:42" s="14" customFormat="1" ht="15" customHeight="1" x14ac:dyDescent="0.4">
      <c r="A28" s="11">
        <v>27</v>
      </c>
      <c r="B28" s="11">
        <v>405</v>
      </c>
      <c r="C28" s="11" t="s">
        <v>80</v>
      </c>
      <c r="D28" s="13" t="s">
        <v>535</v>
      </c>
      <c r="E28" s="33" t="s">
        <v>18</v>
      </c>
      <c r="F28" s="11" t="s">
        <v>536</v>
      </c>
      <c r="G28" s="11" t="s">
        <v>43</v>
      </c>
      <c r="H28" s="11" t="s">
        <v>52</v>
      </c>
      <c r="I28" s="11" t="s">
        <v>84</v>
      </c>
      <c r="J28" s="11" t="s">
        <v>85</v>
      </c>
      <c r="K28" s="11" t="s">
        <v>60</v>
      </c>
      <c r="L28" s="11" t="s">
        <v>92</v>
      </c>
      <c r="M28" s="11" t="s">
        <v>45</v>
      </c>
      <c r="N28" s="11" t="s">
        <v>23</v>
      </c>
      <c r="O28" s="11" t="s">
        <v>45</v>
      </c>
      <c r="P28" s="11" t="s">
        <v>84</v>
      </c>
      <c r="Q28" s="11" t="s">
        <v>86</v>
      </c>
      <c r="R28" s="11">
        <v>750</v>
      </c>
      <c r="S28" s="40" t="s">
        <v>39</v>
      </c>
      <c r="T28" s="11">
        <v>900</v>
      </c>
      <c r="U28" s="11" t="s">
        <v>45</v>
      </c>
      <c r="V28" s="11" t="s">
        <v>84</v>
      </c>
      <c r="W28" s="11" t="s">
        <v>86</v>
      </c>
      <c r="X28" s="40" t="s">
        <v>60</v>
      </c>
      <c r="Y28" s="40" t="s">
        <v>141</v>
      </c>
      <c r="Z28" s="40"/>
      <c r="AA28" s="40" t="s">
        <v>39</v>
      </c>
      <c r="AB28" s="12" t="s">
        <v>88</v>
      </c>
      <c r="AC28" s="11" t="s">
        <v>45</v>
      </c>
      <c r="AD28" s="11" t="s">
        <v>45</v>
      </c>
      <c r="AE28" s="11" t="s">
        <v>116</v>
      </c>
      <c r="AF28" s="11" t="s">
        <v>50</v>
      </c>
      <c r="AG28" s="13" t="s">
        <v>60</v>
      </c>
      <c r="AH28" s="13" t="s">
        <v>62</v>
      </c>
      <c r="AI28" s="13" t="s">
        <v>45</v>
      </c>
      <c r="AJ28" s="13" t="s">
        <v>45</v>
      </c>
      <c r="AK28" s="13" t="s">
        <v>45</v>
      </c>
      <c r="AL28" s="94" t="s">
        <v>537</v>
      </c>
      <c r="AM28" s="95"/>
      <c r="AN28" s="95"/>
      <c r="AO28" s="95"/>
      <c r="AP28" s="96"/>
    </row>
    <row r="29" spans="1:42" s="10" customFormat="1" ht="56.25" customHeight="1" x14ac:dyDescent="0.4">
      <c r="A29" s="6">
        <v>27</v>
      </c>
      <c r="B29" s="6">
        <v>505</v>
      </c>
      <c r="C29" s="6" t="s">
        <v>80</v>
      </c>
      <c r="D29" s="18" t="s">
        <v>2471</v>
      </c>
      <c r="E29" s="34" t="s">
        <v>18</v>
      </c>
      <c r="F29" s="6" t="s">
        <v>2472</v>
      </c>
      <c r="G29" s="6" t="s">
        <v>40</v>
      </c>
      <c r="H29" s="6" t="s">
        <v>52</v>
      </c>
      <c r="I29" s="6" t="s">
        <v>84</v>
      </c>
      <c r="J29" s="6" t="s">
        <v>85</v>
      </c>
      <c r="K29" s="6" t="s">
        <v>60</v>
      </c>
      <c r="L29" s="6" t="s">
        <v>92</v>
      </c>
      <c r="M29" s="6" t="s">
        <v>45</v>
      </c>
      <c r="N29" s="6" t="s">
        <v>45</v>
      </c>
      <c r="O29" s="6" t="s">
        <v>23</v>
      </c>
      <c r="P29" s="6" t="s">
        <v>84</v>
      </c>
      <c r="Q29" s="6" t="s">
        <v>86</v>
      </c>
      <c r="R29" s="6">
        <v>740</v>
      </c>
      <c r="S29" s="6" t="s">
        <v>39</v>
      </c>
      <c r="T29" s="6">
        <v>900</v>
      </c>
      <c r="U29" s="6" t="s">
        <v>45</v>
      </c>
      <c r="V29" s="6" t="s">
        <v>84</v>
      </c>
      <c r="W29" s="6" t="s">
        <v>86</v>
      </c>
      <c r="X29" s="6" t="s">
        <v>60</v>
      </c>
      <c r="Y29" s="6" t="s">
        <v>87</v>
      </c>
      <c r="Z29" s="6" t="s">
        <v>2473</v>
      </c>
      <c r="AA29" s="6" t="s">
        <v>39</v>
      </c>
      <c r="AB29" s="15" t="s">
        <v>19</v>
      </c>
      <c r="AC29" s="16" t="s">
        <v>45</v>
      </c>
      <c r="AD29" s="16" t="s">
        <v>45</v>
      </c>
      <c r="AE29" s="16" t="s">
        <v>116</v>
      </c>
      <c r="AF29" s="16" t="s">
        <v>50</v>
      </c>
      <c r="AG29" s="17" t="s">
        <v>60</v>
      </c>
      <c r="AH29" s="17" t="s">
        <v>62</v>
      </c>
      <c r="AI29" s="17" t="s">
        <v>45</v>
      </c>
      <c r="AJ29" s="17" t="s">
        <v>45</v>
      </c>
      <c r="AK29" s="17" t="s">
        <v>45</v>
      </c>
      <c r="AL29" s="106" t="s">
        <v>2474</v>
      </c>
      <c r="AM29" s="107"/>
      <c r="AN29" s="107"/>
      <c r="AO29" s="107"/>
      <c r="AP29" s="108"/>
    </row>
    <row r="30" spans="1:42" s="14" customFormat="1" ht="15" customHeight="1" x14ac:dyDescent="0.4">
      <c r="A30" s="11">
        <v>27</v>
      </c>
      <c r="B30" s="11">
        <v>106</v>
      </c>
      <c r="C30" s="11" t="s">
        <v>80</v>
      </c>
      <c r="D30" s="13" t="s">
        <v>578</v>
      </c>
      <c r="E30" s="33" t="s">
        <v>949</v>
      </c>
      <c r="F30" s="11" t="s">
        <v>579</v>
      </c>
      <c r="G30" s="11" t="s">
        <v>43</v>
      </c>
      <c r="H30" s="11" t="s">
        <v>52</v>
      </c>
      <c r="I30" s="11" t="s">
        <v>84</v>
      </c>
      <c r="J30" s="11" t="s">
        <v>85</v>
      </c>
      <c r="K30" s="11" t="s">
        <v>60</v>
      </c>
      <c r="L30" s="11" t="s">
        <v>92</v>
      </c>
      <c r="M30" s="11" t="s">
        <v>45</v>
      </c>
      <c r="N30" s="11" t="s">
        <v>23</v>
      </c>
      <c r="O30" s="11" t="s">
        <v>45</v>
      </c>
      <c r="P30" s="11" t="s">
        <v>84</v>
      </c>
      <c r="Q30" s="11" t="s">
        <v>86</v>
      </c>
      <c r="R30" s="11">
        <v>750</v>
      </c>
      <c r="S30" s="40" t="s">
        <v>39</v>
      </c>
      <c r="T30" s="11">
        <v>900</v>
      </c>
      <c r="U30" s="11" t="s">
        <v>45</v>
      </c>
      <c r="V30" s="11" t="s">
        <v>84</v>
      </c>
      <c r="W30" s="11" t="s">
        <v>86</v>
      </c>
      <c r="X30" s="40" t="s">
        <v>60</v>
      </c>
      <c r="Y30" s="40" t="s">
        <v>141</v>
      </c>
      <c r="Z30" s="40"/>
      <c r="AA30" s="40" t="s">
        <v>65</v>
      </c>
      <c r="AB30" s="12" t="s">
        <v>88</v>
      </c>
      <c r="AC30" s="11" t="s">
        <v>45</v>
      </c>
      <c r="AD30" s="11" t="s">
        <v>45</v>
      </c>
      <c r="AE30" s="11" t="s">
        <v>116</v>
      </c>
      <c r="AF30" s="11" t="s">
        <v>116</v>
      </c>
      <c r="AG30" s="13" t="s">
        <v>60</v>
      </c>
      <c r="AH30" s="13" t="s">
        <v>96</v>
      </c>
      <c r="AI30" s="13" t="s">
        <v>45</v>
      </c>
      <c r="AJ30" s="13" t="s">
        <v>45</v>
      </c>
      <c r="AK30" s="13" t="s">
        <v>23</v>
      </c>
      <c r="AL30" s="94" t="s">
        <v>580</v>
      </c>
      <c r="AM30" s="95"/>
      <c r="AN30" s="95"/>
      <c r="AO30" s="95"/>
      <c r="AP30" s="96"/>
    </row>
    <row r="31" spans="1:42" s="10" customFormat="1" ht="37.5" customHeight="1" x14ac:dyDescent="0.4">
      <c r="A31" s="6">
        <v>27</v>
      </c>
      <c r="B31" s="6">
        <v>206</v>
      </c>
      <c r="C31" s="6" t="s">
        <v>80</v>
      </c>
      <c r="D31" s="18" t="s">
        <v>948</v>
      </c>
      <c r="E31" s="34" t="s">
        <v>18</v>
      </c>
      <c r="F31" s="46" t="s">
        <v>950</v>
      </c>
      <c r="G31" s="6" t="s">
        <v>43</v>
      </c>
      <c r="H31" s="6" t="s">
        <v>52</v>
      </c>
      <c r="I31" s="6" t="s">
        <v>84</v>
      </c>
      <c r="J31" s="6" t="s">
        <v>85</v>
      </c>
      <c r="K31" s="6" t="s">
        <v>60</v>
      </c>
      <c r="L31" s="6" t="s">
        <v>92</v>
      </c>
      <c r="M31" s="6" t="s">
        <v>45</v>
      </c>
      <c r="N31" s="6" t="s">
        <v>23</v>
      </c>
      <c r="O31" s="6" t="s">
        <v>23</v>
      </c>
      <c r="P31" s="6" t="s">
        <v>84</v>
      </c>
      <c r="Q31" s="6" t="s">
        <v>86</v>
      </c>
      <c r="R31" s="6">
        <v>740</v>
      </c>
      <c r="S31" s="6" t="s">
        <v>39</v>
      </c>
      <c r="T31" s="6">
        <v>900</v>
      </c>
      <c r="U31" s="6" t="s">
        <v>45</v>
      </c>
      <c r="V31" s="6" t="s">
        <v>84</v>
      </c>
      <c r="W31" s="6" t="s">
        <v>86</v>
      </c>
      <c r="X31" s="6" t="s">
        <v>60</v>
      </c>
      <c r="Y31" s="6" t="s">
        <v>141</v>
      </c>
      <c r="Z31" s="6"/>
      <c r="AA31" s="6" t="s">
        <v>65</v>
      </c>
      <c r="AB31" s="15" t="s">
        <v>88</v>
      </c>
      <c r="AC31" s="16" t="s">
        <v>23</v>
      </c>
      <c r="AD31" s="16" t="s">
        <v>23</v>
      </c>
      <c r="AE31" s="16" t="s">
        <v>50</v>
      </c>
      <c r="AF31" s="16" t="s">
        <v>50</v>
      </c>
      <c r="AG31" s="17" t="s">
        <v>60</v>
      </c>
      <c r="AH31" s="17" t="s">
        <v>62</v>
      </c>
      <c r="AI31" s="17" t="s">
        <v>45</v>
      </c>
      <c r="AJ31" s="17" t="s">
        <v>45</v>
      </c>
      <c r="AK31" s="17" t="s">
        <v>23</v>
      </c>
      <c r="AL31" s="106" t="s">
        <v>951</v>
      </c>
      <c r="AM31" s="107"/>
      <c r="AN31" s="107"/>
      <c r="AO31" s="107"/>
      <c r="AP31" s="108"/>
    </row>
    <row r="32" spans="1:42" s="14" customFormat="1" ht="15" customHeight="1" x14ac:dyDescent="0.4">
      <c r="A32" s="11">
        <v>27</v>
      </c>
      <c r="B32" s="11">
        <v>306</v>
      </c>
      <c r="C32" s="11" t="s">
        <v>80</v>
      </c>
      <c r="D32" s="13" t="s">
        <v>556</v>
      </c>
      <c r="E32" s="33" t="s">
        <v>18</v>
      </c>
      <c r="F32" s="11" t="s">
        <v>557</v>
      </c>
      <c r="G32" s="11" t="s">
        <v>43</v>
      </c>
      <c r="H32" s="11" t="s">
        <v>52</v>
      </c>
      <c r="I32" s="11" t="s">
        <v>84</v>
      </c>
      <c r="J32" s="11" t="s">
        <v>85</v>
      </c>
      <c r="K32" s="11" t="s">
        <v>60</v>
      </c>
      <c r="L32" s="11" t="s">
        <v>92</v>
      </c>
      <c r="M32" s="11" t="s">
        <v>45</v>
      </c>
      <c r="N32" s="11" t="s">
        <v>45</v>
      </c>
      <c r="O32" s="11" t="s">
        <v>45</v>
      </c>
      <c r="P32" s="11" t="s">
        <v>84</v>
      </c>
      <c r="Q32" s="11" t="s">
        <v>86</v>
      </c>
      <c r="R32" s="11">
        <v>740</v>
      </c>
      <c r="S32" s="40" t="s">
        <v>39</v>
      </c>
      <c r="T32" s="11">
        <v>900</v>
      </c>
      <c r="U32" s="11" t="s">
        <v>45</v>
      </c>
      <c r="V32" s="11" t="s">
        <v>84</v>
      </c>
      <c r="W32" s="11" t="s">
        <v>86</v>
      </c>
      <c r="X32" s="40" t="s">
        <v>60</v>
      </c>
      <c r="Y32" s="40" t="s">
        <v>87</v>
      </c>
      <c r="Z32" s="40" t="s">
        <v>558</v>
      </c>
      <c r="AA32" s="40" t="s">
        <v>39</v>
      </c>
      <c r="AB32" s="12" t="s">
        <v>88</v>
      </c>
      <c r="AC32" s="11" t="s">
        <v>45</v>
      </c>
      <c r="AD32" s="11" t="s">
        <v>23</v>
      </c>
      <c r="AE32" s="11" t="s">
        <v>116</v>
      </c>
      <c r="AF32" s="11" t="s">
        <v>50</v>
      </c>
      <c r="AG32" s="13" t="s">
        <v>60</v>
      </c>
      <c r="AH32" s="13" t="s">
        <v>62</v>
      </c>
      <c r="AI32" s="13" t="s">
        <v>45</v>
      </c>
      <c r="AJ32" s="13" t="s">
        <v>23</v>
      </c>
      <c r="AK32" s="13" t="s">
        <v>45</v>
      </c>
      <c r="AL32" s="94" t="s">
        <v>814</v>
      </c>
      <c r="AM32" s="95"/>
      <c r="AN32" s="95"/>
      <c r="AO32" s="95"/>
      <c r="AP32" s="96"/>
    </row>
    <row r="33" spans="1:43" s="10" customFormat="1" ht="42" customHeight="1" x14ac:dyDescent="0.4">
      <c r="A33" s="6">
        <v>27</v>
      </c>
      <c r="B33" s="6">
        <v>406</v>
      </c>
      <c r="C33" s="6" t="s">
        <v>80</v>
      </c>
      <c r="D33" s="18" t="s">
        <v>1527</v>
      </c>
      <c r="E33" s="34" t="s">
        <v>18</v>
      </c>
      <c r="F33" s="6" t="s">
        <v>1528</v>
      </c>
      <c r="G33" s="6" t="s">
        <v>43</v>
      </c>
      <c r="H33" s="6" t="s">
        <v>52</v>
      </c>
      <c r="I33" s="6" t="s">
        <v>84</v>
      </c>
      <c r="J33" s="6" t="s">
        <v>85</v>
      </c>
      <c r="K33" s="6" t="s">
        <v>60</v>
      </c>
      <c r="L33" s="6" t="s">
        <v>92</v>
      </c>
      <c r="M33" s="6" t="s">
        <v>45</v>
      </c>
      <c r="N33" s="6" t="s">
        <v>45</v>
      </c>
      <c r="O33" s="6" t="s">
        <v>23</v>
      </c>
      <c r="P33" s="6" t="s">
        <v>84</v>
      </c>
      <c r="Q33" s="6" t="s">
        <v>86</v>
      </c>
      <c r="R33" s="6">
        <v>750</v>
      </c>
      <c r="S33" s="6" t="s">
        <v>39</v>
      </c>
      <c r="T33" s="6">
        <v>900</v>
      </c>
      <c r="U33" s="6" t="s">
        <v>45</v>
      </c>
      <c r="V33" s="6" t="s">
        <v>84</v>
      </c>
      <c r="W33" s="6" t="s">
        <v>86</v>
      </c>
      <c r="X33" s="6" t="s">
        <v>60</v>
      </c>
      <c r="Y33" s="6" t="s">
        <v>87</v>
      </c>
      <c r="Z33" s="6" t="s">
        <v>1529</v>
      </c>
      <c r="AA33" s="6" t="s">
        <v>65</v>
      </c>
      <c r="AB33" s="15" t="s">
        <v>19</v>
      </c>
      <c r="AC33" s="16" t="s">
        <v>45</v>
      </c>
      <c r="AD33" s="16" t="s">
        <v>45</v>
      </c>
      <c r="AE33" s="16" t="s">
        <v>116</v>
      </c>
      <c r="AF33" s="16" t="s">
        <v>50</v>
      </c>
      <c r="AG33" s="17" t="s">
        <v>60</v>
      </c>
      <c r="AH33" s="17" t="s">
        <v>62</v>
      </c>
      <c r="AI33" s="17" t="s">
        <v>45</v>
      </c>
      <c r="AJ33" s="17" t="s">
        <v>45</v>
      </c>
      <c r="AK33" s="17" t="s">
        <v>45</v>
      </c>
      <c r="AL33" s="106" t="s">
        <v>1530</v>
      </c>
      <c r="AM33" s="107"/>
      <c r="AN33" s="107"/>
      <c r="AO33" s="107"/>
      <c r="AP33" s="108"/>
    </row>
    <row r="34" spans="1:43" s="14" customFormat="1" ht="31.5" customHeight="1" x14ac:dyDescent="0.4">
      <c r="A34" s="11">
        <v>27</v>
      </c>
      <c r="B34" s="11">
        <v>506</v>
      </c>
      <c r="C34" s="11" t="s">
        <v>80</v>
      </c>
      <c r="D34" s="13" t="s">
        <v>538</v>
      </c>
      <c r="E34" s="33" t="s">
        <v>18</v>
      </c>
      <c r="F34" s="11" t="s">
        <v>539</v>
      </c>
      <c r="G34" s="11" t="s">
        <v>43</v>
      </c>
      <c r="H34" s="11" t="s">
        <v>52</v>
      </c>
      <c r="I34" s="11" t="s">
        <v>84</v>
      </c>
      <c r="J34" s="11" t="s">
        <v>85</v>
      </c>
      <c r="K34" s="11" t="s">
        <v>60</v>
      </c>
      <c r="L34" s="11" t="s">
        <v>92</v>
      </c>
      <c r="M34" s="11" t="s">
        <v>45</v>
      </c>
      <c r="N34" s="11" t="s">
        <v>45</v>
      </c>
      <c r="O34" s="11" t="s">
        <v>23</v>
      </c>
      <c r="P34" s="11" t="s">
        <v>84</v>
      </c>
      <c r="Q34" s="11" t="s">
        <v>86</v>
      </c>
      <c r="R34" s="11">
        <v>750</v>
      </c>
      <c r="S34" s="40" t="s">
        <v>39</v>
      </c>
      <c r="T34" s="11">
        <v>900</v>
      </c>
      <c r="U34" s="11" t="s">
        <v>45</v>
      </c>
      <c r="V34" s="11" t="s">
        <v>84</v>
      </c>
      <c r="W34" s="11" t="s">
        <v>86</v>
      </c>
      <c r="X34" s="40" t="s">
        <v>60</v>
      </c>
      <c r="Y34" s="40" t="s">
        <v>104</v>
      </c>
      <c r="Z34" s="53" t="s">
        <v>540</v>
      </c>
      <c r="AA34" s="40" t="s">
        <v>39</v>
      </c>
      <c r="AB34" s="12" t="s">
        <v>88</v>
      </c>
      <c r="AC34" s="11" t="s">
        <v>45</v>
      </c>
      <c r="AD34" s="11" t="s">
        <v>23</v>
      </c>
      <c r="AE34" s="11" t="s">
        <v>46</v>
      </c>
      <c r="AF34" s="11" t="s">
        <v>50</v>
      </c>
      <c r="AG34" s="13" t="s">
        <v>60</v>
      </c>
      <c r="AH34" s="13" t="s">
        <v>62</v>
      </c>
      <c r="AI34" s="13" t="s">
        <v>45</v>
      </c>
      <c r="AJ34" s="13" t="s">
        <v>45</v>
      </c>
      <c r="AK34" s="13" t="s">
        <v>45</v>
      </c>
      <c r="AL34" s="94" t="s">
        <v>541</v>
      </c>
      <c r="AM34" s="95"/>
      <c r="AN34" s="95"/>
      <c r="AO34" s="95"/>
      <c r="AP34" s="96"/>
    </row>
    <row r="35" spans="1:43" s="2" customFormat="1" ht="11.25" customHeight="1" x14ac:dyDescent="0.4">
      <c r="A35" s="118" t="s">
        <v>12</v>
      </c>
      <c r="B35" s="119"/>
      <c r="C35" s="119"/>
      <c r="D35" s="119"/>
      <c r="E35" s="120"/>
      <c r="F35" s="127">
        <f>COUNTA(D5:D34)</f>
        <v>29</v>
      </c>
      <c r="G35" s="20" t="str">
        <f>"所有→"&amp;COUNTIF(G5:G34,"所有")&amp;"戸"</f>
        <v>所有→27戸</v>
      </c>
      <c r="H35" s="20" t="str">
        <f>"未更新→"&amp;COUNTIF(H5:H34,"未更新")&amp;"戸"</f>
        <v>未更新→28戸</v>
      </c>
      <c r="I35" s="20" t="str">
        <f>"クロス→"&amp;COUNTIF(I5:I34,"クロス")&amp;"戸"</f>
        <v>クロス→29戸</v>
      </c>
      <c r="J35" s="20" t="str">
        <f>"ベニヤ→"&amp;COUNTIF(J5:J34,"ベニヤ")&amp;"戸"</f>
        <v>ベニヤ→29戸</v>
      </c>
      <c r="K35" s="20" t="str">
        <f>"既存→"&amp;COUNTIF(K5:K34,"既存")&amp;"戸"</f>
        <v>既存→1戸</v>
      </c>
      <c r="L35" s="20" t="str">
        <f>"普通便座→"&amp;COUNTIF(L5:L34,"普通便座")&amp;"戸"</f>
        <v>普通便座→0戸</v>
      </c>
      <c r="M35" s="20" t="str">
        <f>"有→"&amp;COUNTIF(M5:M34,"有")&amp;"戸"</f>
        <v>有→2戸</v>
      </c>
      <c r="N35" s="20" t="str">
        <f>"有→"&amp;COUNTIF(N5:N34,"有")&amp;"戸"</f>
        <v>有→6戸</v>
      </c>
      <c r="O35" s="20" t="str">
        <f>"有→"&amp;COUNTIF(O5:O34,"有")&amp;"戸"</f>
        <v>有→18戸</v>
      </c>
      <c r="P35" s="20" t="str">
        <f>"クロス→"&amp;COUNTIF(P5:P34,"クロス")&amp;"戸"</f>
        <v>クロス→28戸</v>
      </c>
      <c r="Q35" s="20" t="str">
        <f>"CF→"&amp;COUNTIF(Q5:Q34,"CF")&amp;"戸"</f>
        <v>CF→28戸</v>
      </c>
      <c r="R35" s="20" t="str">
        <f>"1000→"&amp;COUNTIF(R5:R34,"1000")&amp;"戸"</f>
        <v>1000→1戸</v>
      </c>
      <c r="S35" s="20" t="str">
        <f>"可→"&amp;COUNTIF(S5:S34,"可")&amp;"戸"</f>
        <v>可→29戸</v>
      </c>
      <c r="T35" s="20" t="str">
        <f>"900→"&amp;COUNTIF(T5:T34,"900")&amp;"戸"</f>
        <v>900→18戸</v>
      </c>
      <c r="U35" s="20" t="str">
        <f>"有→"&amp;COUNTIF(U5:U34,"有")&amp;"戸"</f>
        <v>有→2戸</v>
      </c>
      <c r="V35" s="20" t="str">
        <f>"クロス→"&amp;COUNTIF(V5:V34,"クロス")&amp;"戸"</f>
        <v>クロス→28戸</v>
      </c>
      <c r="W35" s="20" t="str">
        <f>"CF→"&amp;COUNTIF(W5:W34,"CF")&amp;"戸"</f>
        <v>CF→26戸</v>
      </c>
      <c r="X35" s="20" t="str">
        <f>"既存→"&amp;COUNTIF(X5:X34,"既存")&amp;"戸"</f>
        <v>既存→2戸</v>
      </c>
      <c r="Y35" s="20" t="str">
        <f>"TOTO→"&amp;COUNTIF(Y5:Y34,"TOTO")&amp;"戸"</f>
        <v>TOTO→20戸</v>
      </c>
      <c r="Z35" s="130">
        <f>COUNTA(Z5:Z34)</f>
        <v>22</v>
      </c>
      <c r="AA35" s="20" t="str">
        <f>"可→"&amp;COUNTIF(AA5:AA34,"可")&amp;"戸"</f>
        <v>可→24戸</v>
      </c>
      <c r="AB35" s="20" t="str">
        <f>"既存→"&amp;COUNTIF(AB5:AB34,"既存")&amp;"戸"</f>
        <v>既存→7戸</v>
      </c>
      <c r="AC35" s="130">
        <f>COUNTIF(AC5:AC34,"有")</f>
        <v>9</v>
      </c>
      <c r="AD35" s="130">
        <f>COUNTIF(AD5:AD34,"有")</f>
        <v>16</v>
      </c>
      <c r="AE35" s="20" t="str">
        <f>"ポリ板→"&amp;COUNTIF(AE5:AE34,"ポリ板")&amp;"戸"</f>
        <v>ポリ板→19戸</v>
      </c>
      <c r="AF35" s="20" t="str">
        <f>"ポリ板→"&amp;COUNTIF(AF5:AF34,"ポリ板")&amp;"戸"</f>
        <v>ポリ板→28戸</v>
      </c>
      <c r="AG35" s="20" t="str">
        <f>"既存→"&amp;COUNTIF(AG5:AG34,"既存")&amp;"戸"</f>
        <v>既存→0戸</v>
      </c>
      <c r="AH35" s="20" t="str">
        <f>"洗面所→"&amp;COUNTIF(AH5:AH34,"洗面所")&amp;"戸"</f>
        <v>洗面所→25戸</v>
      </c>
      <c r="AI35" s="130">
        <f>COUNTIF(AI5:AI34,"有")</f>
        <v>9</v>
      </c>
      <c r="AJ35" s="130">
        <f>COUNTIF(AJ5:AJ34,"有")</f>
        <v>13</v>
      </c>
      <c r="AK35" s="130">
        <f>COUNTIF(AK5:AK34,"有")</f>
        <v>10</v>
      </c>
      <c r="AL35" s="109"/>
      <c r="AM35" s="110"/>
      <c r="AN35" s="110"/>
      <c r="AO35" s="110"/>
      <c r="AP35" s="111"/>
      <c r="AQ35" s="41"/>
    </row>
    <row r="36" spans="1:43" s="2" customFormat="1" ht="11.25" customHeight="1" x14ac:dyDescent="0.4">
      <c r="A36" s="121"/>
      <c r="B36" s="122"/>
      <c r="C36" s="122"/>
      <c r="D36" s="122"/>
      <c r="E36" s="123"/>
      <c r="F36" s="128"/>
      <c r="G36" s="35" t="str">
        <f>"賃貸→"&amp;COUNTIF(G5:G34,"賃貸")&amp;"戸"</f>
        <v>賃貸→1戸</v>
      </c>
      <c r="H36" s="35" t="str">
        <f>"更新済み→"&amp;COUNTIF(H5:H34,"更新済み")&amp;"戸"</f>
        <v>更新済み→1戸</v>
      </c>
      <c r="I36" s="35" t="str">
        <f>"珪藻土→"&amp;COUNTIF(I5:I34,"珪藻土")&amp;"戸"</f>
        <v>珪藻土→0戸</v>
      </c>
      <c r="J36" s="35" t="str">
        <f>"クロス→"&amp;COUNTIF(J5:J34,"クロス")&amp;"戸"</f>
        <v>クロス→0戸</v>
      </c>
      <c r="K36" s="35" t="str">
        <f>"タンクレス→"&amp;COUNTIF(K5:K34,"タンクレス")&amp;"戸"</f>
        <v>タンクレス→2戸</v>
      </c>
      <c r="L36" s="35" t="str">
        <f>"暖房便座→"&amp;COUNTIF(L5:L34,"暖房便座")&amp;"戸"</f>
        <v>暖房便座→0戸</v>
      </c>
      <c r="M36" s="35" t="str">
        <f>"無→"&amp;COUNTIF(M5:M34,"無")&amp;"戸"</f>
        <v>無→27戸</v>
      </c>
      <c r="N36" s="35" t="str">
        <f>"無→"&amp;COUNTIF(N5:N34,"無")&amp;"戸"</f>
        <v>無→23戸</v>
      </c>
      <c r="O36" s="35" t="str">
        <f>"無→"&amp;COUNTIF(O5:O34,"無")&amp;"戸"</f>
        <v>無→11戸</v>
      </c>
      <c r="P36" s="35" t="str">
        <f>"珪藻土→"&amp;COUNTIF(P5:P34,"珪藻土")&amp;"戸"</f>
        <v>珪藻土→0戸</v>
      </c>
      <c r="Q36" s="35" t="str">
        <f>"塩ビタイル→"&amp;COUNTIF(Q5:Q34,"塩ビタイル")&amp;"戸"</f>
        <v>塩ビタイル→0戸</v>
      </c>
      <c r="R36" s="35" t="str">
        <f>"900→"&amp;COUNTIF(R5:R34,"900")&amp;"戸"</f>
        <v>900→2戸</v>
      </c>
      <c r="S36" s="35" t="str">
        <f>"不可→"&amp;COUNTIF(S5:S34,"不可")&amp;"戸"</f>
        <v>不可→0戸</v>
      </c>
      <c r="T36" s="35" t="str">
        <f>"800→"&amp;COUNTIF(T5:T34,"800")&amp;"戸"</f>
        <v>800→2戸</v>
      </c>
      <c r="U36" s="35" t="str">
        <f>"無→"&amp;COUNTIF(U5:U34,"無")&amp;"戸"</f>
        <v>無→27戸</v>
      </c>
      <c r="V36" s="35" t="str">
        <f>"珪藻土→"&amp;COUNTIF(V5:V34,"珪藻土")&amp;"戸"</f>
        <v>珪藻土→0戸</v>
      </c>
      <c r="W36" s="35" t="str">
        <f>"塩ビタイル→"&amp;COUNTIF(W5:W34,"塩ビタイル")&amp;"戸"</f>
        <v>塩ビタイル→2戸</v>
      </c>
      <c r="X36" s="35" t="str">
        <f>"リフォーム済み→"&amp;COUNTIF(X5:X34,"リフォーム済み")&amp;"戸"</f>
        <v>リフォーム済み→27戸</v>
      </c>
      <c r="Y36" s="35" t="str">
        <f>"LIXIL→"&amp;COUNTIF(Y5:Y34,"LIXIL")&amp;"戸"</f>
        <v>LIXIL→1戸</v>
      </c>
      <c r="Z36" s="131"/>
      <c r="AA36" s="35" t="str">
        <f>"不可→"&amp;COUNTIF(AA5:AA34,"不可")&amp;"戸"</f>
        <v>不可→5戸</v>
      </c>
      <c r="AB36" s="36" t="str">
        <f>"システム→"&amp;COUNTIF(AB5:AB34,"システム")&amp;"戸"</f>
        <v>システム→22戸</v>
      </c>
      <c r="AC36" s="131"/>
      <c r="AD36" s="131"/>
      <c r="AE36" s="35" t="str">
        <f>"SUS→"&amp;COUNTIF(AE5:AE34,"SUS")&amp;"戸"</f>
        <v>SUS→9戸</v>
      </c>
      <c r="AF36" s="35" t="str">
        <f>"SUS→"&amp;COUNTIF(AF5:AF34,"SUS")&amp;"戸"</f>
        <v>SUS→1戸</v>
      </c>
      <c r="AG36" s="35" t="str">
        <f>"リフォーム済み→"&amp;COUNTIF(AG5:AG34,"リフォーム済み")&amp;"戸"</f>
        <v>リフォーム済み→29戸</v>
      </c>
      <c r="AH36" s="35" t="str">
        <f>"ベランダ→"&amp;COUNTIF(AH5:AH34,"ベランダ")&amp;"戸"</f>
        <v>ベランダ→4戸</v>
      </c>
      <c r="AI36" s="131"/>
      <c r="AJ36" s="131"/>
      <c r="AK36" s="131"/>
      <c r="AL36" s="112"/>
      <c r="AM36" s="113"/>
      <c r="AN36" s="113"/>
      <c r="AO36" s="113"/>
      <c r="AP36" s="114"/>
      <c r="AQ36" s="41"/>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その他→0戸</v>
      </c>
      <c r="K37" s="35" t="str">
        <f>"レストパル→"&amp;COUNTIF(K5:K34,"レストパル")&amp;"戸"</f>
        <v>レストパル→1戸</v>
      </c>
      <c r="L37" s="35" t="str">
        <f>"WL→"&amp;COUNTIF(L5:L34,"WL")&amp;"戸"</f>
        <v>WL→29戸</v>
      </c>
      <c r="M37" s="23"/>
      <c r="N37" s="23"/>
      <c r="O37" s="23"/>
      <c r="P37" s="35" t="str">
        <f>"塗装→"&amp;COUNTIF(P5:P34,"塗装")&amp;"戸"</f>
        <v>塗装→0戸</v>
      </c>
      <c r="Q37" s="35" t="str">
        <f>"フローリング→"&amp;COUNTIF(Q5:Q34,"フローリング")&amp;"戸"</f>
        <v>フローリング→1戸</v>
      </c>
      <c r="R37" s="35" t="str">
        <f>"750→"&amp;COUNTIF(R5:R34,"750")&amp;"戸"</f>
        <v>750→15戸</v>
      </c>
      <c r="S37" s="35"/>
      <c r="T37" s="35" t="str">
        <f>"740→"&amp;COUNTIF(T5:T34,"740")&amp;"戸"</f>
        <v>740→3戸</v>
      </c>
      <c r="U37" s="22"/>
      <c r="V37" s="35" t="str">
        <f>"塗装→"&amp;COUNTIF(V5:V34,"塗装")&amp;"戸"</f>
        <v>塗装→0戸</v>
      </c>
      <c r="W37" s="35" t="str">
        <f>"フローリング→"&amp;COUNTIF(W5:W34,"フローリング")&amp;"戸"</f>
        <v>フローリング→1戸</v>
      </c>
      <c r="X37" s="35"/>
      <c r="Y37" s="35" t="str">
        <f>"INAX→"&amp;COUNTIF(Y5:Y34,"INAX")&amp;"戸"</f>
        <v>INAX→1戸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1"/>
    </row>
    <row r="38" spans="1:43" s="2" customFormat="1" ht="11.25" customHeight="1" x14ac:dyDescent="0.4">
      <c r="A38" s="124"/>
      <c r="B38" s="125"/>
      <c r="C38" s="125"/>
      <c r="D38" s="125"/>
      <c r="E38" s="126"/>
      <c r="F38" s="129"/>
      <c r="G38" s="35" t="str">
        <f>"空家→"&amp;COUNTIF(G5:G34,"空家")&amp;"戸"</f>
        <v>空家→1戸</v>
      </c>
      <c r="H38" s="39"/>
      <c r="I38" s="28"/>
      <c r="J38" s="27"/>
      <c r="K38" s="35" t="str">
        <f>"一体型→"&amp;COUNTIF(K5:K34,"一体型")&amp;"戸"</f>
        <v>一体型→0戸</v>
      </c>
      <c r="L38" s="28"/>
      <c r="M38" s="28"/>
      <c r="N38" s="28"/>
      <c r="O38" s="28"/>
      <c r="P38" s="28"/>
      <c r="Q38" s="28"/>
      <c r="R38" s="35" t="str">
        <f>"740→"&amp;COUNTIF(R5:R34,"740")&amp;"戸"</f>
        <v>740→7戸</v>
      </c>
      <c r="S38" s="27"/>
      <c r="T38" s="35" t="str">
        <f>"640→"&amp;COUNTIF(T5:T34,"640")&amp;"戸"</f>
        <v>640→4戸</v>
      </c>
      <c r="U38" s="27"/>
      <c r="V38" s="27"/>
      <c r="W38" s="27"/>
      <c r="X38" s="27"/>
      <c r="Y38" s="27"/>
      <c r="Z38" s="132"/>
      <c r="AA38" s="27"/>
      <c r="AB38" s="28"/>
      <c r="AC38" s="132"/>
      <c r="AD38" s="132"/>
      <c r="AE38" s="35" t="str">
        <f>"その他→"&amp;COUNTIF(AE5:AE34,"その他")&amp;"戸"</f>
        <v>その他→1戸</v>
      </c>
      <c r="AF38" s="35" t="str">
        <f>"その他→"&amp;COUNTIF(AF5:AF34,"その他")&amp;"戸"</f>
        <v>その他→0戸</v>
      </c>
      <c r="AG38" s="39"/>
      <c r="AH38" s="39"/>
      <c r="AI38" s="132"/>
      <c r="AJ38" s="132"/>
      <c r="AK38" s="132"/>
      <c r="AL38" s="115"/>
      <c r="AM38" s="116"/>
      <c r="AN38" s="116"/>
      <c r="AO38" s="116"/>
      <c r="AP38" s="117"/>
      <c r="AQ38" s="41"/>
    </row>
    <row r="39" spans="1:43" s="2" customFormat="1" x14ac:dyDescent="0.4">
      <c r="A39" s="31"/>
      <c r="AI39" s="37"/>
      <c r="AJ39" s="37"/>
      <c r="AQ39" s="1"/>
    </row>
  </sheetData>
  <autoFilter ref="AI3:AK4" xr:uid="{823E393B-E54C-4DB5-9405-D68C3F458079}"/>
  <mergeCells count="57">
    <mergeCell ref="AL34:AP34"/>
    <mergeCell ref="A35:E38"/>
    <mergeCell ref="F35:F38"/>
    <mergeCell ref="AL35:AP38"/>
    <mergeCell ref="AL28:AP28"/>
    <mergeCell ref="AL29:AP29"/>
    <mergeCell ref="AL30:AP30"/>
    <mergeCell ref="AL31:AP31"/>
    <mergeCell ref="AL32:AP32"/>
    <mergeCell ref="AL33:AP33"/>
    <mergeCell ref="Z35:Z38"/>
    <mergeCell ref="AC35:AC38"/>
    <mergeCell ref="AI35:AI38"/>
    <mergeCell ref="AJ35:AJ38"/>
    <mergeCell ref="AK35:AK38"/>
    <mergeCell ref="AD35:AD38"/>
    <mergeCell ref="AL27:AP27"/>
    <mergeCell ref="AL15:AP15"/>
    <mergeCell ref="AL16:AP16"/>
    <mergeCell ref="AL17:AP17"/>
    <mergeCell ref="AL18:AP18"/>
    <mergeCell ref="AL19:AP19"/>
    <mergeCell ref="AL20:AP20"/>
    <mergeCell ref="AL21:AP21"/>
    <mergeCell ref="AL22:AP22"/>
    <mergeCell ref="AL23:AP23"/>
    <mergeCell ref="AL24:AP24"/>
    <mergeCell ref="AL26:AP26"/>
    <mergeCell ref="AL25:AP25"/>
    <mergeCell ref="AL14:AP14"/>
    <mergeCell ref="AK3:AK4"/>
    <mergeCell ref="AL3:AP4"/>
    <mergeCell ref="AL5:AP5"/>
    <mergeCell ref="AL6:AP6"/>
    <mergeCell ref="AL7:AP7"/>
    <mergeCell ref="AL8:AP8"/>
    <mergeCell ref="AL9:AP9"/>
    <mergeCell ref="AL10:AP10"/>
    <mergeCell ref="AL11:AP11"/>
    <mergeCell ref="AL12:AP12"/>
    <mergeCell ref="AL13:AP13"/>
    <mergeCell ref="AJ3:AJ4"/>
    <mergeCell ref="A1:AP2"/>
    <mergeCell ref="A3:A4"/>
    <mergeCell ref="B3:B4"/>
    <mergeCell ref="C3:C4"/>
    <mergeCell ref="D3:E4"/>
    <mergeCell ref="F3:F4"/>
    <mergeCell ref="G3:G4"/>
    <mergeCell ref="H3:H4"/>
    <mergeCell ref="I3:J3"/>
    <mergeCell ref="K3:Q3"/>
    <mergeCell ref="R3:W3"/>
    <mergeCell ref="X3:AA3"/>
    <mergeCell ref="AB3:AF3"/>
    <mergeCell ref="AG3:AH3"/>
    <mergeCell ref="AI3:AI4"/>
  </mergeCells>
  <phoneticPr fontId="1"/>
  <dataValidations count="1">
    <dataValidation imeMode="off" allowBlank="1" showInputMessage="1" showErrorMessage="1" sqref="C1:C3 A39:C1048576 A1:A35 B1:B34 C5:C34" xr:uid="{C07E7E1C-505C-40F2-BAB8-E890C31FB2C4}"/>
  </dataValidations>
  <printOptions horizontalCentered="1" verticalCentered="1"/>
  <pageMargins left="0.11811023622047245" right="0.11811023622047245" top="0.55118110236220474" bottom="0.19685039370078741" header="0.31496062992125984" footer="0.31496062992125984"/>
  <pageSetup paperSize="8" scale="46"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B690235A-68FD-4F38-9AD8-B84AEA52CB99}">
          <x14:formula1>
            <xm:f>Sheet1!$C$9:$C$11</xm:f>
          </x14:formula1>
          <xm:sqref>Q5:Q34 W5:W34</xm:sqref>
        </x14:dataValidation>
        <x14:dataValidation type="list" allowBlank="1" showInputMessage="1" showErrorMessage="1" xr:uid="{41CA7429-2854-412D-A628-B4D7D7A24016}">
          <x14:formula1>
            <xm:f>Sheet1!$A$1:$A$4</xm:f>
          </x14:formula1>
          <xm:sqref>G5:G34</xm:sqref>
        </x14:dataValidation>
        <x14:dataValidation type="list" allowBlank="1" showInputMessage="1" showErrorMessage="1" xr:uid="{50317A16-2E12-4F17-A752-CB63711FB7EE}">
          <x14:formula1>
            <xm:f>Sheet1!$A$6:$A$7</xm:f>
          </x14:formula1>
          <xm:sqref>H5:H34</xm:sqref>
        </x14:dataValidation>
        <x14:dataValidation type="list" allowBlank="1" showInputMessage="1" showErrorMessage="1" xr:uid="{EAD5597A-1C68-4AB4-812B-8B3FC4CC33BA}">
          <x14:formula1>
            <xm:f>Sheet1!$A$9:$A$11</xm:f>
          </x14:formula1>
          <xm:sqref>I5:I34 V27:V34 V5:V25 P5:P25 P27:P34</xm:sqref>
        </x14:dataValidation>
        <x14:dataValidation type="list" allowBlank="1" showInputMessage="1" showErrorMessage="1" xr:uid="{A5B4AB9A-3E08-4369-A56A-FC6384FDCA93}">
          <x14:formula1>
            <xm:f>Sheet1!$D$1:$D$3</xm:f>
          </x14:formula1>
          <xm:sqref>J5:J34</xm:sqref>
        </x14:dataValidation>
        <x14:dataValidation type="list" allowBlank="1" showInputMessage="1" showErrorMessage="1" xr:uid="{EA0C605B-C438-4392-97C0-23AC13769971}">
          <x14:formula1>
            <xm:f>Sheet1!$G$9:$G$12</xm:f>
          </x14:formula1>
          <xm:sqref>K5:K34</xm:sqref>
        </x14:dataValidation>
        <x14:dataValidation type="list" allowBlank="1" showInputMessage="1" showErrorMessage="1" xr:uid="{3751C669-3A1D-4DC9-B523-3122D51D7152}">
          <x14:formula1>
            <xm:f>Sheet1!$E$9:$E$11</xm:f>
          </x14:formula1>
          <xm:sqref>L5:L34</xm:sqref>
        </x14:dataValidation>
        <x14:dataValidation type="list" allowBlank="1" showInputMessage="1" showErrorMessage="1" xr:uid="{B2351C57-12E9-4D26-B63F-148716D21CA5}">
          <x14:formula1>
            <xm:f>Sheet1!$C$6:$C$7</xm:f>
          </x14:formula1>
          <xm:sqref>M5:O34 AC5:AD34 U5:U34 AJ5:AK34</xm:sqref>
        </x14:dataValidation>
        <x14:dataValidation type="list" allowBlank="1" showInputMessage="1" showErrorMessage="1" xr:uid="{831A9B4D-1DA8-4173-B0E2-9D978CDCA8B2}">
          <x14:formula1>
            <xm:f>Sheet1!$A$17:$A$20</xm:f>
          </x14:formula1>
          <xm:sqref>R20 R6 R33:R34 R22 R25:R26 R8:R17 R28 R30</xm:sqref>
        </x14:dataValidation>
        <x14:dataValidation type="list" allowBlank="1" showInputMessage="1" showErrorMessage="1" xr:uid="{A332E697-5500-44E9-9587-E670F19CD4F5}">
          <x14:formula1>
            <xm:f>Sheet1!$C$17:$C$20</xm:f>
          </x14:formula1>
          <xm:sqref>T5:T6 T8:T10 T12:T34</xm:sqref>
        </x14:dataValidation>
        <x14:dataValidation type="list" allowBlank="1" showInputMessage="1" showErrorMessage="1" xr:uid="{A6E9376A-7F34-44B8-BD34-0FEEFCA53E5E}">
          <x14:formula1>
            <xm:f>Sheet1!$A$13:$A$15</xm:f>
          </x14:formula1>
          <xm:sqref>AB5:AB34</xm:sqref>
        </x14:dataValidation>
        <x14:dataValidation type="list" allowBlank="1" showInputMessage="1" showErrorMessage="1" xr:uid="{EF5C4B2E-80E3-4AD9-B326-F9D81CB80BFC}">
          <x14:formula1>
            <xm:f>Sheet1!$G$1:$G$4</xm:f>
          </x14:formula1>
          <xm:sqref>AE5:AF34</xm:sqref>
        </x14:dataValidation>
        <x14:dataValidation type="list" allowBlank="1" showInputMessage="1" showErrorMessage="1" xr:uid="{9397F627-F972-46D7-BC97-38EADFBD9697}">
          <x14:formula1>
            <xm:f>Sheet1!$E$17:$E$18</xm:f>
          </x14:formula1>
          <xm:sqref>AG5:AG34</xm:sqref>
        </x14:dataValidation>
        <x14:dataValidation type="list" allowBlank="1" showInputMessage="1" showErrorMessage="1" xr:uid="{675E4A54-DDF7-4F41-9C32-69D4BB0B22BA}">
          <x14:formula1>
            <xm:f>Sheet1!$G$17:$G$18</xm:f>
          </x14:formula1>
          <xm:sqref>AH5:AH34</xm:sqref>
        </x14:dataValidation>
        <x14:dataValidation type="list" allowBlank="1" showInputMessage="1" showErrorMessage="1" xr:uid="{30834A05-A2B7-48F7-9650-0A7398F4D9D6}">
          <x14:formula1>
            <xm:f>Sheet1!$I$1:$I$2</xm:f>
          </x14:formula1>
          <xm:sqref>X5:X34</xm:sqref>
        </x14:dataValidation>
        <x14:dataValidation type="list" allowBlank="1" showInputMessage="1" showErrorMessage="1" xr:uid="{A5CB3878-FC75-4BED-BB02-CA8E18399F51}">
          <x14:formula1>
            <xm:f>Sheet1!$G$6:$G$7</xm:f>
          </x14:formula1>
          <xm:sqref>S5:S34 AA5:AA34</xm:sqref>
        </x14:dataValidation>
        <x14:dataValidation type="list" allowBlank="1" showInputMessage="1" showErrorMessage="1" xr:uid="{A3C9B945-DFA1-42D2-9F5C-826BAE434A85}">
          <x14:formula1>
            <xm:f>Sheet1!$C$6:$C$8</xm:f>
          </x14:formula1>
          <xm:sqref>AI5:AI34</xm:sqref>
        </x14:dataValidation>
        <x14:dataValidation type="list" allowBlank="1" showInputMessage="1" showErrorMessage="1" xr:uid="{D3841BD1-B7F1-45E4-9B80-B35EC693894D}">
          <x14:formula1>
            <xm:f>Sheet1!$I$9:$I$13</xm:f>
          </x14:formula1>
          <xm:sqref>Y15:Y34 Y5:Y11 Y13</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38D40-3FE2-44A0-AD0D-6978D4BA78AD}">
  <sheetPr codeName="Sheet28">
    <tabColor theme="4" tint="0.39997558519241921"/>
  </sheetPr>
  <dimension ref="A1:AT39"/>
  <sheetViews>
    <sheetView view="pageBreakPreview" zoomScaleNormal="40" zoomScaleSheetLayoutView="70" workbookViewId="0">
      <pane xSplit="5" ySplit="4" topLeftCell="AI25" activePane="bottomRight" state="frozen"/>
      <selection activeCell="A5" sqref="A5:F23"/>
      <selection pane="topRight" activeCell="A5" sqref="A5:F23"/>
      <selection pane="bottomLeft" activeCell="A5" sqref="A5:F23"/>
      <selection pane="bottomRight" activeCell="AJ10" sqref="AJ10"/>
    </sheetView>
  </sheetViews>
  <sheetFormatPr defaultColWidth="8.625" defaultRowHeight="18.75" x14ac:dyDescent="0.4"/>
  <cols>
    <col min="1" max="1" width="6.75" style="31" customWidth="1"/>
    <col min="2" max="2" width="7.375" style="2" customWidth="1"/>
    <col min="3" max="3" width="6.75" style="2" customWidth="1"/>
    <col min="4" max="4" width="13.5" style="2" customWidth="1"/>
    <col min="5" max="5" width="2.5" style="2" customWidth="1"/>
    <col min="6" max="6" width="15.625" style="2" customWidth="1"/>
    <col min="7" max="8" width="7.875" style="2" customWidth="1"/>
    <col min="9" max="9" width="9" style="2" customWidth="1"/>
    <col min="10" max="19" width="9.125" style="2" customWidth="1"/>
    <col min="20" max="21" width="9.25" style="2" customWidth="1"/>
    <col min="22" max="25" width="9.125" style="2" customWidth="1"/>
    <col min="26" max="26" width="17.5" style="2" customWidth="1"/>
    <col min="27" max="41" width="9.125" style="2" customWidth="1"/>
    <col min="42" max="42" width="25.25" style="2" customWidth="1"/>
    <col min="43" max="43" width="9.5" style="1" customWidth="1"/>
    <col min="44" max="44" width="10" style="2" customWidth="1"/>
    <col min="45" max="46" width="12" style="2" customWidth="1"/>
    <col min="47" max="51" width="12" style="1" customWidth="1"/>
    <col min="52" max="16384" width="8.625" style="1"/>
  </cols>
  <sheetData>
    <row r="1" spans="1:46" x14ac:dyDescent="0.4">
      <c r="A1" s="81" t="s">
        <v>800</v>
      </c>
      <c r="B1" s="81"/>
      <c r="C1" s="81"/>
      <c r="D1" s="81"/>
      <c r="E1" s="81"/>
      <c r="F1" s="81"/>
      <c r="G1" s="81"/>
      <c r="H1" s="81"/>
      <c r="I1" s="81"/>
      <c r="J1" s="81"/>
      <c r="K1" s="81"/>
      <c r="L1" s="81"/>
      <c r="M1" s="81"/>
      <c r="N1" s="81"/>
      <c r="O1" s="81"/>
      <c r="P1" s="81"/>
      <c r="Q1" s="81"/>
      <c r="R1" s="81"/>
      <c r="S1" s="81"/>
      <c r="T1" s="81"/>
      <c r="U1" s="81"/>
      <c r="V1" s="81"/>
      <c r="W1" s="81"/>
      <c r="X1" s="81"/>
      <c r="Y1" s="81"/>
      <c r="Z1" s="81"/>
      <c r="AA1" s="81"/>
      <c r="AB1" s="81"/>
      <c r="AC1" s="81"/>
      <c r="AD1" s="81"/>
      <c r="AE1" s="81"/>
      <c r="AF1" s="81"/>
      <c r="AG1" s="81"/>
      <c r="AH1" s="81"/>
      <c r="AI1" s="81"/>
      <c r="AJ1" s="81"/>
      <c r="AK1" s="81"/>
      <c r="AL1" s="81"/>
      <c r="AM1" s="81"/>
      <c r="AN1" s="81"/>
      <c r="AO1" s="81"/>
      <c r="AP1" s="81"/>
    </row>
    <row r="2" spans="1:46" x14ac:dyDescent="0.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c r="AI2" s="82"/>
      <c r="AJ2" s="82"/>
      <c r="AK2" s="82"/>
      <c r="AL2" s="82"/>
      <c r="AM2" s="82"/>
      <c r="AN2" s="82"/>
      <c r="AO2" s="82"/>
      <c r="AP2" s="82"/>
    </row>
    <row r="3" spans="1:46" ht="15" customHeight="1" x14ac:dyDescent="0.4">
      <c r="A3" s="83" t="s">
        <v>0</v>
      </c>
      <c r="B3" s="84" t="s">
        <v>1</v>
      </c>
      <c r="C3" s="85" t="s">
        <v>2</v>
      </c>
      <c r="D3" s="87" t="s">
        <v>3</v>
      </c>
      <c r="E3" s="88"/>
      <c r="F3" s="84" t="s">
        <v>4</v>
      </c>
      <c r="G3" s="85" t="s">
        <v>13</v>
      </c>
      <c r="H3" s="85" t="s">
        <v>53</v>
      </c>
      <c r="I3" s="91" t="s">
        <v>5</v>
      </c>
      <c r="J3" s="92"/>
      <c r="K3" s="91" t="s">
        <v>6</v>
      </c>
      <c r="L3" s="93"/>
      <c r="M3" s="93"/>
      <c r="N3" s="93"/>
      <c r="O3" s="93"/>
      <c r="P3" s="93"/>
      <c r="Q3" s="92"/>
      <c r="R3" s="91" t="s">
        <v>29</v>
      </c>
      <c r="S3" s="93"/>
      <c r="T3" s="93"/>
      <c r="U3" s="93"/>
      <c r="V3" s="93"/>
      <c r="W3" s="92"/>
      <c r="X3" s="91" t="s">
        <v>76</v>
      </c>
      <c r="Y3" s="93"/>
      <c r="Z3" s="93"/>
      <c r="AA3" s="92"/>
      <c r="AB3" s="91" t="s">
        <v>7</v>
      </c>
      <c r="AC3" s="93"/>
      <c r="AD3" s="93"/>
      <c r="AE3" s="93"/>
      <c r="AF3" s="92"/>
      <c r="AG3" s="84" t="s">
        <v>77</v>
      </c>
      <c r="AH3" s="84"/>
      <c r="AI3" s="97" t="s">
        <v>57</v>
      </c>
      <c r="AJ3" s="99" t="s">
        <v>58</v>
      </c>
      <c r="AK3" s="99" t="s">
        <v>59</v>
      </c>
      <c r="AL3" s="87" t="s">
        <v>8</v>
      </c>
      <c r="AM3" s="101"/>
      <c r="AN3" s="101"/>
      <c r="AO3" s="101"/>
      <c r="AP3" s="88"/>
      <c r="AR3" s="1"/>
      <c r="AS3" s="1"/>
      <c r="AT3" s="1"/>
    </row>
    <row r="4" spans="1:46" s="2" customFormat="1" ht="15" customHeight="1" x14ac:dyDescent="0.4">
      <c r="A4" s="83"/>
      <c r="B4" s="84"/>
      <c r="C4" s="86"/>
      <c r="D4" s="89"/>
      <c r="E4" s="90"/>
      <c r="F4" s="84"/>
      <c r="G4" s="86"/>
      <c r="H4" s="86"/>
      <c r="I4" s="5" t="s">
        <v>16</v>
      </c>
      <c r="J4" s="5" t="s">
        <v>27</v>
      </c>
      <c r="K4" s="5" t="s">
        <v>2</v>
      </c>
      <c r="L4" s="5" t="s">
        <v>28</v>
      </c>
      <c r="M4" s="5" t="s">
        <v>14</v>
      </c>
      <c r="N4" s="5" t="s">
        <v>898</v>
      </c>
      <c r="O4" s="5" t="s">
        <v>910</v>
      </c>
      <c r="P4" s="5" t="s">
        <v>16</v>
      </c>
      <c r="Q4" s="5" t="s">
        <v>15</v>
      </c>
      <c r="R4" s="5" t="s">
        <v>9</v>
      </c>
      <c r="S4" s="5" t="s">
        <v>66</v>
      </c>
      <c r="T4" s="5" t="s">
        <v>10</v>
      </c>
      <c r="U4" s="5" t="s">
        <v>17</v>
      </c>
      <c r="V4" s="5" t="s">
        <v>16</v>
      </c>
      <c r="W4" s="5" t="s">
        <v>15</v>
      </c>
      <c r="X4" s="5" t="s">
        <v>68</v>
      </c>
      <c r="Y4" s="5" t="s">
        <v>69</v>
      </c>
      <c r="Z4" s="5" t="s">
        <v>70</v>
      </c>
      <c r="AA4" s="5" t="s">
        <v>64</v>
      </c>
      <c r="AB4" s="4" t="s">
        <v>2</v>
      </c>
      <c r="AC4" s="3" t="s">
        <v>11</v>
      </c>
      <c r="AD4" s="3" t="s">
        <v>2676</v>
      </c>
      <c r="AE4" s="3" t="s">
        <v>55</v>
      </c>
      <c r="AF4" s="3" t="s">
        <v>56</v>
      </c>
      <c r="AG4" s="3" t="s">
        <v>2</v>
      </c>
      <c r="AH4" s="3" t="s">
        <v>61</v>
      </c>
      <c r="AI4" s="98"/>
      <c r="AJ4" s="100"/>
      <c r="AK4" s="100"/>
      <c r="AL4" s="89"/>
      <c r="AM4" s="102"/>
      <c r="AN4" s="102"/>
      <c r="AO4" s="102"/>
      <c r="AP4" s="90"/>
    </row>
    <row r="5" spans="1:46" s="10" customFormat="1" ht="15" customHeight="1" x14ac:dyDescent="0.4">
      <c r="A5" s="6">
        <v>28</v>
      </c>
      <c r="B5" s="6">
        <v>101</v>
      </c>
      <c r="C5" s="6" t="s">
        <v>80</v>
      </c>
      <c r="D5" s="18" t="s">
        <v>369</v>
      </c>
      <c r="E5" s="32" t="s">
        <v>18</v>
      </c>
      <c r="F5" s="6" t="s">
        <v>370</v>
      </c>
      <c r="G5" s="6" t="s">
        <v>43</v>
      </c>
      <c r="H5" s="6" t="s">
        <v>52</v>
      </c>
      <c r="I5" s="6" t="s">
        <v>84</v>
      </c>
      <c r="J5" s="6" t="s">
        <v>85</v>
      </c>
      <c r="K5" s="6" t="s">
        <v>60</v>
      </c>
      <c r="L5" s="6" t="s">
        <v>92</v>
      </c>
      <c r="M5" s="6" t="s">
        <v>23</v>
      </c>
      <c r="N5" s="6" t="s">
        <v>45</v>
      </c>
      <c r="O5" s="6" t="s">
        <v>45</v>
      </c>
      <c r="P5" s="6" t="s">
        <v>84</v>
      </c>
      <c r="Q5" s="6" t="s">
        <v>86</v>
      </c>
      <c r="R5" s="6">
        <v>750</v>
      </c>
      <c r="S5" s="16" t="s">
        <v>39</v>
      </c>
      <c r="T5" s="6">
        <v>900</v>
      </c>
      <c r="U5" s="6" t="s">
        <v>45</v>
      </c>
      <c r="V5" s="6" t="s">
        <v>84</v>
      </c>
      <c r="W5" s="6" t="s">
        <v>86</v>
      </c>
      <c r="X5" s="16" t="s">
        <v>19</v>
      </c>
      <c r="Y5" s="16"/>
      <c r="Z5" s="16"/>
      <c r="AA5" s="16" t="s">
        <v>65</v>
      </c>
      <c r="AB5" s="7" t="s">
        <v>88</v>
      </c>
      <c r="AC5" s="8" t="s">
        <v>45</v>
      </c>
      <c r="AD5" s="8" t="s">
        <v>45</v>
      </c>
      <c r="AE5" s="8" t="s">
        <v>50</v>
      </c>
      <c r="AF5" s="16" t="s">
        <v>50</v>
      </c>
      <c r="AG5" s="17" t="s">
        <v>60</v>
      </c>
      <c r="AH5" s="17" t="s">
        <v>62</v>
      </c>
      <c r="AI5" s="17" t="s">
        <v>23</v>
      </c>
      <c r="AJ5" s="17" t="s">
        <v>45</v>
      </c>
      <c r="AK5" s="9" t="s">
        <v>45</v>
      </c>
      <c r="AL5" s="103" t="s">
        <v>371</v>
      </c>
      <c r="AM5" s="104"/>
      <c r="AN5" s="104"/>
      <c r="AO5" s="104"/>
      <c r="AP5" s="105"/>
    </row>
    <row r="6" spans="1:46" s="14" customFormat="1" ht="60.75" customHeight="1" x14ac:dyDescent="0.4">
      <c r="A6" s="11">
        <v>28</v>
      </c>
      <c r="B6" s="11">
        <v>201</v>
      </c>
      <c r="C6" s="11" t="s">
        <v>80</v>
      </c>
      <c r="D6" s="13" t="s">
        <v>1706</v>
      </c>
      <c r="E6" s="33" t="s">
        <v>18</v>
      </c>
      <c r="F6" s="11" t="s">
        <v>1707</v>
      </c>
      <c r="G6" s="11" t="s">
        <v>40</v>
      </c>
      <c r="H6" s="11" t="s">
        <v>52</v>
      </c>
      <c r="I6" s="11" t="s">
        <v>84</v>
      </c>
      <c r="J6" s="11" t="s">
        <v>85</v>
      </c>
      <c r="K6" s="11" t="s">
        <v>60</v>
      </c>
      <c r="L6" s="11" t="s">
        <v>92</v>
      </c>
      <c r="M6" s="11" t="s">
        <v>45</v>
      </c>
      <c r="N6" s="11" t="s">
        <v>23</v>
      </c>
      <c r="O6" s="11" t="s">
        <v>45</v>
      </c>
      <c r="P6" s="11" t="s">
        <v>84</v>
      </c>
      <c r="Q6" s="11" t="s">
        <v>86</v>
      </c>
      <c r="R6" s="11">
        <v>750</v>
      </c>
      <c r="S6" s="40" t="s">
        <v>39</v>
      </c>
      <c r="T6" s="11">
        <v>900</v>
      </c>
      <c r="U6" s="11" t="s">
        <v>45</v>
      </c>
      <c r="V6" s="11" t="s">
        <v>84</v>
      </c>
      <c r="W6" s="11" t="s">
        <v>86</v>
      </c>
      <c r="X6" s="40" t="s">
        <v>60</v>
      </c>
      <c r="Y6" s="40" t="s">
        <v>87</v>
      </c>
      <c r="Z6" s="40" t="s">
        <v>1708</v>
      </c>
      <c r="AA6" s="40" t="s">
        <v>65</v>
      </c>
      <c r="AB6" s="12" t="s">
        <v>88</v>
      </c>
      <c r="AC6" s="11" t="s">
        <v>45</v>
      </c>
      <c r="AD6" s="11" t="s">
        <v>45</v>
      </c>
      <c r="AE6" s="11" t="s">
        <v>116</v>
      </c>
      <c r="AF6" s="11" t="s">
        <v>50</v>
      </c>
      <c r="AG6" s="13" t="s">
        <v>60</v>
      </c>
      <c r="AH6" s="13" t="s">
        <v>62</v>
      </c>
      <c r="AI6" s="13" t="s">
        <v>45</v>
      </c>
      <c r="AJ6" s="13" t="s">
        <v>45</v>
      </c>
      <c r="AK6" s="13" t="s">
        <v>45</v>
      </c>
      <c r="AL6" s="133" t="s">
        <v>1710</v>
      </c>
      <c r="AM6" s="134"/>
      <c r="AN6" s="134"/>
      <c r="AO6" s="134"/>
      <c r="AP6" s="135"/>
    </row>
    <row r="7" spans="1:46" s="10" customFormat="1" ht="31.5" customHeight="1" x14ac:dyDescent="0.4">
      <c r="A7" s="6">
        <v>28</v>
      </c>
      <c r="B7" s="6">
        <v>301</v>
      </c>
      <c r="C7" s="6" t="s">
        <v>80</v>
      </c>
      <c r="D7" s="18" t="s">
        <v>445</v>
      </c>
      <c r="E7" s="34" t="s">
        <v>18</v>
      </c>
      <c r="F7" s="46" t="s">
        <v>446</v>
      </c>
      <c r="G7" s="6" t="s">
        <v>43</v>
      </c>
      <c r="H7" s="6" t="s">
        <v>52</v>
      </c>
      <c r="I7" s="6" t="s">
        <v>84</v>
      </c>
      <c r="J7" s="6" t="s">
        <v>85</v>
      </c>
      <c r="K7" s="6" t="s">
        <v>60</v>
      </c>
      <c r="L7" s="6" t="s">
        <v>92</v>
      </c>
      <c r="M7" s="6" t="s">
        <v>45</v>
      </c>
      <c r="N7" s="6" t="s">
        <v>45</v>
      </c>
      <c r="O7" s="6" t="s">
        <v>23</v>
      </c>
      <c r="P7" s="6" t="s">
        <v>84</v>
      </c>
      <c r="Q7" s="6" t="s">
        <v>86</v>
      </c>
      <c r="R7" s="6">
        <v>750</v>
      </c>
      <c r="S7" s="6" t="s">
        <v>39</v>
      </c>
      <c r="T7" s="6">
        <v>640</v>
      </c>
      <c r="U7" s="6" t="s">
        <v>45</v>
      </c>
      <c r="V7" s="6" t="s">
        <v>84</v>
      </c>
      <c r="W7" s="6" t="s">
        <v>86</v>
      </c>
      <c r="X7" s="6" t="s">
        <v>60</v>
      </c>
      <c r="Y7" s="6" t="s">
        <v>87</v>
      </c>
      <c r="Z7" s="6" t="s">
        <v>619</v>
      </c>
      <c r="AA7" s="6" t="s">
        <v>39</v>
      </c>
      <c r="AB7" s="15" t="s">
        <v>19</v>
      </c>
      <c r="AC7" s="16" t="s">
        <v>45</v>
      </c>
      <c r="AD7" s="16" t="s">
        <v>45</v>
      </c>
      <c r="AE7" s="16" t="s">
        <v>50</v>
      </c>
      <c r="AF7" s="16" t="s">
        <v>50</v>
      </c>
      <c r="AG7" s="17" t="s">
        <v>60</v>
      </c>
      <c r="AH7" s="17" t="s">
        <v>62</v>
      </c>
      <c r="AI7" s="17" t="s">
        <v>45</v>
      </c>
      <c r="AJ7" s="17" t="s">
        <v>45</v>
      </c>
      <c r="AK7" s="17" t="s">
        <v>45</v>
      </c>
      <c r="AL7" s="106" t="s">
        <v>1709</v>
      </c>
      <c r="AM7" s="79"/>
      <c r="AN7" s="79"/>
      <c r="AO7" s="79"/>
      <c r="AP7" s="80"/>
    </row>
    <row r="8" spans="1:46" s="14" customFormat="1" ht="15" customHeight="1" x14ac:dyDescent="0.4">
      <c r="A8" s="11">
        <v>28</v>
      </c>
      <c r="B8" s="11">
        <v>401</v>
      </c>
      <c r="C8" s="11" t="s">
        <v>80</v>
      </c>
      <c r="D8" s="13" t="s">
        <v>382</v>
      </c>
      <c r="E8" s="33" t="s">
        <v>18</v>
      </c>
      <c r="F8" s="11" t="s">
        <v>383</v>
      </c>
      <c r="G8" s="11" t="s">
        <v>43</v>
      </c>
      <c r="H8" s="11" t="s">
        <v>52</v>
      </c>
      <c r="I8" s="11" t="s">
        <v>84</v>
      </c>
      <c r="J8" s="11" t="s">
        <v>85</v>
      </c>
      <c r="K8" s="11" t="s">
        <v>60</v>
      </c>
      <c r="L8" s="11" t="s">
        <v>92</v>
      </c>
      <c r="M8" s="11" t="s">
        <v>45</v>
      </c>
      <c r="N8" s="11" t="s">
        <v>45</v>
      </c>
      <c r="O8" s="11" t="s">
        <v>45</v>
      </c>
      <c r="P8" s="11" t="s">
        <v>84</v>
      </c>
      <c r="Q8" s="11" t="s">
        <v>86</v>
      </c>
      <c r="R8" s="11">
        <v>750</v>
      </c>
      <c r="S8" s="40" t="s">
        <v>39</v>
      </c>
      <c r="T8" s="11">
        <v>740</v>
      </c>
      <c r="U8" s="11" t="s">
        <v>45</v>
      </c>
      <c r="V8" s="11" t="s">
        <v>84</v>
      </c>
      <c r="W8" s="11" t="s">
        <v>86</v>
      </c>
      <c r="X8" s="40" t="s">
        <v>60</v>
      </c>
      <c r="Y8" s="40" t="s">
        <v>87</v>
      </c>
      <c r="Z8" s="40" t="s">
        <v>620</v>
      </c>
      <c r="AA8" s="40" t="s">
        <v>39</v>
      </c>
      <c r="AB8" s="12" t="s">
        <v>88</v>
      </c>
      <c r="AC8" s="11" t="s">
        <v>45</v>
      </c>
      <c r="AD8" s="11" t="s">
        <v>23</v>
      </c>
      <c r="AE8" s="11" t="s">
        <v>50</v>
      </c>
      <c r="AF8" s="11" t="s">
        <v>50</v>
      </c>
      <c r="AG8" s="13" t="s">
        <v>60</v>
      </c>
      <c r="AH8" s="13" t="s">
        <v>62</v>
      </c>
      <c r="AI8" s="13" t="s">
        <v>45</v>
      </c>
      <c r="AJ8" s="13" t="s">
        <v>45</v>
      </c>
      <c r="AK8" s="13" t="s">
        <v>23</v>
      </c>
      <c r="AL8" s="94" t="s">
        <v>384</v>
      </c>
      <c r="AM8" s="95"/>
      <c r="AN8" s="95"/>
      <c r="AO8" s="95"/>
      <c r="AP8" s="96"/>
    </row>
    <row r="9" spans="1:46" s="10" customFormat="1" ht="31.5" customHeight="1" x14ac:dyDescent="0.4">
      <c r="A9" s="6">
        <v>28</v>
      </c>
      <c r="B9" s="6">
        <v>501</v>
      </c>
      <c r="C9" s="6" t="s">
        <v>80</v>
      </c>
      <c r="D9" s="18" t="s">
        <v>388</v>
      </c>
      <c r="E9" s="34" t="s">
        <v>18</v>
      </c>
      <c r="F9" s="46" t="s">
        <v>389</v>
      </c>
      <c r="G9" s="6" t="s">
        <v>43</v>
      </c>
      <c r="H9" s="6" t="s">
        <v>52</v>
      </c>
      <c r="I9" s="6" t="s">
        <v>84</v>
      </c>
      <c r="J9" s="6" t="s">
        <v>85</v>
      </c>
      <c r="K9" s="6" t="s">
        <v>60</v>
      </c>
      <c r="L9" s="6" t="s">
        <v>92</v>
      </c>
      <c r="M9" s="6" t="s">
        <v>45</v>
      </c>
      <c r="N9" s="6" t="s">
        <v>45</v>
      </c>
      <c r="O9" s="6" t="s">
        <v>23</v>
      </c>
      <c r="P9" s="6" t="s">
        <v>84</v>
      </c>
      <c r="Q9" s="6" t="s">
        <v>86</v>
      </c>
      <c r="R9" s="6" t="s">
        <v>390</v>
      </c>
      <c r="S9" s="6" t="s">
        <v>39</v>
      </c>
      <c r="T9" s="6">
        <v>900</v>
      </c>
      <c r="U9" s="6" t="s">
        <v>45</v>
      </c>
      <c r="V9" s="6" t="s">
        <v>84</v>
      </c>
      <c r="W9" s="6" t="s">
        <v>86</v>
      </c>
      <c r="X9" s="6" t="s">
        <v>60</v>
      </c>
      <c r="Y9" s="6" t="s">
        <v>87</v>
      </c>
      <c r="Z9" s="6" t="s">
        <v>621</v>
      </c>
      <c r="AA9" s="6" t="s">
        <v>39</v>
      </c>
      <c r="AB9" s="15" t="s">
        <v>88</v>
      </c>
      <c r="AC9" s="16" t="s">
        <v>45</v>
      </c>
      <c r="AD9" s="16" t="s">
        <v>23</v>
      </c>
      <c r="AE9" s="16" t="s">
        <v>50</v>
      </c>
      <c r="AF9" s="16" t="s">
        <v>50</v>
      </c>
      <c r="AG9" s="17" t="s">
        <v>60</v>
      </c>
      <c r="AH9" s="17" t="s">
        <v>62</v>
      </c>
      <c r="AI9" s="17" t="s">
        <v>45</v>
      </c>
      <c r="AJ9" s="17" t="s">
        <v>45</v>
      </c>
      <c r="AK9" s="17" t="s">
        <v>23</v>
      </c>
      <c r="AL9" s="78" t="s">
        <v>391</v>
      </c>
      <c r="AM9" s="79"/>
      <c r="AN9" s="79"/>
      <c r="AO9" s="79"/>
      <c r="AP9" s="80"/>
    </row>
    <row r="10" spans="1:46" s="14" customFormat="1" ht="15" customHeight="1" x14ac:dyDescent="0.4">
      <c r="A10" s="11">
        <v>28</v>
      </c>
      <c r="B10" s="11">
        <v>102</v>
      </c>
      <c r="C10" s="11" t="s">
        <v>80</v>
      </c>
      <c r="D10" s="13" t="s">
        <v>392</v>
      </c>
      <c r="E10" s="33" t="s">
        <v>18</v>
      </c>
      <c r="F10" s="11" t="s">
        <v>393</v>
      </c>
      <c r="G10" s="11" t="s">
        <v>43</v>
      </c>
      <c r="H10" s="11" t="s">
        <v>30</v>
      </c>
      <c r="I10" s="11" t="s">
        <v>84</v>
      </c>
      <c r="J10" s="11" t="s">
        <v>46</v>
      </c>
      <c r="K10" s="11" t="s">
        <v>60</v>
      </c>
      <c r="L10" s="11" t="s">
        <v>92</v>
      </c>
      <c r="M10" s="11" t="s">
        <v>23</v>
      </c>
      <c r="N10" s="11" t="s">
        <v>45</v>
      </c>
      <c r="O10" s="11" t="s">
        <v>45</v>
      </c>
      <c r="P10" s="11" t="s">
        <v>44</v>
      </c>
      <c r="Q10" s="11" t="s">
        <v>378</v>
      </c>
      <c r="R10" s="11">
        <v>900</v>
      </c>
      <c r="S10" s="40" t="s">
        <v>39</v>
      </c>
      <c r="T10" s="11">
        <v>900</v>
      </c>
      <c r="U10" s="11" t="s">
        <v>45</v>
      </c>
      <c r="V10" s="11" t="s">
        <v>44</v>
      </c>
      <c r="W10" s="11" t="s">
        <v>378</v>
      </c>
      <c r="X10" s="40" t="s">
        <v>60</v>
      </c>
      <c r="Y10" s="40" t="s">
        <v>531</v>
      </c>
      <c r="Z10" s="40"/>
      <c r="AA10" s="40" t="s">
        <v>39</v>
      </c>
      <c r="AB10" s="12" t="s">
        <v>88</v>
      </c>
      <c r="AC10" s="11" t="s">
        <v>45</v>
      </c>
      <c r="AD10" s="11" t="s">
        <v>23</v>
      </c>
      <c r="AE10" s="11" t="s">
        <v>50</v>
      </c>
      <c r="AF10" s="11" t="s">
        <v>50</v>
      </c>
      <c r="AG10" s="13" t="s">
        <v>60</v>
      </c>
      <c r="AH10" s="13" t="s">
        <v>62</v>
      </c>
      <c r="AI10" s="13" t="s">
        <v>45</v>
      </c>
      <c r="AJ10" s="13" t="s">
        <v>45</v>
      </c>
      <c r="AK10" s="13" t="s">
        <v>23</v>
      </c>
      <c r="AL10" s="94" t="s">
        <v>909</v>
      </c>
      <c r="AM10" s="95"/>
      <c r="AN10" s="95"/>
      <c r="AO10" s="95"/>
      <c r="AP10" s="96"/>
    </row>
    <row r="11" spans="1:46" s="10" customFormat="1" ht="15" customHeight="1" x14ac:dyDescent="0.4">
      <c r="A11" s="6">
        <v>28</v>
      </c>
      <c r="B11" s="6">
        <v>202</v>
      </c>
      <c r="C11" s="6" t="s">
        <v>80</v>
      </c>
      <c r="D11" s="18" t="s">
        <v>447</v>
      </c>
      <c r="E11" s="34" t="s">
        <v>18</v>
      </c>
      <c r="F11" s="6" t="s">
        <v>448</v>
      </c>
      <c r="G11" s="6" t="s">
        <v>40</v>
      </c>
      <c r="H11" s="6" t="s">
        <v>52</v>
      </c>
      <c r="I11" s="6" t="s">
        <v>84</v>
      </c>
      <c r="J11" s="6" t="s">
        <v>85</v>
      </c>
      <c r="K11" s="6" t="s">
        <v>19</v>
      </c>
      <c r="L11" s="6" t="s">
        <v>92</v>
      </c>
      <c r="M11" s="6" t="s">
        <v>45</v>
      </c>
      <c r="N11" s="6" t="s">
        <v>45</v>
      </c>
      <c r="O11" s="6" t="s">
        <v>23</v>
      </c>
      <c r="P11" s="6" t="s">
        <v>84</v>
      </c>
      <c r="Q11" s="6" t="s">
        <v>86</v>
      </c>
      <c r="R11" s="6">
        <v>750</v>
      </c>
      <c r="S11" s="6" t="s">
        <v>39</v>
      </c>
      <c r="T11" s="6">
        <v>900</v>
      </c>
      <c r="U11" s="6" t="s">
        <v>23</v>
      </c>
      <c r="V11" s="6" t="s">
        <v>84</v>
      </c>
      <c r="W11" s="6" t="s">
        <v>86</v>
      </c>
      <c r="X11" s="6" t="s">
        <v>60</v>
      </c>
      <c r="Y11" s="6" t="s">
        <v>87</v>
      </c>
      <c r="Z11" s="6" t="s">
        <v>622</v>
      </c>
      <c r="AA11" s="6" t="s">
        <v>65</v>
      </c>
      <c r="AB11" s="15" t="s">
        <v>19</v>
      </c>
      <c r="AC11" s="16" t="s">
        <v>45</v>
      </c>
      <c r="AD11" s="16" t="s">
        <v>45</v>
      </c>
      <c r="AE11" s="16" t="s">
        <v>116</v>
      </c>
      <c r="AF11" s="16" t="s">
        <v>50</v>
      </c>
      <c r="AG11" s="17" t="s">
        <v>60</v>
      </c>
      <c r="AH11" s="17" t="s">
        <v>62</v>
      </c>
      <c r="AI11" s="17" t="s">
        <v>241</v>
      </c>
      <c r="AJ11" s="17" t="s">
        <v>23</v>
      </c>
      <c r="AK11" s="17" t="s">
        <v>45</v>
      </c>
      <c r="AL11" s="78" t="s">
        <v>449</v>
      </c>
      <c r="AM11" s="79"/>
      <c r="AN11" s="79"/>
      <c r="AO11" s="79"/>
      <c r="AP11" s="80"/>
    </row>
    <row r="12" spans="1:46" s="14" customFormat="1" ht="38.25" customHeight="1" x14ac:dyDescent="0.4">
      <c r="A12" s="11">
        <v>28</v>
      </c>
      <c r="B12" s="11">
        <v>302</v>
      </c>
      <c r="C12" s="11" t="s">
        <v>80</v>
      </c>
      <c r="D12" s="13" t="s">
        <v>2111</v>
      </c>
      <c r="E12" s="33" t="s">
        <v>18</v>
      </c>
      <c r="F12" s="11" t="s">
        <v>2112</v>
      </c>
      <c r="G12" s="11" t="s">
        <v>43</v>
      </c>
      <c r="H12" s="11" t="s">
        <v>52</v>
      </c>
      <c r="I12" s="11" t="s">
        <v>84</v>
      </c>
      <c r="J12" s="11" t="s">
        <v>85</v>
      </c>
      <c r="K12" s="11" t="s">
        <v>60</v>
      </c>
      <c r="L12" s="11" t="s">
        <v>92</v>
      </c>
      <c r="M12" s="11" t="s">
        <v>45</v>
      </c>
      <c r="N12" s="11" t="s">
        <v>45</v>
      </c>
      <c r="O12" s="11" t="s">
        <v>23</v>
      </c>
      <c r="P12" s="11" t="s">
        <v>84</v>
      </c>
      <c r="Q12" s="11" t="s">
        <v>86</v>
      </c>
      <c r="R12" s="11">
        <v>900</v>
      </c>
      <c r="S12" s="40" t="s">
        <v>39</v>
      </c>
      <c r="T12" s="11">
        <v>900</v>
      </c>
      <c r="U12" s="11" t="s">
        <v>45</v>
      </c>
      <c r="V12" s="11" t="s">
        <v>84</v>
      </c>
      <c r="W12" s="11" t="s">
        <v>86</v>
      </c>
      <c r="X12" s="40" t="s">
        <v>60</v>
      </c>
      <c r="Y12" s="40" t="s">
        <v>87</v>
      </c>
      <c r="Z12" s="40" t="s">
        <v>2113</v>
      </c>
      <c r="AA12" s="40" t="s">
        <v>39</v>
      </c>
      <c r="AB12" s="12" t="s">
        <v>19</v>
      </c>
      <c r="AC12" s="11" t="s">
        <v>45</v>
      </c>
      <c r="AD12" s="11" t="s">
        <v>45</v>
      </c>
      <c r="AE12" s="11" t="s">
        <v>116</v>
      </c>
      <c r="AF12" s="11" t="s">
        <v>50</v>
      </c>
      <c r="AG12" s="13" t="s">
        <v>60</v>
      </c>
      <c r="AH12" s="13" t="s">
        <v>62</v>
      </c>
      <c r="AI12" s="13" t="s">
        <v>45</v>
      </c>
      <c r="AJ12" s="13" t="s">
        <v>45</v>
      </c>
      <c r="AK12" s="13" t="s">
        <v>45</v>
      </c>
      <c r="AL12" s="133" t="s">
        <v>2114</v>
      </c>
      <c r="AM12" s="134"/>
      <c r="AN12" s="134"/>
      <c r="AO12" s="134"/>
      <c r="AP12" s="135"/>
    </row>
    <row r="13" spans="1:46" s="10" customFormat="1" ht="31.5" customHeight="1" x14ac:dyDescent="0.4">
      <c r="A13" s="6">
        <v>28</v>
      </c>
      <c r="B13" s="6">
        <v>402</v>
      </c>
      <c r="C13" s="6" t="s">
        <v>80</v>
      </c>
      <c r="D13" s="18" t="s">
        <v>385</v>
      </c>
      <c r="E13" s="34" t="s">
        <v>18</v>
      </c>
      <c r="F13" s="6" t="s">
        <v>386</v>
      </c>
      <c r="G13" s="6" t="s">
        <v>22</v>
      </c>
      <c r="H13" s="6" t="s">
        <v>52</v>
      </c>
      <c r="I13" s="6" t="s">
        <v>84</v>
      </c>
      <c r="J13" s="6" t="s">
        <v>85</v>
      </c>
      <c r="K13" s="6" t="s">
        <v>60</v>
      </c>
      <c r="L13" s="6" t="s">
        <v>92</v>
      </c>
      <c r="M13" s="6" t="s">
        <v>23</v>
      </c>
      <c r="N13" s="6" t="s">
        <v>45</v>
      </c>
      <c r="O13" s="6" t="s">
        <v>23</v>
      </c>
      <c r="P13" s="6" t="s">
        <v>84</v>
      </c>
      <c r="Q13" s="6" t="s">
        <v>86</v>
      </c>
      <c r="R13" s="6">
        <v>900</v>
      </c>
      <c r="S13" s="6" t="s">
        <v>39</v>
      </c>
      <c r="T13" s="6">
        <v>740</v>
      </c>
      <c r="U13" s="6" t="s">
        <v>45</v>
      </c>
      <c r="V13" s="6" t="s">
        <v>84</v>
      </c>
      <c r="W13" s="6" t="s">
        <v>86</v>
      </c>
      <c r="X13" s="6" t="s">
        <v>60</v>
      </c>
      <c r="Y13" s="6" t="s">
        <v>344</v>
      </c>
      <c r="Z13" s="46" t="s">
        <v>623</v>
      </c>
      <c r="AA13" s="6" t="s">
        <v>39</v>
      </c>
      <c r="AB13" s="15" t="s">
        <v>88</v>
      </c>
      <c r="AC13" s="16" t="s">
        <v>45</v>
      </c>
      <c r="AD13" s="16" t="s">
        <v>45</v>
      </c>
      <c r="AE13" s="16" t="s">
        <v>50</v>
      </c>
      <c r="AF13" s="16" t="s">
        <v>50</v>
      </c>
      <c r="AG13" s="17" t="s">
        <v>60</v>
      </c>
      <c r="AH13" s="17" t="s">
        <v>96</v>
      </c>
      <c r="AI13" s="17" t="s">
        <v>45</v>
      </c>
      <c r="AJ13" s="17" t="s">
        <v>45</v>
      </c>
      <c r="AK13" s="17" t="s">
        <v>45</v>
      </c>
      <c r="AL13" s="78" t="s">
        <v>387</v>
      </c>
      <c r="AM13" s="79"/>
      <c r="AN13" s="79"/>
      <c r="AO13" s="79"/>
      <c r="AP13" s="80"/>
    </row>
    <row r="14" spans="1:46" s="14" customFormat="1" ht="39" customHeight="1" x14ac:dyDescent="0.4">
      <c r="A14" s="11">
        <v>28</v>
      </c>
      <c r="B14" s="11">
        <v>502</v>
      </c>
      <c r="C14" s="11" t="s">
        <v>80</v>
      </c>
      <c r="D14" s="13" t="s">
        <v>941</v>
      </c>
      <c r="E14" s="33" t="s">
        <v>18</v>
      </c>
      <c r="F14" s="11" t="s">
        <v>942</v>
      </c>
      <c r="G14" s="11" t="s">
        <v>43</v>
      </c>
      <c r="H14" s="11" t="s">
        <v>52</v>
      </c>
      <c r="I14" s="11" t="s">
        <v>84</v>
      </c>
      <c r="J14" s="11" t="s">
        <v>85</v>
      </c>
      <c r="K14" s="11" t="s">
        <v>60</v>
      </c>
      <c r="L14" s="11" t="s">
        <v>92</v>
      </c>
      <c r="M14" s="11" t="s">
        <v>45</v>
      </c>
      <c r="N14" s="11" t="s">
        <v>23</v>
      </c>
      <c r="O14" s="11" t="s">
        <v>23</v>
      </c>
      <c r="P14" s="11" t="s">
        <v>84</v>
      </c>
      <c r="Q14" s="11" t="s">
        <v>86</v>
      </c>
      <c r="R14" s="11">
        <v>740</v>
      </c>
      <c r="S14" s="40" t="s">
        <v>39</v>
      </c>
      <c r="T14" s="11">
        <v>900</v>
      </c>
      <c r="U14" s="11" t="s">
        <v>45</v>
      </c>
      <c r="V14" s="11" t="s">
        <v>84</v>
      </c>
      <c r="W14" s="11" t="s">
        <v>378</v>
      </c>
      <c r="X14" s="40" t="s">
        <v>60</v>
      </c>
      <c r="Y14" s="40" t="s">
        <v>87</v>
      </c>
      <c r="Z14" s="40" t="s">
        <v>943</v>
      </c>
      <c r="AA14" s="40" t="s">
        <v>65</v>
      </c>
      <c r="AB14" s="12" t="s">
        <v>88</v>
      </c>
      <c r="AC14" s="11" t="s">
        <v>45</v>
      </c>
      <c r="AD14" s="11" t="s">
        <v>45</v>
      </c>
      <c r="AE14" s="11" t="s">
        <v>50</v>
      </c>
      <c r="AF14" s="11" t="s">
        <v>50</v>
      </c>
      <c r="AG14" s="13" t="s">
        <v>60</v>
      </c>
      <c r="AH14" s="13" t="s">
        <v>62</v>
      </c>
      <c r="AI14" s="13" t="s">
        <v>45</v>
      </c>
      <c r="AJ14" s="13" t="s">
        <v>23</v>
      </c>
      <c r="AK14" s="13" t="s">
        <v>45</v>
      </c>
      <c r="AL14" s="133" t="s">
        <v>944</v>
      </c>
      <c r="AM14" s="134"/>
      <c r="AN14" s="134"/>
      <c r="AO14" s="134"/>
      <c r="AP14" s="135"/>
    </row>
    <row r="15" spans="1:46" s="10" customFormat="1" ht="15" customHeight="1" x14ac:dyDescent="0.4">
      <c r="A15" s="6">
        <v>28</v>
      </c>
      <c r="B15" s="6">
        <v>103</v>
      </c>
      <c r="C15" s="6" t="s">
        <v>80</v>
      </c>
      <c r="D15" s="18" t="s">
        <v>394</v>
      </c>
      <c r="E15" s="34" t="s">
        <v>18</v>
      </c>
      <c r="F15" s="6" t="s">
        <v>395</v>
      </c>
      <c r="G15" s="6" t="s">
        <v>43</v>
      </c>
      <c r="H15" s="6" t="s">
        <v>52</v>
      </c>
      <c r="I15" s="6" t="s">
        <v>84</v>
      </c>
      <c r="J15" s="6" t="s">
        <v>85</v>
      </c>
      <c r="K15" s="6" t="s">
        <v>60</v>
      </c>
      <c r="L15" s="6" t="s">
        <v>92</v>
      </c>
      <c r="M15" s="6" t="s">
        <v>45</v>
      </c>
      <c r="N15" s="6" t="s">
        <v>45</v>
      </c>
      <c r="O15" s="6" t="s">
        <v>23</v>
      </c>
      <c r="P15" s="6" t="s">
        <v>84</v>
      </c>
      <c r="Q15" s="6" t="s">
        <v>86</v>
      </c>
      <c r="R15" s="6">
        <v>750</v>
      </c>
      <c r="S15" s="6" t="s">
        <v>39</v>
      </c>
      <c r="T15" s="6">
        <v>900</v>
      </c>
      <c r="U15" s="6" t="s">
        <v>45</v>
      </c>
      <c r="V15" s="6" t="s">
        <v>84</v>
      </c>
      <c r="W15" s="6" t="s">
        <v>86</v>
      </c>
      <c r="X15" s="6" t="s">
        <v>60</v>
      </c>
      <c r="Y15" s="6" t="s">
        <v>87</v>
      </c>
      <c r="Z15" s="6" t="s">
        <v>624</v>
      </c>
      <c r="AA15" s="6" t="s">
        <v>39</v>
      </c>
      <c r="AB15" s="15" t="s">
        <v>88</v>
      </c>
      <c r="AC15" s="16" t="s">
        <v>45</v>
      </c>
      <c r="AD15" s="16" t="s">
        <v>23</v>
      </c>
      <c r="AE15" s="16" t="s">
        <v>50</v>
      </c>
      <c r="AF15" s="16" t="s">
        <v>50</v>
      </c>
      <c r="AG15" s="17" t="s">
        <v>60</v>
      </c>
      <c r="AH15" s="17" t="s">
        <v>62</v>
      </c>
      <c r="AI15" s="17" t="s">
        <v>45</v>
      </c>
      <c r="AJ15" s="17" t="s">
        <v>45</v>
      </c>
      <c r="AK15" s="17" t="s">
        <v>45</v>
      </c>
      <c r="AL15" s="78" t="s">
        <v>396</v>
      </c>
      <c r="AM15" s="79"/>
      <c r="AN15" s="79"/>
      <c r="AO15" s="79"/>
      <c r="AP15" s="80"/>
    </row>
    <row r="16" spans="1:46" s="14" customFormat="1" ht="31.5" customHeight="1" x14ac:dyDescent="0.4">
      <c r="A16" s="11">
        <v>28</v>
      </c>
      <c r="B16" s="11">
        <v>203</v>
      </c>
      <c r="C16" s="11" t="s">
        <v>80</v>
      </c>
      <c r="D16" s="13" t="s">
        <v>397</v>
      </c>
      <c r="E16" s="33" t="s">
        <v>18</v>
      </c>
      <c r="F16" s="45" t="s">
        <v>398</v>
      </c>
      <c r="G16" s="11" t="s">
        <v>43</v>
      </c>
      <c r="H16" s="11" t="s">
        <v>52</v>
      </c>
      <c r="I16" s="11" t="s">
        <v>84</v>
      </c>
      <c r="J16" s="11" t="s">
        <v>85</v>
      </c>
      <c r="K16" s="11" t="s">
        <v>60</v>
      </c>
      <c r="L16" s="11" t="s">
        <v>92</v>
      </c>
      <c r="M16" s="11" t="s">
        <v>23</v>
      </c>
      <c r="N16" s="11" t="s">
        <v>23</v>
      </c>
      <c r="O16" s="11" t="s">
        <v>45</v>
      </c>
      <c r="P16" s="11" t="s">
        <v>84</v>
      </c>
      <c r="Q16" s="11" t="s">
        <v>86</v>
      </c>
      <c r="R16" s="11">
        <v>900</v>
      </c>
      <c r="S16" s="40" t="s">
        <v>39</v>
      </c>
      <c r="T16" s="11">
        <v>900</v>
      </c>
      <c r="U16" s="11" t="s">
        <v>45</v>
      </c>
      <c r="V16" s="11" t="s">
        <v>84</v>
      </c>
      <c r="W16" s="11" t="s">
        <v>86</v>
      </c>
      <c r="X16" s="40" t="s">
        <v>60</v>
      </c>
      <c r="Y16" s="40" t="s">
        <v>531</v>
      </c>
      <c r="Z16" s="40"/>
      <c r="AA16" s="40" t="s">
        <v>65</v>
      </c>
      <c r="AB16" s="12" t="s">
        <v>88</v>
      </c>
      <c r="AC16" s="11" t="s">
        <v>45</v>
      </c>
      <c r="AD16" s="11" t="s">
        <v>23</v>
      </c>
      <c r="AE16" s="11" t="s">
        <v>50</v>
      </c>
      <c r="AF16" s="11" t="s">
        <v>50</v>
      </c>
      <c r="AG16" s="13" t="s">
        <v>60</v>
      </c>
      <c r="AH16" s="13" t="s">
        <v>62</v>
      </c>
      <c r="AI16" s="13" t="s">
        <v>23</v>
      </c>
      <c r="AJ16" s="13" t="s">
        <v>45</v>
      </c>
      <c r="AK16" s="13" t="s">
        <v>45</v>
      </c>
      <c r="AL16" s="94" t="s">
        <v>399</v>
      </c>
      <c r="AM16" s="95"/>
      <c r="AN16" s="95"/>
      <c r="AO16" s="95"/>
      <c r="AP16" s="96"/>
    </row>
    <row r="17" spans="1:42" s="10" customFormat="1" ht="15" customHeight="1" x14ac:dyDescent="0.4">
      <c r="A17" s="6">
        <v>28</v>
      </c>
      <c r="B17" s="6">
        <v>303</v>
      </c>
      <c r="C17" s="6" t="s">
        <v>80</v>
      </c>
      <c r="D17" s="18" t="s">
        <v>400</v>
      </c>
      <c r="E17" s="34" t="s">
        <v>18</v>
      </c>
      <c r="F17" s="6" t="s">
        <v>401</v>
      </c>
      <c r="G17" s="6" t="s">
        <v>43</v>
      </c>
      <c r="H17" s="6" t="s">
        <v>52</v>
      </c>
      <c r="I17" s="6" t="s">
        <v>84</v>
      </c>
      <c r="J17" s="6" t="s">
        <v>85</v>
      </c>
      <c r="K17" s="6" t="s">
        <v>60</v>
      </c>
      <c r="L17" s="6" t="s">
        <v>92</v>
      </c>
      <c r="M17" s="6" t="s">
        <v>45</v>
      </c>
      <c r="N17" s="6" t="s">
        <v>45</v>
      </c>
      <c r="O17" s="6" t="s">
        <v>23</v>
      </c>
      <c r="P17" s="6" t="s">
        <v>84</v>
      </c>
      <c r="Q17" s="6" t="s">
        <v>86</v>
      </c>
      <c r="R17" s="6">
        <v>750</v>
      </c>
      <c r="S17" s="6" t="s">
        <v>39</v>
      </c>
      <c r="T17" s="6">
        <v>900</v>
      </c>
      <c r="U17" s="6" t="s">
        <v>45</v>
      </c>
      <c r="V17" s="6" t="s">
        <v>84</v>
      </c>
      <c r="W17" s="6" t="s">
        <v>86</v>
      </c>
      <c r="X17" s="6" t="s">
        <v>60</v>
      </c>
      <c r="Y17" s="6" t="s">
        <v>402</v>
      </c>
      <c r="Z17" s="6"/>
      <c r="AA17" s="6" t="s">
        <v>65</v>
      </c>
      <c r="AB17" s="15" t="s">
        <v>88</v>
      </c>
      <c r="AC17" s="16" t="s">
        <v>23</v>
      </c>
      <c r="AD17" s="16" t="s">
        <v>23</v>
      </c>
      <c r="AE17" s="16" t="s">
        <v>50</v>
      </c>
      <c r="AF17" s="16" t="s">
        <v>50</v>
      </c>
      <c r="AG17" s="17" t="s">
        <v>60</v>
      </c>
      <c r="AH17" s="17" t="s">
        <v>62</v>
      </c>
      <c r="AI17" s="17" t="s">
        <v>45</v>
      </c>
      <c r="AJ17" s="17" t="s">
        <v>45</v>
      </c>
      <c r="AK17" s="17" t="s">
        <v>23</v>
      </c>
      <c r="AL17" s="78" t="s">
        <v>403</v>
      </c>
      <c r="AM17" s="79"/>
      <c r="AN17" s="79"/>
      <c r="AO17" s="79"/>
      <c r="AP17" s="80"/>
    </row>
    <row r="18" spans="1:42" s="14" customFormat="1" ht="15" customHeight="1" x14ac:dyDescent="0.4">
      <c r="A18" s="11">
        <v>28</v>
      </c>
      <c r="B18" s="11">
        <v>403</v>
      </c>
      <c r="C18" s="11" t="s">
        <v>80</v>
      </c>
      <c r="D18" s="13" t="s">
        <v>404</v>
      </c>
      <c r="E18" s="33" t="s">
        <v>18</v>
      </c>
      <c r="F18" s="11" t="s">
        <v>405</v>
      </c>
      <c r="G18" s="11" t="s">
        <v>43</v>
      </c>
      <c r="H18" s="11" t="s">
        <v>52</v>
      </c>
      <c r="I18" s="11" t="s">
        <v>84</v>
      </c>
      <c r="J18" s="11" t="s">
        <v>85</v>
      </c>
      <c r="K18" s="11" t="s">
        <v>60</v>
      </c>
      <c r="L18" s="11" t="s">
        <v>20</v>
      </c>
      <c r="M18" s="11" t="s">
        <v>45</v>
      </c>
      <c r="N18" s="11" t="s">
        <v>45</v>
      </c>
      <c r="O18" s="11" t="s">
        <v>45</v>
      </c>
      <c r="P18" s="11" t="s">
        <v>84</v>
      </c>
      <c r="Q18" s="11" t="s">
        <v>86</v>
      </c>
      <c r="R18" s="11">
        <v>750</v>
      </c>
      <c r="S18" s="40" t="s">
        <v>39</v>
      </c>
      <c r="T18" s="11">
        <v>900</v>
      </c>
      <c r="U18" s="11" t="s">
        <v>45</v>
      </c>
      <c r="V18" s="11" t="s">
        <v>84</v>
      </c>
      <c r="W18" s="11" t="s">
        <v>378</v>
      </c>
      <c r="X18" s="40" t="s">
        <v>60</v>
      </c>
      <c r="Y18" s="52" t="s">
        <v>406</v>
      </c>
      <c r="Z18" s="40" t="s">
        <v>625</v>
      </c>
      <c r="AA18" s="40" t="s">
        <v>39</v>
      </c>
      <c r="AB18" s="12" t="s">
        <v>19</v>
      </c>
      <c r="AC18" s="11" t="s">
        <v>45</v>
      </c>
      <c r="AD18" s="11" t="s">
        <v>45</v>
      </c>
      <c r="AE18" s="11" t="s">
        <v>116</v>
      </c>
      <c r="AF18" s="11" t="s">
        <v>50</v>
      </c>
      <c r="AG18" s="13" t="s">
        <v>60</v>
      </c>
      <c r="AH18" s="13" t="s">
        <v>62</v>
      </c>
      <c r="AI18" s="13" t="s">
        <v>45</v>
      </c>
      <c r="AJ18" s="13" t="s">
        <v>45</v>
      </c>
      <c r="AK18" s="13" t="s">
        <v>23</v>
      </c>
      <c r="AL18" s="94" t="s">
        <v>407</v>
      </c>
      <c r="AM18" s="95"/>
      <c r="AN18" s="95"/>
      <c r="AO18" s="95"/>
      <c r="AP18" s="96"/>
    </row>
    <row r="19" spans="1:42" s="10" customFormat="1" ht="15" customHeight="1" x14ac:dyDescent="0.4">
      <c r="A19" s="6">
        <v>28</v>
      </c>
      <c r="B19" s="6">
        <v>503</v>
      </c>
      <c r="C19" s="6" t="s">
        <v>80</v>
      </c>
      <c r="D19" s="18" t="s">
        <v>408</v>
      </c>
      <c r="E19" s="34" t="s">
        <v>18</v>
      </c>
      <c r="F19" s="6" t="s">
        <v>409</v>
      </c>
      <c r="G19" s="6" t="s">
        <v>43</v>
      </c>
      <c r="H19" s="6" t="s">
        <v>52</v>
      </c>
      <c r="I19" s="6" t="s">
        <v>84</v>
      </c>
      <c r="J19" s="6" t="s">
        <v>85</v>
      </c>
      <c r="K19" s="6" t="s">
        <v>60</v>
      </c>
      <c r="L19" s="6" t="s">
        <v>92</v>
      </c>
      <c r="M19" s="6" t="s">
        <v>45</v>
      </c>
      <c r="N19" s="6" t="s">
        <v>45</v>
      </c>
      <c r="O19" s="6" t="s">
        <v>23</v>
      </c>
      <c r="P19" s="6" t="s">
        <v>84</v>
      </c>
      <c r="Q19" s="6" t="s">
        <v>86</v>
      </c>
      <c r="R19" s="6">
        <v>750</v>
      </c>
      <c r="S19" s="6" t="s">
        <v>39</v>
      </c>
      <c r="T19" s="6">
        <v>900</v>
      </c>
      <c r="U19" s="6" t="s">
        <v>45</v>
      </c>
      <c r="V19" s="6" t="s">
        <v>84</v>
      </c>
      <c r="W19" s="6" t="s">
        <v>86</v>
      </c>
      <c r="X19" s="6" t="s">
        <v>60</v>
      </c>
      <c r="Y19" s="6" t="s">
        <v>531</v>
      </c>
      <c r="Z19" s="6"/>
      <c r="AA19" s="6" t="s">
        <v>65</v>
      </c>
      <c r="AB19" s="15" t="s">
        <v>19</v>
      </c>
      <c r="AC19" s="16" t="s">
        <v>45</v>
      </c>
      <c r="AD19" s="16" t="s">
        <v>45</v>
      </c>
      <c r="AE19" s="16" t="s">
        <v>116</v>
      </c>
      <c r="AF19" s="16" t="s">
        <v>50</v>
      </c>
      <c r="AG19" s="17" t="s">
        <v>60</v>
      </c>
      <c r="AH19" s="17" t="s">
        <v>62</v>
      </c>
      <c r="AI19" s="17" t="s">
        <v>45</v>
      </c>
      <c r="AJ19" s="17" t="s">
        <v>23</v>
      </c>
      <c r="AK19" s="17" t="s">
        <v>23</v>
      </c>
      <c r="AL19" s="78" t="s">
        <v>410</v>
      </c>
      <c r="AM19" s="79"/>
      <c r="AN19" s="79"/>
      <c r="AO19" s="79"/>
      <c r="AP19" s="80"/>
    </row>
    <row r="20" spans="1:42" s="14" customFormat="1" ht="31.5" customHeight="1" x14ac:dyDescent="0.4">
      <c r="A20" s="11">
        <v>28</v>
      </c>
      <c r="B20" s="11">
        <v>104</v>
      </c>
      <c r="C20" s="11" t="s">
        <v>80</v>
      </c>
      <c r="D20" s="13" t="s">
        <v>411</v>
      </c>
      <c r="E20" s="33" t="s">
        <v>18</v>
      </c>
      <c r="F20" s="45" t="s">
        <v>412</v>
      </c>
      <c r="G20" s="11" t="s">
        <v>43</v>
      </c>
      <c r="H20" s="11" t="s">
        <v>52</v>
      </c>
      <c r="I20" s="11" t="s">
        <v>84</v>
      </c>
      <c r="J20" s="11" t="s">
        <v>85</v>
      </c>
      <c r="K20" s="11" t="s">
        <v>60</v>
      </c>
      <c r="L20" s="11" t="s">
        <v>92</v>
      </c>
      <c r="M20" s="11" t="s">
        <v>45</v>
      </c>
      <c r="N20" s="11" t="s">
        <v>45</v>
      </c>
      <c r="O20" s="11" t="s">
        <v>45</v>
      </c>
      <c r="P20" s="11" t="s">
        <v>84</v>
      </c>
      <c r="Q20" s="11" t="s">
        <v>378</v>
      </c>
      <c r="R20" s="11">
        <v>740</v>
      </c>
      <c r="S20" s="40" t="s">
        <v>39</v>
      </c>
      <c r="T20" s="11">
        <v>640</v>
      </c>
      <c r="U20" s="11" t="s">
        <v>45</v>
      </c>
      <c r="V20" s="11" t="s">
        <v>84</v>
      </c>
      <c r="W20" s="11" t="s">
        <v>378</v>
      </c>
      <c r="X20" s="40" t="s">
        <v>60</v>
      </c>
      <c r="Y20" s="40" t="s">
        <v>87</v>
      </c>
      <c r="Z20" s="40" t="s">
        <v>413</v>
      </c>
      <c r="AA20" s="40" t="s">
        <v>39</v>
      </c>
      <c r="AB20" s="12" t="s">
        <v>88</v>
      </c>
      <c r="AC20" s="11" t="s">
        <v>23</v>
      </c>
      <c r="AD20" s="11" t="s">
        <v>23</v>
      </c>
      <c r="AE20" s="11" t="s">
        <v>50</v>
      </c>
      <c r="AF20" s="11" t="s">
        <v>50</v>
      </c>
      <c r="AG20" s="13" t="s">
        <v>60</v>
      </c>
      <c r="AH20" s="13" t="s">
        <v>96</v>
      </c>
      <c r="AI20" s="13" t="s">
        <v>45</v>
      </c>
      <c r="AJ20" s="13" t="s">
        <v>23</v>
      </c>
      <c r="AK20" s="13" t="s">
        <v>23</v>
      </c>
      <c r="AL20" s="133" t="s">
        <v>414</v>
      </c>
      <c r="AM20" s="134"/>
      <c r="AN20" s="134"/>
      <c r="AO20" s="134"/>
      <c r="AP20" s="135"/>
    </row>
    <row r="21" spans="1:42" s="10" customFormat="1" ht="30.75" customHeight="1" x14ac:dyDescent="0.4">
      <c r="A21" s="6">
        <v>28</v>
      </c>
      <c r="B21" s="6">
        <v>204</v>
      </c>
      <c r="C21" s="6" t="s">
        <v>80</v>
      </c>
      <c r="D21" s="18" t="s">
        <v>415</v>
      </c>
      <c r="E21" s="34" t="s">
        <v>18</v>
      </c>
      <c r="F21" s="46" t="s">
        <v>416</v>
      </c>
      <c r="G21" s="6" t="s">
        <v>43</v>
      </c>
      <c r="H21" s="6" t="s">
        <v>52</v>
      </c>
      <c r="I21" s="6" t="s">
        <v>84</v>
      </c>
      <c r="J21" s="6" t="s">
        <v>85</v>
      </c>
      <c r="K21" s="6" t="s">
        <v>60</v>
      </c>
      <c r="L21" s="6" t="s">
        <v>92</v>
      </c>
      <c r="M21" s="6" t="s">
        <v>45</v>
      </c>
      <c r="N21" s="6" t="s">
        <v>45</v>
      </c>
      <c r="O21" s="6" t="s">
        <v>45</v>
      </c>
      <c r="P21" s="6" t="s">
        <v>84</v>
      </c>
      <c r="Q21" s="6" t="s">
        <v>86</v>
      </c>
      <c r="R21" s="6" t="s">
        <v>417</v>
      </c>
      <c r="S21" s="6" t="s">
        <v>39</v>
      </c>
      <c r="T21" s="6">
        <v>900</v>
      </c>
      <c r="U21" s="6" t="s">
        <v>45</v>
      </c>
      <c r="V21" s="6" t="s">
        <v>84</v>
      </c>
      <c r="W21" s="6" t="s">
        <v>86</v>
      </c>
      <c r="X21" s="6" t="s">
        <v>60</v>
      </c>
      <c r="Y21" s="6" t="s">
        <v>402</v>
      </c>
      <c r="Z21" s="6"/>
      <c r="AA21" s="6" t="s">
        <v>65</v>
      </c>
      <c r="AB21" s="15" t="s">
        <v>88</v>
      </c>
      <c r="AC21" s="16" t="s">
        <v>23</v>
      </c>
      <c r="AD21" s="16" t="s">
        <v>23</v>
      </c>
      <c r="AE21" s="16" t="s">
        <v>50</v>
      </c>
      <c r="AF21" s="16" t="s">
        <v>50</v>
      </c>
      <c r="AG21" s="17" t="s">
        <v>60</v>
      </c>
      <c r="AH21" s="17" t="s">
        <v>62</v>
      </c>
      <c r="AI21" s="17" t="s">
        <v>45</v>
      </c>
      <c r="AJ21" s="17" t="s">
        <v>45</v>
      </c>
      <c r="AK21" s="17" t="s">
        <v>23</v>
      </c>
      <c r="AL21" s="106" t="s">
        <v>807</v>
      </c>
      <c r="AM21" s="79"/>
      <c r="AN21" s="79"/>
      <c r="AO21" s="79"/>
      <c r="AP21" s="80"/>
    </row>
    <row r="22" spans="1:42" s="14" customFormat="1" ht="15" customHeight="1" x14ac:dyDescent="0.4">
      <c r="A22" s="11">
        <v>28</v>
      </c>
      <c r="B22" s="11">
        <v>304</v>
      </c>
      <c r="C22" s="11" t="s">
        <v>80</v>
      </c>
      <c r="D22" s="13" t="s">
        <v>418</v>
      </c>
      <c r="E22" s="33" t="s">
        <v>18</v>
      </c>
      <c r="F22" s="45" t="s">
        <v>419</v>
      </c>
      <c r="G22" s="11" t="s">
        <v>43</v>
      </c>
      <c r="H22" s="11" t="s">
        <v>52</v>
      </c>
      <c r="I22" s="11" t="s">
        <v>84</v>
      </c>
      <c r="J22" s="11" t="s">
        <v>85</v>
      </c>
      <c r="K22" s="11" t="s">
        <v>19</v>
      </c>
      <c r="L22" s="11" t="s">
        <v>24</v>
      </c>
      <c r="M22" s="11" t="s">
        <v>45</v>
      </c>
      <c r="N22" s="11" t="s">
        <v>45</v>
      </c>
      <c r="O22" s="11" t="s">
        <v>23</v>
      </c>
      <c r="P22" s="11" t="s">
        <v>84</v>
      </c>
      <c r="Q22" s="11" t="s">
        <v>86</v>
      </c>
      <c r="R22" s="11">
        <v>740</v>
      </c>
      <c r="S22" s="40" t="s">
        <v>39</v>
      </c>
      <c r="T22" s="11">
        <v>900</v>
      </c>
      <c r="U22" s="11" t="s">
        <v>45</v>
      </c>
      <c r="V22" s="11" t="s">
        <v>84</v>
      </c>
      <c r="W22" s="11" t="s">
        <v>86</v>
      </c>
      <c r="X22" s="40" t="s">
        <v>60</v>
      </c>
      <c r="Y22" s="40" t="s">
        <v>87</v>
      </c>
      <c r="Z22" s="40" t="s">
        <v>626</v>
      </c>
      <c r="AA22" s="40" t="s">
        <v>39</v>
      </c>
      <c r="AB22" s="12" t="s">
        <v>88</v>
      </c>
      <c r="AC22" s="11" t="s">
        <v>23</v>
      </c>
      <c r="AD22" s="11" t="s">
        <v>23</v>
      </c>
      <c r="AE22" s="11" t="s">
        <v>50</v>
      </c>
      <c r="AF22" s="11" t="s">
        <v>50</v>
      </c>
      <c r="AG22" s="13" t="s">
        <v>60</v>
      </c>
      <c r="AH22" s="13" t="s">
        <v>62</v>
      </c>
      <c r="AI22" s="13" t="s">
        <v>23</v>
      </c>
      <c r="AJ22" s="13" t="s">
        <v>23</v>
      </c>
      <c r="AK22" s="13" t="s">
        <v>45</v>
      </c>
      <c r="AL22" s="94" t="s">
        <v>420</v>
      </c>
      <c r="AM22" s="95"/>
      <c r="AN22" s="95"/>
      <c r="AO22" s="95"/>
      <c r="AP22" s="96"/>
    </row>
    <row r="23" spans="1:42" s="10" customFormat="1" ht="31.5" customHeight="1" x14ac:dyDescent="0.4">
      <c r="A23" s="6">
        <v>28</v>
      </c>
      <c r="B23" s="6">
        <v>404</v>
      </c>
      <c r="C23" s="6" t="s">
        <v>80</v>
      </c>
      <c r="D23" s="18" t="s">
        <v>456</v>
      </c>
      <c r="E23" s="34" t="s">
        <v>18</v>
      </c>
      <c r="F23" s="46" t="s">
        <v>457</v>
      </c>
      <c r="G23" s="6" t="s">
        <v>43</v>
      </c>
      <c r="H23" s="6" t="s">
        <v>52</v>
      </c>
      <c r="I23" s="6" t="s">
        <v>84</v>
      </c>
      <c r="J23" s="6" t="s">
        <v>85</v>
      </c>
      <c r="K23" s="6" t="s">
        <v>60</v>
      </c>
      <c r="L23" s="6" t="s">
        <v>20</v>
      </c>
      <c r="M23" s="6" t="s">
        <v>45</v>
      </c>
      <c r="N23" s="6" t="s">
        <v>45</v>
      </c>
      <c r="O23" s="6" t="s">
        <v>23</v>
      </c>
      <c r="P23" s="6" t="s">
        <v>84</v>
      </c>
      <c r="Q23" s="6" t="s">
        <v>86</v>
      </c>
      <c r="R23" s="6" t="s">
        <v>458</v>
      </c>
      <c r="S23" s="6" t="s">
        <v>39</v>
      </c>
      <c r="T23" s="6">
        <v>800</v>
      </c>
      <c r="U23" s="6" t="s">
        <v>23</v>
      </c>
      <c r="V23" s="6" t="s">
        <v>84</v>
      </c>
      <c r="W23" s="6" t="s">
        <v>86</v>
      </c>
      <c r="X23" s="6" t="s">
        <v>60</v>
      </c>
      <c r="Y23" s="6" t="s">
        <v>531</v>
      </c>
      <c r="Z23" s="6"/>
      <c r="AA23" s="6" t="s">
        <v>65</v>
      </c>
      <c r="AB23" s="15" t="s">
        <v>88</v>
      </c>
      <c r="AC23" s="16" t="s">
        <v>45</v>
      </c>
      <c r="AD23" s="16" t="s">
        <v>45</v>
      </c>
      <c r="AE23" s="16" t="s">
        <v>116</v>
      </c>
      <c r="AF23" s="16" t="s">
        <v>116</v>
      </c>
      <c r="AG23" s="17" t="s">
        <v>60</v>
      </c>
      <c r="AH23" s="17" t="s">
        <v>62</v>
      </c>
      <c r="AI23" s="17" t="s">
        <v>45</v>
      </c>
      <c r="AJ23" s="17" t="s">
        <v>23</v>
      </c>
      <c r="AK23" s="17" t="s">
        <v>23</v>
      </c>
      <c r="AL23" s="106" t="s">
        <v>808</v>
      </c>
      <c r="AM23" s="79"/>
      <c r="AN23" s="79"/>
      <c r="AO23" s="79"/>
      <c r="AP23" s="80"/>
    </row>
    <row r="24" spans="1:42" s="14" customFormat="1" ht="15" customHeight="1" x14ac:dyDescent="0.4">
      <c r="A24" s="11">
        <v>28</v>
      </c>
      <c r="B24" s="11">
        <v>504</v>
      </c>
      <c r="C24" s="11" t="s">
        <v>80</v>
      </c>
      <c r="D24" s="13" t="s">
        <v>421</v>
      </c>
      <c r="E24" s="33" t="s">
        <v>18</v>
      </c>
      <c r="F24" s="11" t="s">
        <v>422</v>
      </c>
      <c r="G24" s="11" t="s">
        <v>43</v>
      </c>
      <c r="H24" s="11" t="s">
        <v>52</v>
      </c>
      <c r="I24" s="11" t="s">
        <v>84</v>
      </c>
      <c r="J24" s="11" t="s">
        <v>85</v>
      </c>
      <c r="K24" s="11" t="s">
        <v>19</v>
      </c>
      <c r="L24" s="11" t="s">
        <v>24</v>
      </c>
      <c r="M24" s="11" t="s">
        <v>45</v>
      </c>
      <c r="N24" s="11" t="s">
        <v>45</v>
      </c>
      <c r="O24" s="11" t="s">
        <v>23</v>
      </c>
      <c r="P24" s="11" t="s">
        <v>84</v>
      </c>
      <c r="Q24" s="11" t="s">
        <v>86</v>
      </c>
      <c r="R24" s="11">
        <v>750</v>
      </c>
      <c r="S24" s="40" t="s">
        <v>39</v>
      </c>
      <c r="T24" s="11">
        <v>900</v>
      </c>
      <c r="U24" s="11" t="s">
        <v>45</v>
      </c>
      <c r="V24" s="11" t="s">
        <v>84</v>
      </c>
      <c r="W24" s="11" t="s">
        <v>86</v>
      </c>
      <c r="X24" s="40" t="s">
        <v>60</v>
      </c>
      <c r="Y24" s="40" t="s">
        <v>402</v>
      </c>
      <c r="Z24" s="40"/>
      <c r="AA24" s="40" t="s">
        <v>65</v>
      </c>
      <c r="AB24" s="12" t="s">
        <v>19</v>
      </c>
      <c r="AC24" s="11" t="s">
        <v>45</v>
      </c>
      <c r="AD24" s="11" t="s">
        <v>45</v>
      </c>
      <c r="AE24" s="11" t="s">
        <v>116</v>
      </c>
      <c r="AF24" s="11" t="s">
        <v>50</v>
      </c>
      <c r="AG24" s="13" t="s">
        <v>60</v>
      </c>
      <c r="AH24" s="13" t="s">
        <v>62</v>
      </c>
      <c r="AI24" s="13" t="s">
        <v>241</v>
      </c>
      <c r="AJ24" s="13" t="s">
        <v>23</v>
      </c>
      <c r="AK24" s="13" t="s">
        <v>45</v>
      </c>
      <c r="AL24" s="94" t="s">
        <v>423</v>
      </c>
      <c r="AM24" s="95"/>
      <c r="AN24" s="95"/>
      <c r="AO24" s="95"/>
      <c r="AP24" s="96"/>
    </row>
    <row r="25" spans="1:42" s="10" customFormat="1" ht="31.5" customHeight="1" x14ac:dyDescent="0.4">
      <c r="A25" s="6">
        <v>28</v>
      </c>
      <c r="B25" s="6">
        <v>105</v>
      </c>
      <c r="C25" s="6" t="s">
        <v>80</v>
      </c>
      <c r="D25" s="18" t="s">
        <v>450</v>
      </c>
      <c r="E25" s="34" t="s">
        <v>18</v>
      </c>
      <c r="F25" s="51" t="s">
        <v>451</v>
      </c>
      <c r="G25" s="6" t="s">
        <v>43</v>
      </c>
      <c r="H25" s="6" t="s">
        <v>52</v>
      </c>
      <c r="I25" s="6" t="s">
        <v>84</v>
      </c>
      <c r="J25" s="6" t="s">
        <v>85</v>
      </c>
      <c r="K25" s="6" t="s">
        <v>19</v>
      </c>
      <c r="L25" s="6" t="s">
        <v>92</v>
      </c>
      <c r="M25" s="6" t="s">
        <v>45</v>
      </c>
      <c r="N25" s="6" t="s">
        <v>45</v>
      </c>
      <c r="O25" s="6" t="s">
        <v>45</v>
      </c>
      <c r="P25" s="6" t="s">
        <v>84</v>
      </c>
      <c r="Q25" s="6" t="s">
        <v>86</v>
      </c>
      <c r="R25" s="6">
        <v>750</v>
      </c>
      <c r="S25" s="6" t="s">
        <v>39</v>
      </c>
      <c r="T25" s="6">
        <v>900</v>
      </c>
      <c r="U25" s="6" t="s">
        <v>45</v>
      </c>
      <c r="V25" s="6" t="s">
        <v>84</v>
      </c>
      <c r="W25" s="6" t="s">
        <v>86</v>
      </c>
      <c r="X25" s="6" t="s">
        <v>19</v>
      </c>
      <c r="Y25" s="6"/>
      <c r="Z25" s="6"/>
      <c r="AA25" s="6" t="s">
        <v>65</v>
      </c>
      <c r="AB25" s="15" t="s">
        <v>19</v>
      </c>
      <c r="AC25" s="16" t="s">
        <v>45</v>
      </c>
      <c r="AD25" s="16" t="s">
        <v>45</v>
      </c>
      <c r="AE25" s="16" t="s">
        <v>50</v>
      </c>
      <c r="AF25" s="16" t="s">
        <v>50</v>
      </c>
      <c r="AG25" s="17" t="s">
        <v>60</v>
      </c>
      <c r="AH25" s="17" t="s">
        <v>62</v>
      </c>
      <c r="AI25" s="17" t="s">
        <v>45</v>
      </c>
      <c r="AJ25" s="17" t="s">
        <v>45</v>
      </c>
      <c r="AK25" s="17" t="s">
        <v>45</v>
      </c>
      <c r="AL25" s="78" t="s">
        <v>452</v>
      </c>
      <c r="AM25" s="79"/>
      <c r="AN25" s="79"/>
      <c r="AO25" s="79"/>
      <c r="AP25" s="80"/>
    </row>
    <row r="26" spans="1:42" s="14" customFormat="1" ht="30.75" customHeight="1" x14ac:dyDescent="0.4">
      <c r="A26" s="11">
        <v>28</v>
      </c>
      <c r="B26" s="11">
        <v>205</v>
      </c>
      <c r="C26" s="11" t="s">
        <v>80</v>
      </c>
      <c r="D26" s="13" t="s">
        <v>427</v>
      </c>
      <c r="E26" s="33" t="s">
        <v>18</v>
      </c>
      <c r="F26" s="11" t="s">
        <v>428</v>
      </c>
      <c r="G26" s="11" t="s">
        <v>22</v>
      </c>
      <c r="H26" s="11" t="s">
        <v>52</v>
      </c>
      <c r="I26" s="11" t="s">
        <v>84</v>
      </c>
      <c r="J26" s="11" t="s">
        <v>85</v>
      </c>
      <c r="K26" s="11" t="s">
        <v>19</v>
      </c>
      <c r="L26" s="11" t="s">
        <v>24</v>
      </c>
      <c r="M26" s="11" t="s">
        <v>45</v>
      </c>
      <c r="N26" s="11" t="s">
        <v>45</v>
      </c>
      <c r="O26" s="11" t="s">
        <v>23</v>
      </c>
      <c r="P26" s="11" t="s">
        <v>84</v>
      </c>
      <c r="Q26" s="11" t="s">
        <v>86</v>
      </c>
      <c r="R26" s="11">
        <v>750</v>
      </c>
      <c r="S26" s="40" t="s">
        <v>39</v>
      </c>
      <c r="T26" s="11">
        <v>900</v>
      </c>
      <c r="U26" s="11" t="s">
        <v>45</v>
      </c>
      <c r="V26" s="11" t="s">
        <v>84</v>
      </c>
      <c r="W26" s="11" t="s">
        <v>86</v>
      </c>
      <c r="X26" s="40" t="s">
        <v>19</v>
      </c>
      <c r="Y26" s="40"/>
      <c r="Z26" s="40"/>
      <c r="AA26" s="40" t="s">
        <v>65</v>
      </c>
      <c r="AB26" s="12" t="s">
        <v>19</v>
      </c>
      <c r="AC26" s="11" t="s">
        <v>45</v>
      </c>
      <c r="AD26" s="11" t="s">
        <v>45</v>
      </c>
      <c r="AE26" s="11" t="s">
        <v>50</v>
      </c>
      <c r="AF26" s="11" t="s">
        <v>50</v>
      </c>
      <c r="AG26" s="13" t="s">
        <v>60</v>
      </c>
      <c r="AH26" s="13" t="s">
        <v>62</v>
      </c>
      <c r="AI26" s="13" t="s">
        <v>45</v>
      </c>
      <c r="AJ26" s="13" t="s">
        <v>45</v>
      </c>
      <c r="AK26" s="13" t="s">
        <v>45</v>
      </c>
      <c r="AL26" s="133" t="s">
        <v>809</v>
      </c>
      <c r="AM26" s="95"/>
      <c r="AN26" s="95"/>
      <c r="AO26" s="95"/>
      <c r="AP26" s="96"/>
    </row>
    <row r="27" spans="1:42" s="10" customFormat="1" ht="31.5" customHeight="1" x14ac:dyDescent="0.4">
      <c r="A27" s="6">
        <v>28</v>
      </c>
      <c r="B27" s="6">
        <v>305</v>
      </c>
      <c r="C27" s="6" t="s">
        <v>80</v>
      </c>
      <c r="D27" s="18" t="s">
        <v>429</v>
      </c>
      <c r="E27" s="34" t="s">
        <v>18</v>
      </c>
      <c r="F27" s="46" t="s">
        <v>430</v>
      </c>
      <c r="G27" s="6" t="s">
        <v>43</v>
      </c>
      <c r="H27" s="6" t="s">
        <v>52</v>
      </c>
      <c r="I27" s="6" t="s">
        <v>84</v>
      </c>
      <c r="J27" s="6" t="s">
        <v>85</v>
      </c>
      <c r="K27" s="6" t="s">
        <v>431</v>
      </c>
      <c r="L27" s="6" t="s">
        <v>92</v>
      </c>
      <c r="M27" s="6" t="s">
        <v>45</v>
      </c>
      <c r="N27" s="6" t="s">
        <v>45</v>
      </c>
      <c r="O27" s="6" t="s">
        <v>23</v>
      </c>
      <c r="P27" s="6" t="s">
        <v>432</v>
      </c>
      <c r="Q27" s="6" t="s">
        <v>86</v>
      </c>
      <c r="R27" s="6" t="s">
        <v>433</v>
      </c>
      <c r="S27" s="6" t="s">
        <v>39</v>
      </c>
      <c r="T27" s="6">
        <v>740</v>
      </c>
      <c r="U27" s="6" t="s">
        <v>45</v>
      </c>
      <c r="V27" s="6" t="s">
        <v>84</v>
      </c>
      <c r="W27" s="6" t="s">
        <v>86</v>
      </c>
      <c r="X27" s="6" t="s">
        <v>60</v>
      </c>
      <c r="Y27" s="6" t="s">
        <v>434</v>
      </c>
      <c r="Z27" s="6"/>
      <c r="AA27" s="6" t="s">
        <v>65</v>
      </c>
      <c r="AB27" s="15" t="s">
        <v>88</v>
      </c>
      <c r="AC27" s="16" t="s">
        <v>45</v>
      </c>
      <c r="AD27" s="16" t="s">
        <v>23</v>
      </c>
      <c r="AE27" s="16" t="s">
        <v>50</v>
      </c>
      <c r="AF27" s="16" t="s">
        <v>116</v>
      </c>
      <c r="AG27" s="17" t="s">
        <v>60</v>
      </c>
      <c r="AH27" s="17" t="s">
        <v>62</v>
      </c>
      <c r="AI27" s="17" t="s">
        <v>241</v>
      </c>
      <c r="AJ27" s="17" t="s">
        <v>45</v>
      </c>
      <c r="AK27" s="17" t="s">
        <v>23</v>
      </c>
      <c r="AL27" s="106" t="s">
        <v>810</v>
      </c>
      <c r="AM27" s="79"/>
      <c r="AN27" s="79"/>
      <c r="AO27" s="79"/>
      <c r="AP27" s="80"/>
    </row>
    <row r="28" spans="1:42" s="14" customFormat="1" ht="15" customHeight="1" x14ac:dyDescent="0.4">
      <c r="A28" s="11">
        <v>28</v>
      </c>
      <c r="B28" s="11">
        <v>405</v>
      </c>
      <c r="C28" s="11" t="s">
        <v>80</v>
      </c>
      <c r="D28" s="13" t="s">
        <v>435</v>
      </c>
      <c r="E28" s="33" t="s">
        <v>18</v>
      </c>
      <c r="F28" s="11" t="s">
        <v>436</v>
      </c>
      <c r="G28" s="11" t="s">
        <v>43</v>
      </c>
      <c r="H28" s="11" t="s">
        <v>52</v>
      </c>
      <c r="I28" s="11" t="s">
        <v>84</v>
      </c>
      <c r="J28" s="11" t="s">
        <v>85</v>
      </c>
      <c r="K28" s="11" t="s">
        <v>60</v>
      </c>
      <c r="L28" s="11" t="s">
        <v>92</v>
      </c>
      <c r="M28" s="11" t="s">
        <v>45</v>
      </c>
      <c r="N28" s="11" t="s">
        <v>45</v>
      </c>
      <c r="O28" s="11" t="s">
        <v>45</v>
      </c>
      <c r="P28" s="11" t="s">
        <v>84</v>
      </c>
      <c r="Q28" s="11" t="s">
        <v>86</v>
      </c>
      <c r="R28" s="11">
        <v>750</v>
      </c>
      <c r="S28" s="40" t="s">
        <v>39</v>
      </c>
      <c r="T28" s="11">
        <v>900</v>
      </c>
      <c r="U28" s="11" t="s">
        <v>45</v>
      </c>
      <c r="V28" s="11" t="s">
        <v>84</v>
      </c>
      <c r="W28" s="11" t="s">
        <v>86</v>
      </c>
      <c r="X28" s="40" t="s">
        <v>60</v>
      </c>
      <c r="Y28" s="40" t="s">
        <v>87</v>
      </c>
      <c r="Z28" s="40" t="s">
        <v>627</v>
      </c>
      <c r="AA28" s="40" t="s">
        <v>39</v>
      </c>
      <c r="AB28" s="12" t="s">
        <v>88</v>
      </c>
      <c r="AC28" s="11" t="s">
        <v>23</v>
      </c>
      <c r="AD28" s="11" t="s">
        <v>23</v>
      </c>
      <c r="AE28" s="11" t="s">
        <v>50</v>
      </c>
      <c r="AF28" s="11" t="s">
        <v>50</v>
      </c>
      <c r="AG28" s="13" t="s">
        <v>60</v>
      </c>
      <c r="AH28" s="13" t="s">
        <v>62</v>
      </c>
      <c r="AI28" s="13" t="s">
        <v>45</v>
      </c>
      <c r="AJ28" s="13" t="s">
        <v>23</v>
      </c>
      <c r="AK28" s="13" t="s">
        <v>45</v>
      </c>
      <c r="AL28" s="94" t="s">
        <v>437</v>
      </c>
      <c r="AM28" s="95"/>
      <c r="AN28" s="95"/>
      <c r="AO28" s="95"/>
      <c r="AP28" s="96"/>
    </row>
    <row r="29" spans="1:42" s="10" customFormat="1" ht="31.5" customHeight="1" x14ac:dyDescent="0.4">
      <c r="A29" s="6">
        <v>28</v>
      </c>
      <c r="B29" s="6">
        <v>505</v>
      </c>
      <c r="C29" s="6" t="s">
        <v>80</v>
      </c>
      <c r="D29" s="18" t="s">
        <v>438</v>
      </c>
      <c r="E29" s="34" t="s">
        <v>18</v>
      </c>
      <c r="F29" s="6" t="s">
        <v>439</v>
      </c>
      <c r="G29" s="6" t="s">
        <v>43</v>
      </c>
      <c r="H29" s="6" t="s">
        <v>52</v>
      </c>
      <c r="I29" s="6" t="s">
        <v>84</v>
      </c>
      <c r="J29" s="6" t="s">
        <v>85</v>
      </c>
      <c r="K29" s="6" t="s">
        <v>431</v>
      </c>
      <c r="L29" s="6" t="s">
        <v>92</v>
      </c>
      <c r="M29" s="6" t="s">
        <v>45</v>
      </c>
      <c r="N29" s="6" t="s">
        <v>45</v>
      </c>
      <c r="O29" s="6" t="s">
        <v>23</v>
      </c>
      <c r="P29" s="6" t="s">
        <v>84</v>
      </c>
      <c r="Q29" s="6" t="s">
        <v>86</v>
      </c>
      <c r="R29" s="6" t="s">
        <v>440</v>
      </c>
      <c r="S29" s="6" t="s">
        <v>39</v>
      </c>
      <c r="T29" s="6">
        <v>900</v>
      </c>
      <c r="U29" s="6" t="s">
        <v>45</v>
      </c>
      <c r="V29" s="6" t="s">
        <v>84</v>
      </c>
      <c r="W29" s="6" t="s">
        <v>86</v>
      </c>
      <c r="X29" s="6" t="s">
        <v>60</v>
      </c>
      <c r="Y29" s="6" t="s">
        <v>344</v>
      </c>
      <c r="Z29" s="46" t="s">
        <v>628</v>
      </c>
      <c r="AA29" s="6" t="s">
        <v>65</v>
      </c>
      <c r="AB29" s="15" t="s">
        <v>88</v>
      </c>
      <c r="AC29" s="16" t="s">
        <v>45</v>
      </c>
      <c r="AD29" s="16" t="s">
        <v>23</v>
      </c>
      <c r="AE29" s="16" t="s">
        <v>50</v>
      </c>
      <c r="AF29" s="16" t="s">
        <v>50</v>
      </c>
      <c r="AG29" s="17" t="s">
        <v>60</v>
      </c>
      <c r="AH29" s="17" t="s">
        <v>62</v>
      </c>
      <c r="AI29" s="17" t="s">
        <v>45</v>
      </c>
      <c r="AJ29" s="17" t="s">
        <v>23</v>
      </c>
      <c r="AK29" s="17" t="s">
        <v>45</v>
      </c>
      <c r="AL29" s="78" t="s">
        <v>441</v>
      </c>
      <c r="AM29" s="79"/>
      <c r="AN29" s="79"/>
      <c r="AO29" s="79"/>
      <c r="AP29" s="80"/>
    </row>
    <row r="30" spans="1:42" s="14" customFormat="1" ht="15" customHeight="1" x14ac:dyDescent="0.4">
      <c r="A30" s="11">
        <v>28</v>
      </c>
      <c r="B30" s="11">
        <v>106</v>
      </c>
      <c r="C30" s="11" t="s">
        <v>80</v>
      </c>
      <c r="D30" s="13" t="s">
        <v>581</v>
      </c>
      <c r="E30" s="33" t="s">
        <v>18</v>
      </c>
      <c r="F30" s="11" t="s">
        <v>582</v>
      </c>
      <c r="G30" s="11" t="s">
        <v>43</v>
      </c>
      <c r="H30" s="11" t="s">
        <v>52</v>
      </c>
      <c r="I30" s="11" t="s">
        <v>84</v>
      </c>
      <c r="J30" s="11" t="s">
        <v>85</v>
      </c>
      <c r="K30" s="11" t="s">
        <v>60</v>
      </c>
      <c r="L30" s="11" t="s">
        <v>92</v>
      </c>
      <c r="M30" s="11" t="s">
        <v>45</v>
      </c>
      <c r="N30" s="11" t="s">
        <v>45</v>
      </c>
      <c r="O30" s="11" t="s">
        <v>23</v>
      </c>
      <c r="P30" s="11" t="s">
        <v>84</v>
      </c>
      <c r="Q30" s="11" t="s">
        <v>86</v>
      </c>
      <c r="R30" s="11">
        <v>750</v>
      </c>
      <c r="S30" s="40" t="s">
        <v>39</v>
      </c>
      <c r="T30" s="11">
        <v>900</v>
      </c>
      <c r="U30" s="11" t="s">
        <v>45</v>
      </c>
      <c r="V30" s="11" t="s">
        <v>84</v>
      </c>
      <c r="W30" s="11" t="s">
        <v>86</v>
      </c>
      <c r="X30" s="40" t="s">
        <v>60</v>
      </c>
      <c r="Y30" s="40" t="s">
        <v>87</v>
      </c>
      <c r="Z30" s="40" t="s">
        <v>583</v>
      </c>
      <c r="AA30" s="40" t="s">
        <v>65</v>
      </c>
      <c r="AB30" s="12" t="s">
        <v>88</v>
      </c>
      <c r="AC30" s="11" t="s">
        <v>45</v>
      </c>
      <c r="AD30" s="11" t="s">
        <v>23</v>
      </c>
      <c r="AE30" s="11" t="s">
        <v>50</v>
      </c>
      <c r="AF30" s="11" t="s">
        <v>50</v>
      </c>
      <c r="AG30" s="13" t="s">
        <v>60</v>
      </c>
      <c r="AH30" s="13" t="s">
        <v>62</v>
      </c>
      <c r="AI30" s="13" t="s">
        <v>45</v>
      </c>
      <c r="AJ30" s="13" t="s">
        <v>45</v>
      </c>
      <c r="AK30" s="13" t="s">
        <v>45</v>
      </c>
      <c r="AL30" s="94" t="s">
        <v>584</v>
      </c>
      <c r="AM30" s="95"/>
      <c r="AN30" s="95"/>
      <c r="AO30" s="95"/>
      <c r="AP30" s="96"/>
    </row>
    <row r="31" spans="1:42" s="10" customFormat="1" ht="15" customHeight="1" x14ac:dyDescent="0.4">
      <c r="A31" s="6">
        <v>28</v>
      </c>
      <c r="B31" s="6">
        <v>206</v>
      </c>
      <c r="C31" s="6" t="s">
        <v>80</v>
      </c>
      <c r="D31" s="18" t="s">
        <v>453</v>
      </c>
      <c r="E31" s="34" t="s">
        <v>18</v>
      </c>
      <c r="F31" s="6" t="s">
        <v>454</v>
      </c>
      <c r="G31" s="6" t="s">
        <v>40</v>
      </c>
      <c r="H31" s="6" t="s">
        <v>52</v>
      </c>
      <c r="I31" s="6" t="s">
        <v>84</v>
      </c>
      <c r="J31" s="6" t="s">
        <v>85</v>
      </c>
      <c r="K31" s="6" t="s">
        <v>19</v>
      </c>
      <c r="L31" s="6" t="s">
        <v>92</v>
      </c>
      <c r="M31" s="6" t="s">
        <v>45</v>
      </c>
      <c r="N31" s="6" t="s">
        <v>45</v>
      </c>
      <c r="O31" s="6" t="s">
        <v>23</v>
      </c>
      <c r="P31" s="6" t="s">
        <v>84</v>
      </c>
      <c r="Q31" s="6" t="s">
        <v>86</v>
      </c>
      <c r="R31" s="6">
        <v>750</v>
      </c>
      <c r="S31" s="6" t="s">
        <v>39</v>
      </c>
      <c r="T31" s="6">
        <v>900</v>
      </c>
      <c r="U31" s="6" t="s">
        <v>45</v>
      </c>
      <c r="V31" s="6" t="s">
        <v>84</v>
      </c>
      <c r="W31" s="6" t="s">
        <v>86</v>
      </c>
      <c r="X31" s="6" t="s">
        <v>60</v>
      </c>
      <c r="Y31" s="6" t="s">
        <v>531</v>
      </c>
      <c r="Z31" s="6"/>
      <c r="AA31" s="6" t="s">
        <v>65</v>
      </c>
      <c r="AB31" s="15" t="s">
        <v>19</v>
      </c>
      <c r="AC31" s="16" t="s">
        <v>45</v>
      </c>
      <c r="AD31" s="16" t="s">
        <v>45</v>
      </c>
      <c r="AE31" s="16" t="s">
        <v>116</v>
      </c>
      <c r="AF31" s="16" t="s">
        <v>50</v>
      </c>
      <c r="AG31" s="17" t="s">
        <v>60</v>
      </c>
      <c r="AH31" s="17" t="s">
        <v>62</v>
      </c>
      <c r="AI31" s="17" t="s">
        <v>45</v>
      </c>
      <c r="AJ31" s="17" t="s">
        <v>23</v>
      </c>
      <c r="AK31" s="17" t="s">
        <v>45</v>
      </c>
      <c r="AL31" s="78" t="s">
        <v>455</v>
      </c>
      <c r="AM31" s="79"/>
      <c r="AN31" s="79"/>
      <c r="AO31" s="79"/>
      <c r="AP31" s="80"/>
    </row>
    <row r="32" spans="1:42" s="14" customFormat="1" ht="31.5" customHeight="1" x14ac:dyDescent="0.4">
      <c r="A32" s="11">
        <v>28</v>
      </c>
      <c r="B32" s="11">
        <v>306</v>
      </c>
      <c r="C32" s="11" t="s">
        <v>80</v>
      </c>
      <c r="D32" s="13" t="s">
        <v>796</v>
      </c>
      <c r="E32" s="33" t="s">
        <v>18</v>
      </c>
      <c r="F32" s="45" t="s">
        <v>797</v>
      </c>
      <c r="G32" s="11" t="s">
        <v>43</v>
      </c>
      <c r="H32" s="11" t="s">
        <v>52</v>
      </c>
      <c r="I32" s="11" t="s">
        <v>84</v>
      </c>
      <c r="J32" s="11" t="s">
        <v>85</v>
      </c>
      <c r="K32" s="11" t="s">
        <v>60</v>
      </c>
      <c r="L32" s="11" t="s">
        <v>92</v>
      </c>
      <c r="M32" s="11" t="s">
        <v>45</v>
      </c>
      <c r="N32" s="11" t="s">
        <v>45</v>
      </c>
      <c r="O32" s="11" t="s">
        <v>45</v>
      </c>
      <c r="P32" s="11" t="s">
        <v>84</v>
      </c>
      <c r="Q32" s="11" t="s">
        <v>86</v>
      </c>
      <c r="R32" s="11" t="s">
        <v>798</v>
      </c>
      <c r="S32" s="40" t="s">
        <v>39</v>
      </c>
      <c r="T32" s="11">
        <v>900</v>
      </c>
      <c r="U32" s="11" t="s">
        <v>45</v>
      </c>
      <c r="V32" s="11" t="s">
        <v>84</v>
      </c>
      <c r="W32" s="11" t="s">
        <v>86</v>
      </c>
      <c r="X32" s="40" t="s">
        <v>60</v>
      </c>
      <c r="Y32" s="40" t="s">
        <v>87</v>
      </c>
      <c r="Z32" s="40" t="s">
        <v>799</v>
      </c>
      <c r="AA32" s="40" t="s">
        <v>65</v>
      </c>
      <c r="AB32" s="12" t="s">
        <v>88</v>
      </c>
      <c r="AC32" s="11" t="s">
        <v>23</v>
      </c>
      <c r="AD32" s="11" t="s">
        <v>23</v>
      </c>
      <c r="AE32" s="11" t="s">
        <v>116</v>
      </c>
      <c r="AF32" s="11" t="s">
        <v>46</v>
      </c>
      <c r="AG32" s="13" t="s">
        <v>60</v>
      </c>
      <c r="AH32" s="13" t="s">
        <v>62</v>
      </c>
      <c r="AI32" s="13" t="s">
        <v>45</v>
      </c>
      <c r="AJ32" s="13" t="s">
        <v>23</v>
      </c>
      <c r="AK32" s="13" t="s">
        <v>23</v>
      </c>
      <c r="AL32" s="133" t="s">
        <v>811</v>
      </c>
      <c r="AM32" s="95"/>
      <c r="AN32" s="95"/>
      <c r="AO32" s="95"/>
      <c r="AP32" s="96"/>
    </row>
    <row r="33" spans="1:43" s="10" customFormat="1" ht="15" customHeight="1" x14ac:dyDescent="0.4">
      <c r="A33" s="6">
        <v>28</v>
      </c>
      <c r="B33" s="6">
        <v>406</v>
      </c>
      <c r="C33" s="6" t="s">
        <v>80</v>
      </c>
      <c r="D33" s="18" t="s">
        <v>442</v>
      </c>
      <c r="E33" s="34" t="s">
        <v>18</v>
      </c>
      <c r="F33" s="6" t="s">
        <v>443</v>
      </c>
      <c r="G33" s="6" t="s">
        <v>43</v>
      </c>
      <c r="H33" s="6" t="s">
        <v>52</v>
      </c>
      <c r="I33" s="6" t="s">
        <v>84</v>
      </c>
      <c r="J33" s="6" t="s">
        <v>85</v>
      </c>
      <c r="K33" s="6" t="s">
        <v>60</v>
      </c>
      <c r="L33" s="6" t="s">
        <v>92</v>
      </c>
      <c r="M33" s="6" t="s">
        <v>45</v>
      </c>
      <c r="N33" s="6" t="s">
        <v>45</v>
      </c>
      <c r="O33" s="6" t="s">
        <v>45</v>
      </c>
      <c r="P33" s="6" t="s">
        <v>84</v>
      </c>
      <c r="Q33" s="6" t="s">
        <v>86</v>
      </c>
      <c r="R33" s="6">
        <v>750</v>
      </c>
      <c r="S33" s="6" t="s">
        <v>39</v>
      </c>
      <c r="T33" s="6">
        <v>900</v>
      </c>
      <c r="U33" s="6" t="s">
        <v>45</v>
      </c>
      <c r="V33" s="6" t="s">
        <v>84</v>
      </c>
      <c r="W33" s="6" t="s">
        <v>86</v>
      </c>
      <c r="X33" s="6" t="s">
        <v>19</v>
      </c>
      <c r="Y33" s="6"/>
      <c r="Z33" s="6"/>
      <c r="AA33" s="6" t="s">
        <v>65</v>
      </c>
      <c r="AB33" s="15" t="s">
        <v>19</v>
      </c>
      <c r="AC33" s="16" t="s">
        <v>45</v>
      </c>
      <c r="AD33" s="16" t="s">
        <v>45</v>
      </c>
      <c r="AE33" s="16" t="s">
        <v>50</v>
      </c>
      <c r="AF33" s="16" t="s">
        <v>50</v>
      </c>
      <c r="AG33" s="17" t="s">
        <v>60</v>
      </c>
      <c r="AH33" s="17" t="s">
        <v>62</v>
      </c>
      <c r="AI33" s="17" t="s">
        <v>45</v>
      </c>
      <c r="AJ33" s="17" t="s">
        <v>23</v>
      </c>
      <c r="AK33" s="17" t="s">
        <v>45</v>
      </c>
      <c r="AL33" s="78" t="s">
        <v>444</v>
      </c>
      <c r="AM33" s="79"/>
      <c r="AN33" s="79"/>
      <c r="AO33" s="79"/>
      <c r="AP33" s="80"/>
    </row>
    <row r="34" spans="1:43" s="14" customFormat="1" ht="15" customHeight="1" x14ac:dyDescent="0.4">
      <c r="A34" s="11">
        <v>28</v>
      </c>
      <c r="B34" s="11">
        <v>506</v>
      </c>
      <c r="C34" s="11" t="s">
        <v>80</v>
      </c>
      <c r="D34" s="13" t="s">
        <v>424</v>
      </c>
      <c r="E34" s="33" t="s">
        <v>18</v>
      </c>
      <c r="F34" s="11" t="s">
        <v>425</v>
      </c>
      <c r="G34" s="11" t="s">
        <v>43</v>
      </c>
      <c r="H34" s="11" t="s">
        <v>52</v>
      </c>
      <c r="I34" s="11" t="s">
        <v>84</v>
      </c>
      <c r="J34" s="11" t="s">
        <v>85</v>
      </c>
      <c r="K34" s="11" t="s">
        <v>60</v>
      </c>
      <c r="L34" s="11" t="s">
        <v>24</v>
      </c>
      <c r="M34" s="11" t="s">
        <v>45</v>
      </c>
      <c r="N34" s="11" t="s">
        <v>45</v>
      </c>
      <c r="O34" s="11" t="s">
        <v>45</v>
      </c>
      <c r="P34" s="11" t="s">
        <v>84</v>
      </c>
      <c r="Q34" s="11" t="s">
        <v>86</v>
      </c>
      <c r="R34" s="11">
        <v>750</v>
      </c>
      <c r="S34" s="40" t="s">
        <v>39</v>
      </c>
      <c r="T34" s="11">
        <v>900</v>
      </c>
      <c r="U34" s="11" t="s">
        <v>23</v>
      </c>
      <c r="V34" s="11" t="s">
        <v>84</v>
      </c>
      <c r="W34" s="11" t="s">
        <v>86</v>
      </c>
      <c r="X34" s="40" t="s">
        <v>60</v>
      </c>
      <c r="Y34" s="40" t="s">
        <v>402</v>
      </c>
      <c r="Z34" s="40"/>
      <c r="AA34" s="40" t="s">
        <v>65</v>
      </c>
      <c r="AB34" s="12" t="s">
        <v>19</v>
      </c>
      <c r="AC34" s="11" t="s">
        <v>45</v>
      </c>
      <c r="AD34" s="11" t="s">
        <v>45</v>
      </c>
      <c r="AE34" s="11" t="s">
        <v>50</v>
      </c>
      <c r="AF34" s="11" t="s">
        <v>50</v>
      </c>
      <c r="AG34" s="13" t="s">
        <v>60</v>
      </c>
      <c r="AH34" s="13" t="s">
        <v>96</v>
      </c>
      <c r="AI34" s="13" t="s">
        <v>23</v>
      </c>
      <c r="AJ34" s="13" t="s">
        <v>45</v>
      </c>
      <c r="AK34" s="13" t="s">
        <v>45</v>
      </c>
      <c r="AL34" s="94" t="s">
        <v>426</v>
      </c>
      <c r="AM34" s="95"/>
      <c r="AN34" s="95"/>
      <c r="AO34" s="95"/>
      <c r="AP34" s="96"/>
    </row>
    <row r="35" spans="1:43" s="2" customFormat="1" ht="11.25" customHeight="1" x14ac:dyDescent="0.4">
      <c r="A35" s="118" t="s">
        <v>12</v>
      </c>
      <c r="B35" s="119"/>
      <c r="C35" s="119"/>
      <c r="D35" s="119"/>
      <c r="E35" s="120"/>
      <c r="F35" s="127">
        <f>COUNTA(D5:D34)</f>
        <v>30</v>
      </c>
      <c r="G35" s="20" t="str">
        <f>"所有→"&amp;COUNTIF(G5:G34,"所有")&amp;"戸"</f>
        <v>所有→25戸</v>
      </c>
      <c r="H35" s="20" t="str">
        <f>"未更新→"&amp;COUNTIF(H5:H34,"未更新")&amp;"戸"</f>
        <v>未更新→29戸</v>
      </c>
      <c r="I35" s="20" t="str">
        <f>"クロス→"&amp;COUNTIF(I5:I34,"クロス")&amp;"戸"</f>
        <v>クロス→30戸</v>
      </c>
      <c r="J35" s="20" t="str">
        <f>"ベニヤ→"&amp;COUNTIF(J5:J34,"ベニヤ")&amp;"戸"</f>
        <v>ベニヤ→29戸</v>
      </c>
      <c r="K35" s="20" t="str">
        <f>"既存→"&amp;COUNTIF(K5:K34,"既存")&amp;"戸"</f>
        <v>既存→6戸</v>
      </c>
      <c r="L35" s="20" t="str">
        <f>"普通便座→"&amp;COUNTIF(L5:L34,"普通便座")&amp;"戸"</f>
        <v>普通便座→4戸</v>
      </c>
      <c r="M35" s="20" t="str">
        <f>"有→"&amp;COUNTIF(M5:M34,"有")&amp;"戸"</f>
        <v>有→4戸</v>
      </c>
      <c r="N35" s="20" t="str">
        <f>"有→"&amp;COUNTIF(N5:N34,"有")&amp;"戸"</f>
        <v>有→3戸</v>
      </c>
      <c r="O35" s="20" t="str">
        <f>"有→"&amp;COUNTIF(O5:O34,"有")&amp;"戸"</f>
        <v>有→17戸</v>
      </c>
      <c r="P35" s="20" t="str">
        <f>"クロス→"&amp;COUNTIF(P5:P34,"クロス")&amp;"戸"</f>
        <v>クロス→28戸</v>
      </c>
      <c r="Q35" s="20" t="str">
        <f>"CF→"&amp;COUNTIF(Q5:Q34,"CF")&amp;"戸"</f>
        <v>CF→28戸</v>
      </c>
      <c r="R35" s="20" t="str">
        <f>"1000→"&amp;COUNTIF(R5:R34,"1000")&amp;"戸"</f>
        <v>1000→0戸</v>
      </c>
      <c r="S35" s="20" t="str">
        <f>"可→"&amp;COUNTIF(S5:S34,"可")&amp;"戸"</f>
        <v>可→30戸</v>
      </c>
      <c r="T35" s="20" t="str">
        <f>"900→"&amp;COUNTIF(T5:T34,"900")&amp;"戸"</f>
        <v>900→24戸</v>
      </c>
      <c r="U35" s="20" t="str">
        <f>"有→"&amp;COUNTIF(U5:U34,"有")&amp;"戸"</f>
        <v>有→3戸</v>
      </c>
      <c r="V35" s="20" t="str">
        <f>"クロス→"&amp;COUNTIF(V5:V34,"クロス")&amp;"戸"</f>
        <v>クロス→29戸</v>
      </c>
      <c r="W35" s="20" t="str">
        <f>"CF→"&amp;COUNTIF(W5:W34,"CF")&amp;"戸"</f>
        <v>CF→26戸</v>
      </c>
      <c r="X35" s="20" t="str">
        <f>"既存→"&amp;COUNTIF(X5:X34,"既存")&amp;"戸"</f>
        <v>既存→4戸</v>
      </c>
      <c r="Y35" s="20" t="str">
        <f>"TOTO→"&amp;COUNTIF(Y5:Y34,"TOTO")&amp;"戸"</f>
        <v>TOTO→14戸</v>
      </c>
      <c r="Z35" s="130">
        <f>COUNTA(Z5:Z34)</f>
        <v>16</v>
      </c>
      <c r="AA35" s="20" t="str">
        <f>"可→"&amp;COUNTIF(AA5:AA34,"可")&amp;"戸"</f>
        <v>可→11戸</v>
      </c>
      <c r="AB35" s="20" t="str">
        <f>"既存→"&amp;COUNTIF(AB5:AB34,"既存")&amp;"戸"</f>
        <v>既存→11戸</v>
      </c>
      <c r="AC35" s="130">
        <f>COUNTIF(AC5:AC34,"有")</f>
        <v>6</v>
      </c>
      <c r="AD35" s="130">
        <f>COUNTIF(AD5:AD34,"有")</f>
        <v>14</v>
      </c>
      <c r="AE35" s="20" t="str">
        <f>"ポリ板→"&amp;COUNTIF(AE5:AE34,"ポリ板")&amp;"戸"</f>
        <v>ポリ板→21戸</v>
      </c>
      <c r="AF35" s="20" t="str">
        <f>"ポリ板→"&amp;COUNTIF(AF5:AF34,"ポリ板")&amp;"戸"</f>
        <v>ポリ板→27戸</v>
      </c>
      <c r="AG35" s="20" t="str">
        <f>"既存→"&amp;COUNTIF(AG5:AG34,"既存")&amp;"戸"</f>
        <v>既存→0戸</v>
      </c>
      <c r="AH35" s="20" t="str">
        <f>"洗面所→"&amp;COUNTIF(AH5:AH34,"洗面所")&amp;"戸"</f>
        <v>洗面所→27戸</v>
      </c>
      <c r="AI35" s="130">
        <f>COUNTIF(AI5:AI34,"有")</f>
        <v>4</v>
      </c>
      <c r="AJ35" s="130">
        <f>COUNTIF(AJ5:AJ34,"有")</f>
        <v>12</v>
      </c>
      <c r="AK35" s="130">
        <f>COUNTIF(AK5:AK34,"有")</f>
        <v>11</v>
      </c>
      <c r="AL35" s="109"/>
      <c r="AM35" s="110"/>
      <c r="AN35" s="110"/>
      <c r="AO35" s="110"/>
      <c r="AP35" s="111"/>
      <c r="AQ35" s="41"/>
    </row>
    <row r="36" spans="1:43" s="2" customFormat="1" ht="11.25" customHeight="1" x14ac:dyDescent="0.4">
      <c r="A36" s="121"/>
      <c r="B36" s="122"/>
      <c r="C36" s="122"/>
      <c r="D36" s="122"/>
      <c r="E36" s="123"/>
      <c r="F36" s="128"/>
      <c r="G36" s="35" t="str">
        <f>"賃貸→"&amp;COUNTIF(G5:G34,"賃貸")&amp;"戸"</f>
        <v>賃貸→2戸</v>
      </c>
      <c r="H36" s="35" t="str">
        <f>"更新済み→"&amp;COUNTIF(H5:H34,"更新済み")&amp;"戸"</f>
        <v>更新済み→1戸</v>
      </c>
      <c r="I36" s="35" t="str">
        <f>"珪藻土→"&amp;COUNTIF(I5:I34,"珪藻土")&amp;"戸"</f>
        <v>珪藻土→0戸</v>
      </c>
      <c r="J36" s="35" t="str">
        <f>"クロス→"&amp;COUNTIF(J5:J34,"クロス")&amp;"戸"</f>
        <v>クロス→0戸</v>
      </c>
      <c r="K36" s="35" t="str">
        <f>"タンクレス→"&amp;COUNTIF(K5:K34,"タンクレス")&amp;"戸"</f>
        <v>タンクレス→0戸</v>
      </c>
      <c r="L36" s="35" t="str">
        <f>"暖房便座→"&amp;COUNTIF(L5:L34,"暖房便座")&amp;"戸"</f>
        <v>暖房便座→2戸</v>
      </c>
      <c r="M36" s="35" t="str">
        <f>"無→"&amp;COUNTIF(M5:M34,"無")&amp;"戸"</f>
        <v>無→26戸</v>
      </c>
      <c r="N36" s="35" t="str">
        <f>"無→"&amp;COUNTIF(N5:N34,"無")&amp;"戸"</f>
        <v>無→27戸</v>
      </c>
      <c r="O36" s="35" t="str">
        <f>"無→"&amp;COUNTIF(O5:O34,"無")&amp;"戸"</f>
        <v>無→13戸</v>
      </c>
      <c r="P36" s="35" t="str">
        <f>"珪藻土→"&amp;COUNTIF(P5:P34,"珪藻土")&amp;"戸"</f>
        <v>珪藻土→1戸</v>
      </c>
      <c r="Q36" s="35" t="str">
        <f>"塩ビタイル→"&amp;COUNTIF(Q5:Q34,"塩ビタイル")&amp;"戸"</f>
        <v>塩ビタイル→0戸</v>
      </c>
      <c r="R36" s="35" t="str">
        <f>"900→"&amp;COUNTIF(R5:R34,"900")&amp;"戸"</f>
        <v>900→4戸</v>
      </c>
      <c r="S36" s="35" t="str">
        <f>"不可→"&amp;COUNTIF(S5:S34,"不可")&amp;"戸"</f>
        <v>不可→0戸</v>
      </c>
      <c r="T36" s="35" t="str">
        <f>"800→"&amp;COUNTIF(T5:T34,"800")&amp;"戸"</f>
        <v>800→1戸</v>
      </c>
      <c r="U36" s="35" t="str">
        <f>"無→"&amp;COUNTIF(U5:U34,"無")&amp;"戸"</f>
        <v>無→27戸</v>
      </c>
      <c r="V36" s="35" t="str">
        <f>"珪藻土→"&amp;COUNTIF(V5:V34,"珪藻土")&amp;"戸"</f>
        <v>珪藻土→1戸</v>
      </c>
      <c r="W36" s="35" t="str">
        <f>"塩ビタイル→"&amp;COUNTIF(W5:W34,"塩ビタイル")&amp;"戸"</f>
        <v>塩ビタイル→0戸</v>
      </c>
      <c r="X36" s="35" t="str">
        <f>"リフォーム済み→"&amp;COUNTIF(X5:X34,"リフォーム済み")&amp;"戸"</f>
        <v>リフォーム済み→26戸</v>
      </c>
      <c r="Y36" s="35" t="str">
        <f>"LIXIL→"&amp;COUNTIF(Y5:Y34,"LIXIL")&amp;"戸"</f>
        <v>LIXIL→2戸</v>
      </c>
      <c r="Z36" s="131"/>
      <c r="AA36" s="35" t="str">
        <f>"不可→"&amp;COUNTIF(AA5:AA34,"不可")&amp;"戸"</f>
        <v>不可→19戸</v>
      </c>
      <c r="AB36" s="36" t="str">
        <f>"システム→"&amp;COUNTIF(AB5:AB34,"システム")&amp;"戸"</f>
        <v>システム→19戸</v>
      </c>
      <c r="AC36" s="131"/>
      <c r="AD36" s="131"/>
      <c r="AE36" s="35" t="str">
        <f>"SUS→"&amp;COUNTIF(AE5:AE34,"SUS")&amp;"戸"</f>
        <v>SUS→9戸</v>
      </c>
      <c r="AF36" s="35" t="str">
        <f>"SUS→"&amp;COUNTIF(AF5:AF34,"SUS")&amp;"戸"</f>
        <v>SUS→2戸</v>
      </c>
      <c r="AG36" s="35" t="str">
        <f>"リフォーム済み→"&amp;COUNTIF(AG5:AG34,"リフォーム済み")&amp;"戸"</f>
        <v>リフォーム済み→30戸</v>
      </c>
      <c r="AH36" s="35" t="str">
        <f>"ベランダ→"&amp;COUNTIF(AH5:AH34,"ベランダ")&amp;"戸"</f>
        <v>ベランダ→3戸</v>
      </c>
      <c r="AI36" s="131"/>
      <c r="AJ36" s="131"/>
      <c r="AK36" s="131"/>
      <c r="AL36" s="112"/>
      <c r="AM36" s="113"/>
      <c r="AN36" s="113"/>
      <c r="AO36" s="113"/>
      <c r="AP36" s="114"/>
      <c r="AQ36" s="41"/>
    </row>
    <row r="37" spans="1:43" s="2" customFormat="1" ht="11.25" customHeight="1" x14ac:dyDescent="0.4">
      <c r="A37" s="121"/>
      <c r="B37" s="122"/>
      <c r="C37" s="122"/>
      <c r="D37" s="122"/>
      <c r="E37" s="123"/>
      <c r="F37" s="128"/>
      <c r="G37" s="35" t="str">
        <f>"外部居住→"&amp;COUNTIF(G5:G34,"外部居住")&amp;"戸"</f>
        <v>外部居住→0戸</v>
      </c>
      <c r="H37" s="35"/>
      <c r="I37" s="35" t="str">
        <f>"塗装→"&amp;COUNTIF(I5:I34,"塗装")&amp;"戸"</f>
        <v>塗装→0戸</v>
      </c>
      <c r="J37" s="35" t="str">
        <f>"その他→"&amp;COUNTIF(J5:J34,"その他")&amp;"戸"</f>
        <v>その他→1戸</v>
      </c>
      <c r="K37" s="35" t="str">
        <f>"レストパル→"&amp;COUNTIF(K5:K34,"レストパル")&amp;"戸"</f>
        <v>レストパル→0戸</v>
      </c>
      <c r="L37" s="35" t="str">
        <f>"WL→"&amp;COUNTIF(L5:L34,"WL")&amp;"戸"</f>
        <v>WL→24戸</v>
      </c>
      <c r="M37" s="23"/>
      <c r="N37" s="23"/>
      <c r="O37" s="23"/>
      <c r="P37" s="35" t="str">
        <f>"塗装→"&amp;COUNTIF(P5:P34,"塗装")&amp;"戸"</f>
        <v>塗装→0戸</v>
      </c>
      <c r="Q37" s="35" t="str">
        <f>"フローリング→"&amp;COUNTIF(Q5:Q34,"フローリング")&amp;"戸"</f>
        <v>フローリング→2戸</v>
      </c>
      <c r="R37" s="35" t="str">
        <f>"750→"&amp;COUNTIF(R5:R34,"750")&amp;"戸"</f>
        <v>750→17戸</v>
      </c>
      <c r="S37" s="35"/>
      <c r="T37" s="35" t="str">
        <f>"740→"&amp;COUNTIF(T5:T34,"740")&amp;"戸"</f>
        <v>740→3戸</v>
      </c>
      <c r="U37" s="22"/>
      <c r="V37" s="35" t="str">
        <f>"塗装→"&amp;COUNTIF(V5:V34,"塗装")&amp;"戸"</f>
        <v>塗装→0戸</v>
      </c>
      <c r="W37" s="35" t="str">
        <f>"フローリング→"&amp;COUNTIF(W5:W34,"フローリング")&amp;"戸"</f>
        <v>フローリング→4戸</v>
      </c>
      <c r="X37" s="35"/>
      <c r="Y37" s="35" t="str">
        <f>"Panasonic→"&amp;COUNTIF(Y5:Y34,"Panasonic")&amp;"戸"</f>
        <v>Panasonic→0戸</v>
      </c>
      <c r="Z37" s="131"/>
      <c r="AA37" s="35"/>
      <c r="AB37" s="35" t="str">
        <f>"その他→"&amp;COUNTIF(AB5:AB34,"その他")&amp;"戸"</f>
        <v>その他→0戸</v>
      </c>
      <c r="AC37" s="131"/>
      <c r="AD37" s="131"/>
      <c r="AE37" s="35" t="str">
        <f>"ホーロー→"&amp;COUNTIF(AE5:AE34,"ホーロー")&amp;"戸"</f>
        <v>ホーロー→0戸</v>
      </c>
      <c r="AF37" s="35" t="str">
        <f>"ホーロー→"&amp;COUNTIF(AF5:AF34,"ホーロー")&amp;"戸"</f>
        <v>ホーロー→0戸</v>
      </c>
      <c r="AG37" s="35"/>
      <c r="AH37" s="35"/>
      <c r="AI37" s="131"/>
      <c r="AJ37" s="131"/>
      <c r="AK37" s="131"/>
      <c r="AL37" s="112"/>
      <c r="AM37" s="113"/>
      <c r="AN37" s="113"/>
      <c r="AO37" s="113"/>
      <c r="AP37" s="114"/>
      <c r="AQ37" s="41"/>
    </row>
    <row r="38" spans="1:43" s="2" customFormat="1" ht="11.25" customHeight="1" x14ac:dyDescent="0.4">
      <c r="A38" s="124"/>
      <c r="B38" s="125"/>
      <c r="C38" s="125"/>
      <c r="D38" s="125"/>
      <c r="E38" s="126"/>
      <c r="F38" s="129"/>
      <c r="G38" s="35" t="str">
        <f>"空家→"&amp;COUNTIF(G5:G34,"空家")&amp;"戸"</f>
        <v>空家→3戸</v>
      </c>
      <c r="H38" s="39"/>
      <c r="I38" s="28"/>
      <c r="J38" s="27"/>
      <c r="K38" s="35" t="str">
        <f>"一体型→"&amp;COUNTIF(K5:K34,"一体型")&amp;"戸"</f>
        <v>一体型→2戸</v>
      </c>
      <c r="L38" s="28"/>
      <c r="M38" s="28"/>
      <c r="N38" s="28"/>
      <c r="O38" s="28"/>
      <c r="P38" s="28"/>
      <c r="Q38" s="28"/>
      <c r="R38" s="35" t="str">
        <f>"740→"&amp;COUNTIF(R5:R34,"740")&amp;"戸"</f>
        <v>740→3戸</v>
      </c>
      <c r="S38" s="27"/>
      <c r="T38" s="35" t="str">
        <f>"640→"&amp;COUNTIF(T5:T34,"640")&amp;"戸"</f>
        <v>640→2戸</v>
      </c>
      <c r="U38" s="27"/>
      <c r="V38" s="27"/>
      <c r="W38" s="27"/>
      <c r="X38" s="27"/>
      <c r="Y38" s="27"/>
      <c r="Z38" s="132"/>
      <c r="AA38" s="27"/>
      <c r="AB38" s="28"/>
      <c r="AC38" s="132"/>
      <c r="AD38" s="132"/>
      <c r="AE38" s="35" t="str">
        <f>"その他→"&amp;COUNTIF(AE5:AE34,"その他")&amp;"戸"</f>
        <v>その他→0戸</v>
      </c>
      <c r="AF38" s="35" t="str">
        <f>"その他→"&amp;COUNTIF(AF5:AF34,"その他")&amp;"戸"</f>
        <v>その他→1戸</v>
      </c>
      <c r="AG38" s="39"/>
      <c r="AH38" s="39"/>
      <c r="AI38" s="132"/>
      <c r="AJ38" s="132"/>
      <c r="AK38" s="132"/>
      <c r="AL38" s="115"/>
      <c r="AM38" s="116"/>
      <c r="AN38" s="116"/>
      <c r="AO38" s="116"/>
      <c r="AP38" s="117"/>
      <c r="AQ38" s="41"/>
    </row>
    <row r="39" spans="1:43" s="2" customFormat="1" x14ac:dyDescent="0.4">
      <c r="A39" s="31"/>
      <c r="AI39" s="37"/>
      <c r="AJ39" s="37"/>
      <c r="AQ39" s="1"/>
    </row>
  </sheetData>
  <autoFilter ref="AI3:AK4" xr:uid="{10038D40-3FE2-44A0-AD0D-6978D4BA78AD}"/>
  <mergeCells count="57">
    <mergeCell ref="AL34:AP34"/>
    <mergeCell ref="A35:E38"/>
    <mergeCell ref="F35:F38"/>
    <mergeCell ref="AL35:AP38"/>
    <mergeCell ref="AL28:AP28"/>
    <mergeCell ref="AL29:AP29"/>
    <mergeCell ref="AL30:AP30"/>
    <mergeCell ref="AL31:AP31"/>
    <mergeCell ref="AL32:AP32"/>
    <mergeCell ref="AL33:AP33"/>
    <mergeCell ref="Z35:Z38"/>
    <mergeCell ref="AC35:AC38"/>
    <mergeCell ref="AI35:AI38"/>
    <mergeCell ref="AJ35:AJ38"/>
    <mergeCell ref="AK35:AK38"/>
    <mergeCell ref="AD35:AD38"/>
    <mergeCell ref="AL27:AP27"/>
    <mergeCell ref="AL15:AP15"/>
    <mergeCell ref="AL16:AP16"/>
    <mergeCell ref="AL17:AP17"/>
    <mergeCell ref="AL18:AP18"/>
    <mergeCell ref="AL19:AP19"/>
    <mergeCell ref="AL20:AP20"/>
    <mergeCell ref="AL21:AP21"/>
    <mergeCell ref="AL22:AP22"/>
    <mergeCell ref="AL23:AP23"/>
    <mergeCell ref="AL24:AP24"/>
    <mergeCell ref="AL26:AP26"/>
    <mergeCell ref="AL25:AP25"/>
    <mergeCell ref="AL14:AP14"/>
    <mergeCell ref="AK3:AK4"/>
    <mergeCell ref="AL3:AP4"/>
    <mergeCell ref="AL5:AP5"/>
    <mergeCell ref="AL6:AP6"/>
    <mergeCell ref="AL7:AP7"/>
    <mergeCell ref="AL8:AP8"/>
    <mergeCell ref="AL9:AP9"/>
    <mergeCell ref="AL10:AP10"/>
    <mergeCell ref="AL11:AP11"/>
    <mergeCell ref="AL12:AP12"/>
    <mergeCell ref="AL13:AP13"/>
    <mergeCell ref="AJ3:AJ4"/>
    <mergeCell ref="A1:AP2"/>
    <mergeCell ref="A3:A4"/>
    <mergeCell ref="B3:B4"/>
    <mergeCell ref="C3:C4"/>
    <mergeCell ref="D3:E4"/>
    <mergeCell ref="F3:F4"/>
    <mergeCell ref="G3:G4"/>
    <mergeCell ref="H3:H4"/>
    <mergeCell ref="I3:J3"/>
    <mergeCell ref="K3:Q3"/>
    <mergeCell ref="R3:W3"/>
    <mergeCell ref="X3:AA3"/>
    <mergeCell ref="AB3:AF3"/>
    <mergeCell ref="AG3:AH3"/>
    <mergeCell ref="AI3:AI4"/>
  </mergeCells>
  <phoneticPr fontId="1"/>
  <dataValidations count="1">
    <dataValidation imeMode="off" allowBlank="1" showInputMessage="1" showErrorMessage="1" sqref="C1:C3 A39:C1048576 A1:A35 B1:B34 C5:C34" xr:uid="{85A53D1C-DE33-49D8-8CDA-EC8EB558FFE9}"/>
  </dataValidations>
  <printOptions horizontalCentered="1" verticalCentered="1"/>
  <pageMargins left="0.11811023622047245" right="0.11811023622047245" top="0.55118110236220474" bottom="0.19685039370078741" header="0.31496062992125984" footer="0.31496062992125984"/>
  <pageSetup paperSize="8" scale="47" orientation="landscape" r:id="rId1"/>
  <colBreaks count="1" manualBreakCount="1">
    <brk id="42" max="56" man="1"/>
  </colBreaks>
  <extLst>
    <ext xmlns:x14="http://schemas.microsoft.com/office/spreadsheetml/2009/9/main" uri="{CCE6A557-97BC-4b89-ADB6-D9C93CAAB3DF}">
      <x14:dataValidations xmlns:xm="http://schemas.microsoft.com/office/excel/2006/main" count="18">
        <x14:dataValidation type="list" allowBlank="1" showInputMessage="1" showErrorMessage="1" xr:uid="{7092FFDD-B63B-4AC5-B387-F1AD906BCC21}">
          <x14:formula1>
            <xm:f>Sheet1!$G$6:$G$7</xm:f>
          </x14:formula1>
          <xm:sqref>S5:S34 AA5:AA34</xm:sqref>
        </x14:dataValidation>
        <x14:dataValidation type="list" allowBlank="1" showInputMessage="1" showErrorMessage="1" xr:uid="{CEFBED53-5544-4088-8CBD-73D7578EC9E3}">
          <x14:formula1>
            <xm:f>Sheet1!$I$1:$I$2</xm:f>
          </x14:formula1>
          <xm:sqref>X5:X34</xm:sqref>
        </x14:dataValidation>
        <x14:dataValidation type="list" allowBlank="1" showInputMessage="1" showErrorMessage="1" xr:uid="{01AF76D4-F1EC-4A38-924B-81E081427264}">
          <x14:formula1>
            <xm:f>Sheet1!$G$17:$G$18</xm:f>
          </x14:formula1>
          <xm:sqref>AH5:AH34</xm:sqref>
        </x14:dataValidation>
        <x14:dataValidation type="list" allowBlank="1" showInputMessage="1" showErrorMessage="1" xr:uid="{817C43A6-1DF8-4873-BE9C-CAB03D8B6E91}">
          <x14:formula1>
            <xm:f>Sheet1!$E$17:$E$18</xm:f>
          </x14:formula1>
          <xm:sqref>AG5:AG34</xm:sqref>
        </x14:dataValidation>
        <x14:dataValidation type="list" allowBlank="1" showInputMessage="1" showErrorMessage="1" xr:uid="{94219BF5-33FA-42CE-8285-F868E1758256}">
          <x14:formula1>
            <xm:f>Sheet1!$G$1:$G$4</xm:f>
          </x14:formula1>
          <xm:sqref>AE5:AF34</xm:sqref>
        </x14:dataValidation>
        <x14:dataValidation type="list" allowBlank="1" showInputMessage="1" showErrorMessage="1" xr:uid="{B43F9DE8-A59C-459F-B3D5-3408909B33AD}">
          <x14:formula1>
            <xm:f>Sheet1!$A$13:$A$15</xm:f>
          </x14:formula1>
          <xm:sqref>AB5:AB34</xm:sqref>
        </x14:dataValidation>
        <x14:dataValidation type="list" allowBlank="1" showInputMessage="1" showErrorMessage="1" xr:uid="{2966425A-8BD6-41AD-AFC4-ED28B5C0092E}">
          <x14:formula1>
            <xm:f>Sheet1!$C$17:$C$20</xm:f>
          </x14:formula1>
          <xm:sqref>T30:T34 T16:T28 T5:T6 T8:T14</xm:sqref>
        </x14:dataValidation>
        <x14:dataValidation type="list" allowBlank="1" showInputMessage="1" showErrorMessage="1" xr:uid="{DD6AD7F7-AC93-4359-9242-0E0286571D29}">
          <x14:formula1>
            <xm:f>Sheet1!$A$17:$A$20</xm:f>
          </x14:formula1>
          <xm:sqref>R5:R8 R33:R34 R24:R26 R28 R30:R31 R10:R13 R15:R19</xm:sqref>
        </x14:dataValidation>
        <x14:dataValidation type="list" allowBlank="1" showInputMessage="1" showErrorMessage="1" xr:uid="{FFC1E953-CAAF-4BBD-8A15-88C25297433F}">
          <x14:formula1>
            <xm:f>Sheet1!$C$6:$C$7</xm:f>
          </x14:formula1>
          <xm:sqref>AJ5:AK34 AC5:AD34 U5:U34 M5:O34</xm:sqref>
        </x14:dataValidation>
        <x14:dataValidation type="list" allowBlank="1" showInputMessage="1" showErrorMessage="1" xr:uid="{1239DDF9-692E-4A4C-ACD8-0C68D10CE79B}">
          <x14:formula1>
            <xm:f>Sheet1!$E$9:$E$11</xm:f>
          </x14:formula1>
          <xm:sqref>L5:L34</xm:sqref>
        </x14:dataValidation>
        <x14:dataValidation type="list" allowBlank="1" showInputMessage="1" showErrorMessage="1" xr:uid="{FCAB7E21-21E1-4FDC-80FE-B7410C495AD8}">
          <x14:formula1>
            <xm:f>Sheet1!$G$9:$G$12</xm:f>
          </x14:formula1>
          <xm:sqref>K30:K34 K28 K5:K26</xm:sqref>
        </x14:dataValidation>
        <x14:dataValidation type="list" allowBlank="1" showInputMessage="1" showErrorMessage="1" xr:uid="{B72162E6-8C8C-401D-BF7E-4CAB93A08C67}">
          <x14:formula1>
            <xm:f>Sheet1!$D$1:$D$3</xm:f>
          </x14:formula1>
          <xm:sqref>J5:J34</xm:sqref>
        </x14:dataValidation>
        <x14:dataValidation type="list" allowBlank="1" showInputMessage="1" showErrorMessage="1" xr:uid="{9D1F858F-469A-4C10-A139-B9687E1BDB5E}">
          <x14:formula1>
            <xm:f>Sheet1!$A$9:$A$11</xm:f>
          </x14:formula1>
          <xm:sqref>V5:V34 P28:P34 P5:P26 I5:I34</xm:sqref>
        </x14:dataValidation>
        <x14:dataValidation type="list" allowBlank="1" showInputMessage="1" showErrorMessage="1" xr:uid="{4CF45497-19B2-4873-B47D-C45A5FBDEFC9}">
          <x14:formula1>
            <xm:f>Sheet1!$A$6:$A$7</xm:f>
          </x14:formula1>
          <xm:sqref>H5:H34</xm:sqref>
        </x14:dataValidation>
        <x14:dataValidation type="list" allowBlank="1" showInputMessage="1" showErrorMessage="1" xr:uid="{A621C33C-0D99-4A94-9D47-0C2549A4DE8D}">
          <x14:formula1>
            <xm:f>Sheet1!$A$1:$A$4</xm:f>
          </x14:formula1>
          <xm:sqref>G5:G34</xm:sqref>
        </x14:dataValidation>
        <x14:dataValidation type="list" allowBlank="1" showInputMessage="1" showErrorMessage="1" xr:uid="{903B554C-58B7-437E-90DA-346A217456B4}">
          <x14:formula1>
            <xm:f>Sheet1!$C$9:$C$11</xm:f>
          </x14:formula1>
          <xm:sqref>Q5:Q34 W5:W34</xm:sqref>
        </x14:dataValidation>
        <x14:dataValidation type="list" allowBlank="1" showInputMessage="1" showErrorMessage="1" xr:uid="{A6ED1EA4-6449-4767-934B-97EE2E01064D}">
          <x14:formula1>
            <xm:f>Sheet1!$C$6:$C$8</xm:f>
          </x14:formula1>
          <xm:sqref>AI5:AI34</xm:sqref>
        </x14:dataValidation>
        <x14:dataValidation type="list" allowBlank="1" showInputMessage="1" showErrorMessage="1" xr:uid="{4EF78D7E-B8FA-4F67-A8DC-AFE58104637B}">
          <x14:formula1>
            <xm:f>Sheet1!$I$9:$I$13</xm:f>
          </x14:formula1>
          <xm:sqref>Y5:Y16 Y28:Y33 Y25:Y26 Y22:Y23 Y19:Y20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A6914-9E00-490B-86EE-150668ED6B9F}">
  <sheetPr codeName="Sheet29"/>
  <dimension ref="A1:AD25"/>
  <sheetViews>
    <sheetView topLeftCell="A5" workbookViewId="0">
      <selection activeCell="C13" sqref="C13"/>
    </sheetView>
  </sheetViews>
  <sheetFormatPr defaultRowHeight="18.75" x14ac:dyDescent="0.4"/>
  <sheetData>
    <row r="1" spans="1:30" x14ac:dyDescent="0.4">
      <c r="A1" t="s">
        <v>43</v>
      </c>
      <c r="D1" t="s">
        <v>47</v>
      </c>
      <c r="F1" t="s">
        <v>42</v>
      </c>
      <c r="G1" t="s">
        <v>50</v>
      </c>
      <c r="I1" t="s">
        <v>19</v>
      </c>
      <c r="K1" t="s">
        <v>1215</v>
      </c>
    </row>
    <row r="2" spans="1:30" x14ac:dyDescent="0.4">
      <c r="A2" t="s">
        <v>22</v>
      </c>
      <c r="D2" t="s">
        <v>32</v>
      </c>
      <c r="F2" t="s">
        <v>48</v>
      </c>
      <c r="G2" t="s">
        <v>54</v>
      </c>
      <c r="I2" t="s">
        <v>60</v>
      </c>
      <c r="K2" t="s">
        <v>1216</v>
      </c>
    </row>
    <row r="3" spans="1:30" x14ac:dyDescent="0.4">
      <c r="A3" t="s">
        <v>38</v>
      </c>
      <c r="D3" t="s">
        <v>46</v>
      </c>
      <c r="G3" t="s">
        <v>51</v>
      </c>
      <c r="V3" t="s">
        <v>76</v>
      </c>
      <c r="AD3" t="s">
        <v>77</v>
      </c>
    </row>
    <row r="4" spans="1:30" x14ac:dyDescent="0.4">
      <c r="A4" t="s">
        <v>40</v>
      </c>
      <c r="G4" t="s">
        <v>46</v>
      </c>
    </row>
    <row r="6" spans="1:30" x14ac:dyDescent="0.4">
      <c r="A6" t="s">
        <v>52</v>
      </c>
      <c r="C6" t="s">
        <v>23</v>
      </c>
      <c r="E6" t="s">
        <v>49</v>
      </c>
      <c r="G6" t="s">
        <v>39</v>
      </c>
    </row>
    <row r="7" spans="1:30" x14ac:dyDescent="0.4">
      <c r="A7" t="s">
        <v>30</v>
      </c>
      <c r="C7" t="s">
        <v>45</v>
      </c>
      <c r="E7" t="s">
        <v>21</v>
      </c>
      <c r="G7" t="s">
        <v>65</v>
      </c>
    </row>
    <row r="8" spans="1:30" x14ac:dyDescent="0.4">
      <c r="C8" t="s">
        <v>241</v>
      </c>
    </row>
    <row r="9" spans="1:30" x14ac:dyDescent="0.4">
      <c r="A9" t="s">
        <v>32</v>
      </c>
      <c r="C9" t="s">
        <v>33</v>
      </c>
      <c r="E9" t="s">
        <v>24</v>
      </c>
      <c r="G9" t="s">
        <v>19</v>
      </c>
      <c r="I9" t="s">
        <v>71</v>
      </c>
    </row>
    <row r="10" spans="1:30" x14ac:dyDescent="0.4">
      <c r="A10" t="s">
        <v>44</v>
      </c>
      <c r="C10" t="s">
        <v>25</v>
      </c>
      <c r="E10" t="s">
        <v>20</v>
      </c>
      <c r="G10" t="s">
        <v>60</v>
      </c>
      <c r="I10" t="s">
        <v>72</v>
      </c>
    </row>
    <row r="11" spans="1:30" x14ac:dyDescent="0.4">
      <c r="A11" t="s">
        <v>34</v>
      </c>
      <c r="C11" t="s">
        <v>31</v>
      </c>
      <c r="E11" t="s">
        <v>35</v>
      </c>
      <c r="G11" t="s">
        <v>36</v>
      </c>
      <c r="I11" t="s">
        <v>141</v>
      </c>
    </row>
    <row r="12" spans="1:30" x14ac:dyDescent="0.4">
      <c r="C12" t="s">
        <v>1804</v>
      </c>
      <c r="G12" t="s">
        <v>26</v>
      </c>
      <c r="I12" t="s">
        <v>105</v>
      </c>
    </row>
    <row r="13" spans="1:30" x14ac:dyDescent="0.4">
      <c r="A13" t="s">
        <v>19</v>
      </c>
      <c r="G13" t="s">
        <v>37</v>
      </c>
      <c r="I13" t="s">
        <v>531</v>
      </c>
    </row>
    <row r="14" spans="1:30" x14ac:dyDescent="0.4">
      <c r="A14" t="s">
        <v>41</v>
      </c>
      <c r="I14" t="s">
        <v>106</v>
      </c>
    </row>
    <row r="15" spans="1:30" x14ac:dyDescent="0.4">
      <c r="A15" t="s">
        <v>46</v>
      </c>
    </row>
    <row r="17" spans="1:7" x14ac:dyDescent="0.4">
      <c r="A17">
        <v>1000</v>
      </c>
      <c r="C17">
        <v>900</v>
      </c>
      <c r="E17" t="s">
        <v>19</v>
      </c>
      <c r="G17" t="s">
        <v>62</v>
      </c>
    </row>
    <row r="18" spans="1:7" x14ac:dyDescent="0.4">
      <c r="A18">
        <v>900</v>
      </c>
      <c r="C18" s="38">
        <v>640</v>
      </c>
      <c r="E18" t="s">
        <v>60</v>
      </c>
      <c r="G18" t="s">
        <v>63</v>
      </c>
    </row>
    <row r="19" spans="1:7" x14ac:dyDescent="0.4">
      <c r="A19">
        <v>750</v>
      </c>
      <c r="C19" s="38">
        <v>740</v>
      </c>
    </row>
    <row r="20" spans="1:7" x14ac:dyDescent="0.4">
      <c r="A20">
        <v>600</v>
      </c>
      <c r="C20" s="38">
        <v>800</v>
      </c>
    </row>
    <row r="23" spans="1:7" x14ac:dyDescent="0.4">
      <c r="A23" s="38"/>
    </row>
    <row r="24" spans="1:7" x14ac:dyDescent="0.4">
      <c r="A24" s="38"/>
    </row>
    <row r="25" spans="1:7" x14ac:dyDescent="0.4">
      <c r="A25" s="38"/>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DE757-257A-4BF3-9EC6-10711AFC16EF}">
  <sheetPr codeName="Sheet30"/>
  <dimension ref="A1:G32"/>
  <sheetViews>
    <sheetView workbookViewId="0">
      <pane ySplit="3" topLeftCell="A4" activePane="bottomLeft" state="frozen"/>
      <selection pane="bottomLeft" activeCell="F29" sqref="F29"/>
    </sheetView>
  </sheetViews>
  <sheetFormatPr defaultRowHeight="18.75" x14ac:dyDescent="0.4"/>
  <cols>
    <col min="2" max="3" width="9" style="60"/>
    <col min="4" max="4" width="11" style="60" customWidth="1"/>
  </cols>
  <sheetData>
    <row r="1" spans="1:7" x14ac:dyDescent="0.4">
      <c r="A1" t="s">
        <v>1093</v>
      </c>
    </row>
    <row r="2" spans="1:7" x14ac:dyDescent="0.4">
      <c r="A2" s="155" t="s">
        <v>0</v>
      </c>
      <c r="B2" s="155" t="s">
        <v>1095</v>
      </c>
      <c r="C2" s="155"/>
      <c r="D2" s="155"/>
      <c r="E2" s="155" t="s">
        <v>1182</v>
      </c>
      <c r="F2" s="155"/>
      <c r="G2" s="71" t="s">
        <v>2665</v>
      </c>
    </row>
    <row r="3" spans="1:7" x14ac:dyDescent="0.4">
      <c r="A3" s="155"/>
      <c r="B3" s="71" t="s">
        <v>1094</v>
      </c>
      <c r="C3" s="71" t="s">
        <v>898</v>
      </c>
      <c r="D3" s="71" t="s">
        <v>910</v>
      </c>
      <c r="E3" s="71" t="s">
        <v>1184</v>
      </c>
      <c r="F3" s="71" t="s">
        <v>1183</v>
      </c>
      <c r="G3" s="71" t="s">
        <v>2666</v>
      </c>
    </row>
    <row r="4" spans="1:7" x14ac:dyDescent="0.4">
      <c r="A4" s="72">
        <v>1</v>
      </c>
      <c r="B4" s="72">
        <f>COUNTIF('1号棟'!M5:M34,"有")</f>
        <v>0</v>
      </c>
      <c r="C4" s="72">
        <f>COUNTIF('1号棟'!N5:N34,"有")</f>
        <v>3</v>
      </c>
      <c r="D4" s="72">
        <f>COUNTIF('1号棟'!O5:O34,"有")</f>
        <v>20</v>
      </c>
      <c r="E4" s="72">
        <f>COUNTIF('1号棟'!AH5:AH34,"洗面所")</f>
        <v>22</v>
      </c>
      <c r="F4" s="72">
        <f>COUNTIF('1号棟'!AH5:AH34,"ベランダ")</f>
        <v>8</v>
      </c>
      <c r="G4" s="72">
        <f>COUNTIF('1号棟'!AD5:AD34,"有")</f>
        <v>16</v>
      </c>
    </row>
    <row r="5" spans="1:7" x14ac:dyDescent="0.4">
      <c r="A5" s="73">
        <v>2</v>
      </c>
      <c r="B5" s="73">
        <f>COUNTIF('2号棟'!M5:M24,"有")</f>
        <v>2</v>
      </c>
      <c r="C5" s="73">
        <f>COUNTIF('2号棟'!N5:N24,"有")</f>
        <v>1</v>
      </c>
      <c r="D5" s="73">
        <f>COUNTIF('2号棟'!O5:O224,"有")</f>
        <v>19</v>
      </c>
      <c r="E5" s="73">
        <f>COUNTIF('2号棟'!AH5:AH224,"洗面所")</f>
        <v>18</v>
      </c>
      <c r="F5" s="73">
        <f>COUNTIF('2号棟'!AH5:AH24,"ベランダ")</f>
        <v>2</v>
      </c>
      <c r="G5" s="73">
        <f>COUNTIF('2号棟'!AD5:AD24,"有")</f>
        <v>4</v>
      </c>
    </row>
    <row r="6" spans="1:7" x14ac:dyDescent="0.4">
      <c r="A6" s="73">
        <v>3</v>
      </c>
      <c r="B6" s="73">
        <f>COUNTIF('3号棟'!M5:M24,"有")</f>
        <v>0</v>
      </c>
      <c r="C6" s="73">
        <f>COUNTIF('3号棟'!N5:N24,"有")</f>
        <v>2</v>
      </c>
      <c r="D6" s="73">
        <f>COUNTIF('3号棟'!O5:O24,"有")</f>
        <v>17</v>
      </c>
      <c r="E6" s="73">
        <f>COUNTIF('3号棟'!AH5:AH24,"洗面所")</f>
        <v>19</v>
      </c>
      <c r="F6" s="73">
        <f>COUNTIF('3号棟'!AH5:AH24,"ベランダ")</f>
        <v>1</v>
      </c>
      <c r="G6" s="73">
        <f>COUNTIF('3号棟'!AD5:AD24,"有")</f>
        <v>11</v>
      </c>
    </row>
    <row r="7" spans="1:7" x14ac:dyDescent="0.4">
      <c r="A7" s="73">
        <v>4</v>
      </c>
      <c r="B7" s="73">
        <f>COUNTIF('4号棟'!M5:M34,"有")</f>
        <v>0</v>
      </c>
      <c r="C7" s="73">
        <f>COUNTIF('4号棟'!N5:N34,"有")</f>
        <v>4</v>
      </c>
      <c r="D7" s="73">
        <f>COUNTIF('4号棟'!O5:O34,"有")</f>
        <v>23</v>
      </c>
      <c r="E7" s="73">
        <f>COUNTIF('4号棟'!AH5:AH34,"洗面所")</f>
        <v>24</v>
      </c>
      <c r="F7" s="73">
        <f>COUNTIF('4号棟'!AH5:AH34,"ベランダ")</f>
        <v>5</v>
      </c>
      <c r="G7" s="73">
        <f>COUNTIF('4号棟'!AD5:AD34,"有")</f>
        <v>11</v>
      </c>
    </row>
    <row r="8" spans="1:7" x14ac:dyDescent="0.4">
      <c r="A8" s="73">
        <v>5</v>
      </c>
      <c r="B8" s="73">
        <f>COUNTIF('5号棟'!M5:M34,"有")</f>
        <v>0</v>
      </c>
      <c r="C8" s="73">
        <f>COUNTIF('5号棟'!N5:N34,"有")</f>
        <v>5</v>
      </c>
      <c r="D8" s="73">
        <f>COUNTIF('5号棟'!O5:O34,"有")</f>
        <v>23</v>
      </c>
      <c r="E8" s="73">
        <f>COUNTIF('5号棟'!AH5:AH34,"洗面所")</f>
        <v>29</v>
      </c>
      <c r="F8" s="73">
        <f>COUNTIF('5号棟'!AH5:AH34,"ベランダ")</f>
        <v>0</v>
      </c>
      <c r="G8" s="73">
        <f>COUNTIF('5号棟'!AD5:AD34,"有")</f>
        <v>16</v>
      </c>
    </row>
    <row r="9" spans="1:7" x14ac:dyDescent="0.4">
      <c r="A9" s="73">
        <v>6</v>
      </c>
      <c r="B9" s="73">
        <f>COUNTIF('6号棟'!M5:M24,"有")</f>
        <v>0</v>
      </c>
      <c r="C9" s="73">
        <f>COUNTIF('6号棟'!N5:N24,"有")</f>
        <v>3</v>
      </c>
      <c r="D9" s="73">
        <f>COUNTIF('6号棟'!O5:O24,"有")</f>
        <v>15</v>
      </c>
      <c r="E9" s="73">
        <f>COUNTIF('6号棟'!AH5:AH24,"洗面所")</f>
        <v>19</v>
      </c>
      <c r="F9" s="73">
        <f>COUNTIF('6号棟'!AH5:AH24,"ベランダ")</f>
        <v>1</v>
      </c>
      <c r="G9" s="73">
        <f>COUNTIF('6号棟'!AD5:AD24,"有")</f>
        <v>9</v>
      </c>
    </row>
    <row r="10" spans="1:7" x14ac:dyDescent="0.4">
      <c r="A10" s="73">
        <v>7</v>
      </c>
      <c r="B10" s="73">
        <f>COUNTIF('7号棟'!M5:M34,"有")</f>
        <v>0</v>
      </c>
      <c r="C10" s="73">
        <f>COUNTIF('7号棟'!N5:N34,"有")</f>
        <v>5</v>
      </c>
      <c r="D10" s="73">
        <f>COUNTIF('7号棟'!O5:O34,"有")</f>
        <v>21</v>
      </c>
      <c r="E10" s="73">
        <f>COUNTIF('7号棟'!AH5:AH34,"洗面所")</f>
        <v>29</v>
      </c>
      <c r="F10" s="73">
        <f>COUNTIF('7号棟'!AH5:AH34,"ベランダ")</f>
        <v>1</v>
      </c>
      <c r="G10" s="73">
        <f>COUNTIF('7号棟'!AD5:AD34,"有")</f>
        <v>14</v>
      </c>
    </row>
    <row r="11" spans="1:7" x14ac:dyDescent="0.4">
      <c r="A11" s="73">
        <v>8</v>
      </c>
      <c r="B11" s="73">
        <f>COUNTIF('8号棟'!M5:M34,"有")</f>
        <v>1</v>
      </c>
      <c r="C11" s="73">
        <f>COUNTIF('8号棟'!N5:N34,"有")</f>
        <v>2</v>
      </c>
      <c r="D11" s="73">
        <f>COUNTIF('8号棟'!O5:O34,"有")</f>
        <v>14</v>
      </c>
      <c r="E11" s="73">
        <f>COUNTIF('8号棟'!AH5:AH34,"有")</f>
        <v>0</v>
      </c>
      <c r="F11" s="73">
        <f>COUNTIF('8号棟'!AH5:AH34,"ベランダ")</f>
        <v>1</v>
      </c>
      <c r="G11" s="73">
        <f>COUNTIF('8号棟'!AD5:AD34,"有")</f>
        <v>18</v>
      </c>
    </row>
    <row r="12" spans="1:7" x14ac:dyDescent="0.4">
      <c r="A12" s="73">
        <v>9</v>
      </c>
      <c r="B12" s="73">
        <f>COUNTIF('9号棟'!M5:M34,"有")</f>
        <v>2</v>
      </c>
      <c r="C12" s="73">
        <f>COUNTIF('9号棟'!N5:N34,"有")</f>
        <v>5</v>
      </c>
      <c r="D12" s="73">
        <f>COUNTIF('9号棟'!O5:P34,"有")</f>
        <v>14</v>
      </c>
      <c r="E12" s="73">
        <f>COUNTIF('9号棟'!AH5:AH34,"洗面所")</f>
        <v>27</v>
      </c>
      <c r="F12" s="73">
        <f>COUNTIF('9号棟'!AH5:AH34,"ベランダ")</f>
        <v>2</v>
      </c>
      <c r="G12" s="73">
        <f>COUNTIF('9号棟'!AD5:AD34,"有")</f>
        <v>17</v>
      </c>
    </row>
    <row r="13" spans="1:7" x14ac:dyDescent="0.4">
      <c r="A13" s="73">
        <v>10</v>
      </c>
      <c r="B13" s="73">
        <f>COUNTIF('10号棟'!M5:M24,"有")</f>
        <v>3</v>
      </c>
      <c r="C13" s="73">
        <f>COUNTIF('10号棟'!N5:N24,"有")</f>
        <v>5</v>
      </c>
      <c r="D13" s="73">
        <f>COUNTIF('10号棟'!O5:O24,"有")</f>
        <v>11</v>
      </c>
      <c r="E13" s="73">
        <f>COUNTIF('10号棟'!AH5:AH24,"洗面所")</f>
        <v>19</v>
      </c>
      <c r="F13" s="73">
        <f>COUNTIF('10号棟'!AH5:AH24,"ベランダ")</f>
        <v>1</v>
      </c>
      <c r="G13" s="73">
        <f>COUNTIF('10号棟'!AD5:AD24,"有")</f>
        <v>9</v>
      </c>
    </row>
    <row r="14" spans="1:7" x14ac:dyDescent="0.4">
      <c r="A14" s="73">
        <v>11</v>
      </c>
      <c r="B14" s="73">
        <f>COUNTIF('11号棟'!M5:M24,"有")</f>
        <v>4</v>
      </c>
      <c r="C14" s="73">
        <f>COUNTIF('11号棟'!N5:N24,"有")</f>
        <v>3</v>
      </c>
      <c r="D14" s="73">
        <f>COUNTIF('11号棟'!O5:O24,"有")</f>
        <v>14</v>
      </c>
      <c r="E14" s="73">
        <f>COUNTIF('11号棟'!AH5:AH24,"洗面所")</f>
        <v>20</v>
      </c>
      <c r="F14" s="73">
        <f>COUNTIF('11号棟'!AH6:AH24,"ベランダ")</f>
        <v>0</v>
      </c>
      <c r="G14" s="73">
        <f>COUNTIF('11号棟'!AD6:AD24,"有")</f>
        <v>10</v>
      </c>
    </row>
    <row r="15" spans="1:7" x14ac:dyDescent="0.4">
      <c r="A15" s="73">
        <v>12</v>
      </c>
      <c r="B15" s="73">
        <f>COUNTIF('12号棟'!M5:M34,"有")</f>
        <v>4</v>
      </c>
      <c r="C15" s="73">
        <f>COUNTIF('12号棟'!N5:N34,"有")</f>
        <v>8</v>
      </c>
      <c r="D15" s="73">
        <f>COUNTIF('12号棟'!O5:O34,"有")</f>
        <v>18</v>
      </c>
      <c r="E15" s="73">
        <f>COUNTIF('12号棟'!AH5:AH34,"洗面所")</f>
        <v>27</v>
      </c>
      <c r="F15" s="73">
        <f>COUNTIF('12号棟'!AH5:AH34,"ベランダ")</f>
        <v>1</v>
      </c>
      <c r="G15" s="73">
        <f>COUNTIF('12号棟'!AD5:AD34,"有")</f>
        <v>15</v>
      </c>
    </row>
    <row r="16" spans="1:7" x14ac:dyDescent="0.4">
      <c r="A16" s="73">
        <v>13</v>
      </c>
      <c r="B16" s="73">
        <f>COUNTIF('13号棟'!M5:M34,"有")</f>
        <v>0</v>
      </c>
      <c r="C16" s="73">
        <f>COUNTIF('13号棟'!N5:N34,"有")</f>
        <v>6</v>
      </c>
      <c r="D16" s="73">
        <f>COUNTIF('13号棟'!O5:O34,"有")</f>
        <v>24</v>
      </c>
      <c r="E16" s="73">
        <f>COUNTIF('13号棟'!AH5:AH34,"洗面所")</f>
        <v>29</v>
      </c>
      <c r="F16" s="73">
        <f>COUNTIF('13号棟'!AH5:AH34,"ベランダ")</f>
        <v>0</v>
      </c>
      <c r="G16" s="73">
        <f>COUNTIF('13号棟'!AD5:AD34,"有")</f>
        <v>16</v>
      </c>
    </row>
    <row r="17" spans="1:7" x14ac:dyDescent="0.4">
      <c r="A17" s="73">
        <v>14</v>
      </c>
      <c r="B17" s="73">
        <f>COUNTIF('14号棟'!M5:M34,"有")</f>
        <v>0</v>
      </c>
      <c r="C17" s="73">
        <f>COUNTIF('14号棟'!N5:N34,"有")</f>
        <v>2</v>
      </c>
      <c r="D17" s="73">
        <f>COUNTIF('14号棟'!O5:O34,"有")</f>
        <v>19</v>
      </c>
      <c r="E17" s="73">
        <f>COUNTIF('14号棟'!AH5:AH34,"洗面所")</f>
        <v>28</v>
      </c>
      <c r="F17" s="73">
        <f>COUNTIF('14号棟'!AH5:AH34,"ベランダ")</f>
        <v>1</v>
      </c>
      <c r="G17" s="73">
        <f>COUNTIF('14号棟'!AD5:AD34,"有")</f>
        <v>13</v>
      </c>
    </row>
    <row r="18" spans="1:7" x14ac:dyDescent="0.4">
      <c r="A18" s="73">
        <v>15</v>
      </c>
      <c r="B18" s="73">
        <f>COUNTIF('15号棟'!M5:M24,"有")</f>
        <v>0</v>
      </c>
      <c r="C18" s="73">
        <f>COUNTIF('15号棟'!N5:N24,"有")</f>
        <v>0</v>
      </c>
      <c r="D18" s="73">
        <f>COUNTIF('15号棟'!O5:O24,"有")</f>
        <v>16</v>
      </c>
      <c r="E18" s="73">
        <f>COUNTIF('15号棟'!AH5:AH24,"洗面所")</f>
        <v>20</v>
      </c>
      <c r="F18" s="73">
        <f>COUNTIF('15号棟'!AH5:AH24,"ベランダ")</f>
        <v>0</v>
      </c>
      <c r="G18" s="73">
        <f>COUNTIF('15号棟'!AD5:AD24,"有")</f>
        <v>10</v>
      </c>
    </row>
    <row r="19" spans="1:7" x14ac:dyDescent="0.4">
      <c r="A19" s="73">
        <v>16</v>
      </c>
      <c r="B19" s="73">
        <f>COUNTIF('16号棟'!M5:M24,"有")</f>
        <v>0</v>
      </c>
      <c r="C19" s="73">
        <f>COUNTIF('16号棟'!N5:N24,"有")</f>
        <v>1</v>
      </c>
      <c r="D19" s="73">
        <f>COUNTIF('16号棟'!O5:O24,"有")</f>
        <v>17</v>
      </c>
      <c r="E19" s="73">
        <f>COUNTIF('16号棟'!AH5:AH24,"洗面所")</f>
        <v>19</v>
      </c>
      <c r="F19" s="73">
        <f>COUNTIF('16号棟'!AH5:AH24,"ベランダ")</f>
        <v>0</v>
      </c>
      <c r="G19" s="73">
        <f>COUNTIF('16号棟'!AD5:AD24,"有")</f>
        <v>10</v>
      </c>
    </row>
    <row r="20" spans="1:7" x14ac:dyDescent="0.4">
      <c r="A20" s="73">
        <v>17</v>
      </c>
      <c r="B20" s="73">
        <f>COUNTIF('17号棟'!M5:M24,"有")</f>
        <v>0</v>
      </c>
      <c r="C20" s="73">
        <f>COUNTIF('17号棟'!N5:N24,"有")</f>
        <v>3</v>
      </c>
      <c r="D20" s="73">
        <f>COUNTIF('17号棟'!O5:O24,"有")</f>
        <v>15</v>
      </c>
      <c r="E20" s="73">
        <f>COUNTIF('17号棟'!AH5:AH24,"洗面所")</f>
        <v>19</v>
      </c>
      <c r="F20" s="73">
        <f>COUNTIF('17号棟'!AH5:AH24,"ベランダ")</f>
        <v>1</v>
      </c>
      <c r="G20" s="73">
        <f>COUNTIF('17号棟'!AD5:AD24,"有")</f>
        <v>9</v>
      </c>
    </row>
    <row r="21" spans="1:7" x14ac:dyDescent="0.4">
      <c r="A21" s="73">
        <v>18</v>
      </c>
      <c r="B21" s="73">
        <f>COUNTIF('18号棟'!M5:M24,"有")</f>
        <v>0</v>
      </c>
      <c r="C21" s="73">
        <f>COUNTIF('18号棟'!N5:N24,"有")</f>
        <v>3</v>
      </c>
      <c r="D21" s="73">
        <f>COUNTIF('18号棟'!O5:O24,"有")</f>
        <v>15</v>
      </c>
      <c r="E21" s="73">
        <f>COUNTIF('18号棟'!AH5:AH24,"洗面所")</f>
        <v>20</v>
      </c>
      <c r="F21" s="73">
        <f>COUNTIF('18号棟'!AH5:AH24,"ベランダ")</f>
        <v>0</v>
      </c>
      <c r="G21" s="73">
        <f>COUNTIF('18号棟'!AD5:AD24,"有")</f>
        <v>12</v>
      </c>
    </row>
    <row r="22" spans="1:7" x14ac:dyDescent="0.4">
      <c r="A22" s="73">
        <v>19</v>
      </c>
      <c r="B22" s="73">
        <f>COUNTIF('19号棟'!M5:M24,"有")</f>
        <v>0</v>
      </c>
      <c r="C22" s="73">
        <f>COUNTIF('19号棟'!N5:N24,"有")</f>
        <v>6</v>
      </c>
      <c r="D22" s="73">
        <f>COUNTIF('19号棟'!O5:O24,"有")</f>
        <v>11</v>
      </c>
      <c r="E22" s="73">
        <f>COUNTIF('19号棟'!AH5:AH24,"洗面所")</f>
        <v>19</v>
      </c>
      <c r="F22" s="73">
        <f>COUNTIF('19号棟'!AH5:AH24,"ベランダ")</f>
        <v>1</v>
      </c>
      <c r="G22" s="73">
        <f>COUNTIF('19号棟'!AD5:AD24,"有")</f>
        <v>12</v>
      </c>
    </row>
    <row r="23" spans="1:7" x14ac:dyDescent="0.4">
      <c r="A23" s="73">
        <v>20</v>
      </c>
      <c r="B23" s="73">
        <f>COUNTIF('20号棟'!M5:M34,"有")</f>
        <v>3</v>
      </c>
      <c r="C23" s="73">
        <f>COUNTIF('20号棟'!N5:N34,"有")</f>
        <v>3</v>
      </c>
      <c r="D23" s="73">
        <f>COUNTIF('20号棟'!O5:O34,"有")</f>
        <v>23</v>
      </c>
      <c r="E23" s="73">
        <f>COUNTIF('20号棟'!AH5:AH34,"洗面所")</f>
        <v>28</v>
      </c>
      <c r="F23" s="73">
        <f>COUNTIF('12号棟'!AH5:AH34,"ベランダ")</f>
        <v>1</v>
      </c>
      <c r="G23" s="73">
        <f>COUNTIF('12号棟'!AD5:AD34,"有")</f>
        <v>15</v>
      </c>
    </row>
    <row r="24" spans="1:7" x14ac:dyDescent="0.4">
      <c r="A24" s="73">
        <v>21</v>
      </c>
      <c r="B24" s="73">
        <f>COUNTIF('21号棟'!M5:M34,"有")</f>
        <v>1</v>
      </c>
      <c r="C24" s="73">
        <f>COUNTIF('21号棟'!N5:N34,"有")</f>
        <v>2</v>
      </c>
      <c r="D24" s="73">
        <f>COUNTIF('21号棟'!O5:O34,"有")</f>
        <v>21</v>
      </c>
      <c r="E24" s="73">
        <f>COUNTIF('21号棟'!AH5:AH34,"洗面所")</f>
        <v>30</v>
      </c>
      <c r="F24" s="73">
        <f>COUNTIF('21号棟'!AH5:AH34,"ベランダ")</f>
        <v>0</v>
      </c>
      <c r="G24" s="73">
        <f>COUNTIF('21号棟'!AD5:AD34,"有")</f>
        <v>13</v>
      </c>
    </row>
    <row r="25" spans="1:7" x14ac:dyDescent="0.4">
      <c r="A25" s="73">
        <v>22</v>
      </c>
      <c r="B25" s="73">
        <f>COUNTIF('22号棟'!M5:M24,"有")</f>
        <v>0</v>
      </c>
      <c r="C25" s="73">
        <f>COUNTIF('22号棟'!N5:N24,"有")</f>
        <v>4</v>
      </c>
      <c r="D25" s="73">
        <f>COUNTIF('22号棟'!O5:O24,"有")</f>
        <v>17</v>
      </c>
      <c r="E25" s="73">
        <f>COUNTIF('22号棟'!AH5:AH24,"洗面所")</f>
        <v>17</v>
      </c>
      <c r="F25" s="73">
        <f>COUNTIF('22号棟'!AH5:AH24,"ベランダ")</f>
        <v>3</v>
      </c>
      <c r="G25" s="73">
        <f>COUNTIF('22号棟'!AD5:AD24,"有")</f>
        <v>12</v>
      </c>
    </row>
    <row r="26" spans="1:7" x14ac:dyDescent="0.4">
      <c r="A26" s="73">
        <v>23</v>
      </c>
      <c r="B26" s="73">
        <f>COUNTIF('23号棟'!M5:M24,"有")</f>
        <v>2</v>
      </c>
      <c r="C26" s="73">
        <f>COUNTIF('23号棟'!N5:N24,"有")</f>
        <v>1</v>
      </c>
      <c r="D26" s="73">
        <f>COUNTIF('23号棟'!O5:O24,"有")</f>
        <v>15</v>
      </c>
      <c r="E26" s="73">
        <f>COUNTIF('23号棟'!AH5:AH24,"洗面所")</f>
        <v>19</v>
      </c>
      <c r="F26" s="73">
        <f>COUNTIF('23号棟'!AH5:AH24,"ベランダ")</f>
        <v>1</v>
      </c>
      <c r="G26" s="73">
        <f>COUNTIF('23号棟'!AD5:AD24,"有")</f>
        <v>9</v>
      </c>
    </row>
    <row r="27" spans="1:7" x14ac:dyDescent="0.4">
      <c r="A27" s="73">
        <v>24</v>
      </c>
      <c r="B27" s="73">
        <f>COUNTIF('24号棟'!M5:M24,"有")</f>
        <v>1</v>
      </c>
      <c r="C27" s="73">
        <f>COUNTIF('24号棟'!N5:N24,"有")</f>
        <v>4</v>
      </c>
      <c r="D27" s="73">
        <f>COUNTIF('24号棟'!O5:O24,"有")</f>
        <v>16</v>
      </c>
      <c r="E27" s="73">
        <f>COUNTIF('24号棟'!AH5:AH24,"洗面所")</f>
        <v>20</v>
      </c>
      <c r="F27" s="73">
        <f>COUNTIF('24号棟'!AH5:AH24,"ベランダ")</f>
        <v>0</v>
      </c>
      <c r="G27" s="73">
        <f>COUNTIF('24号棟'!AD5:AD24,"有")</f>
        <v>5</v>
      </c>
    </row>
    <row r="28" spans="1:7" x14ac:dyDescent="0.4">
      <c r="A28" s="73">
        <v>25</v>
      </c>
      <c r="B28" s="73">
        <f>COUNTIF('25号棟'!M5:M34,"有")</f>
        <v>3</v>
      </c>
      <c r="C28" s="73">
        <f>COUNTIF('25号棟'!N5:N34,"有")</f>
        <v>7</v>
      </c>
      <c r="D28" s="73">
        <f>COUNTIF('25号棟'!O5:O34,"有")</f>
        <v>17</v>
      </c>
      <c r="E28" s="73">
        <f>COUNTIF('25号棟'!AH5:AH34,"洗面所")</f>
        <v>25</v>
      </c>
      <c r="F28" s="73">
        <f>COUNTIF('25号棟'!AH5:AH34,"ベランダ")</f>
        <v>3</v>
      </c>
      <c r="G28" s="73">
        <f>COUNTIF('25号棟'!AD5:AD34,"有")</f>
        <v>15</v>
      </c>
    </row>
    <row r="29" spans="1:7" x14ac:dyDescent="0.4">
      <c r="A29" s="73">
        <v>26</v>
      </c>
      <c r="B29" s="73">
        <f>COUNTIF('26号棟'!M5:M24,"有")</f>
        <v>1</v>
      </c>
      <c r="C29" s="73">
        <f>COUNTIF('26号棟'!N5:N24,"有")</f>
        <v>3</v>
      </c>
      <c r="D29" s="73">
        <f>COUNTIF('26号棟'!O5:O24,"有")</f>
        <v>15</v>
      </c>
      <c r="E29" s="73">
        <f>COUNTIF('26号棟'!AH5:AH24,"洗面所")</f>
        <v>17</v>
      </c>
      <c r="F29" s="73">
        <f>COUNTIF('26号棟'!AH5:AH24,"ベランダ")</f>
        <v>3</v>
      </c>
      <c r="G29" s="73">
        <f>COUNTIF('26号棟'!AD5:AD24,"有")</f>
        <v>6</v>
      </c>
    </row>
    <row r="30" spans="1:7" x14ac:dyDescent="0.4">
      <c r="A30" s="73">
        <v>27</v>
      </c>
      <c r="B30" s="73">
        <f>COUNTIF('27号棟'!M5:M34,"有")</f>
        <v>2</v>
      </c>
      <c r="C30" s="73">
        <f>COUNTIF('27号棟'!N5:N34,"有")</f>
        <v>6</v>
      </c>
      <c r="D30" s="73">
        <f>COUNTIF('27号棟'!O5:O34,"有")</f>
        <v>18</v>
      </c>
      <c r="E30" s="73">
        <f>COUNTIF('27号棟'!AH5:AH34,"洗面所")</f>
        <v>25</v>
      </c>
      <c r="F30" s="73">
        <f>COUNTIF('27号棟'!AH5:AH34,"ベランダ")</f>
        <v>4</v>
      </c>
      <c r="G30" s="73">
        <f>COUNTIF('27号棟'!AD5:AD34,"有")</f>
        <v>16</v>
      </c>
    </row>
    <row r="31" spans="1:7" x14ac:dyDescent="0.4">
      <c r="A31" s="74">
        <v>28</v>
      </c>
      <c r="B31" s="74">
        <f>COUNTIF('28号棟'!M5:M34,"有")</f>
        <v>4</v>
      </c>
      <c r="C31" s="74">
        <f>COUNTIF('28号棟'!N5:N34,"有")</f>
        <v>3</v>
      </c>
      <c r="D31" s="74">
        <f>COUNTIF('28号棟'!O5:O34,"有")</f>
        <v>17</v>
      </c>
      <c r="E31" s="74">
        <f>COUNTIF('28号棟'!AH5:AH34,"洗面所")</f>
        <v>27</v>
      </c>
      <c r="F31" s="74">
        <f>COUNTIF('28号棟'!AH5:AH34,"ベランダ")</f>
        <v>3</v>
      </c>
      <c r="G31" s="74">
        <f>COUNTIF('28号棟'!AD5:AD34,"有")</f>
        <v>14</v>
      </c>
    </row>
    <row r="32" spans="1:7" x14ac:dyDescent="0.4">
      <c r="A32" s="75" t="s">
        <v>1097</v>
      </c>
      <c r="B32" s="75">
        <f>SUM(B4:B31)</f>
        <v>33</v>
      </c>
      <c r="C32" s="75">
        <f t="shared" ref="C32:G32" si="0">SUM(C4:C31)</f>
        <v>100</v>
      </c>
      <c r="D32" s="75">
        <f t="shared" si="0"/>
        <v>485</v>
      </c>
      <c r="E32" s="75">
        <f t="shared" si="0"/>
        <v>615</v>
      </c>
      <c r="F32" s="75">
        <f t="shared" si="0"/>
        <v>44</v>
      </c>
      <c r="G32" s="75">
        <f t="shared" si="0"/>
        <v>337</v>
      </c>
    </row>
  </sheetData>
  <mergeCells count="3">
    <mergeCell ref="B2:D2"/>
    <mergeCell ref="A2:A3"/>
    <mergeCell ref="E2:F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26</vt:i4>
      </vt:variant>
    </vt:vector>
  </HeadingPairs>
  <TitlesOfParts>
    <vt:vector size="56" baseType="lpstr">
      <vt:lpstr>1号棟</vt:lpstr>
      <vt:lpstr>2号棟</vt:lpstr>
      <vt:lpstr>3号棟</vt:lpstr>
      <vt:lpstr>4号棟</vt:lpstr>
      <vt:lpstr>5号棟</vt:lpstr>
      <vt:lpstr>6号棟</vt:lpstr>
      <vt:lpstr>7号棟</vt:lpstr>
      <vt:lpstr>8号棟</vt:lpstr>
      <vt:lpstr>9号棟</vt:lpstr>
      <vt:lpstr>10号棟</vt:lpstr>
      <vt:lpstr>11号棟</vt:lpstr>
      <vt:lpstr>12号棟</vt:lpstr>
      <vt:lpstr>13号棟</vt:lpstr>
      <vt:lpstr>14号棟</vt:lpstr>
      <vt:lpstr>15号棟</vt:lpstr>
      <vt:lpstr>16号棟</vt:lpstr>
      <vt:lpstr>17号棟</vt:lpstr>
      <vt:lpstr>18号棟</vt:lpstr>
      <vt:lpstr>19号棟</vt:lpstr>
      <vt:lpstr>20号棟</vt:lpstr>
      <vt:lpstr>21号棟</vt:lpstr>
      <vt:lpstr>22号棟</vt:lpstr>
      <vt:lpstr>23号棟</vt:lpstr>
      <vt:lpstr>24号棟</vt:lpstr>
      <vt:lpstr>25号棟</vt:lpstr>
      <vt:lpstr>26号棟</vt:lpstr>
      <vt:lpstr>27号棟</vt:lpstr>
      <vt:lpstr>28号棟</vt:lpstr>
      <vt:lpstr>Sheet1</vt:lpstr>
      <vt:lpstr>集計</vt:lpstr>
      <vt:lpstr>'10号棟'!Print_Area</vt:lpstr>
      <vt:lpstr>'11号棟'!Print_Area</vt:lpstr>
      <vt:lpstr>'12号棟'!Print_Area</vt:lpstr>
      <vt:lpstr>'13号棟'!Print_Area</vt:lpstr>
      <vt:lpstr>'14号棟'!Print_Area</vt:lpstr>
      <vt:lpstr>'15号棟'!Print_Area</vt:lpstr>
      <vt:lpstr>'16号棟'!Print_Area</vt:lpstr>
      <vt:lpstr>'17号棟'!Print_Area</vt:lpstr>
      <vt:lpstr>'18号棟'!Print_Area</vt:lpstr>
      <vt:lpstr>'19号棟'!Print_Area</vt:lpstr>
      <vt:lpstr>'1号棟'!Print_Area</vt:lpstr>
      <vt:lpstr>'20号棟'!Print_Area</vt:lpstr>
      <vt:lpstr>'21号棟'!Print_Area</vt:lpstr>
      <vt:lpstr>'22号棟'!Print_Area</vt:lpstr>
      <vt:lpstr>'23号棟'!Print_Area</vt:lpstr>
      <vt:lpstr>'24号棟'!Print_Area</vt:lpstr>
      <vt:lpstr>'25号棟'!Print_Area</vt:lpstr>
      <vt:lpstr>'27号棟'!Print_Area</vt:lpstr>
      <vt:lpstr>'28号棟'!Print_Area</vt:lpstr>
      <vt:lpstr>'2号棟'!Print_Area</vt:lpstr>
      <vt:lpstr>'3号棟'!Print_Area</vt:lpstr>
      <vt:lpstr>'4号棟'!Print_Area</vt:lpstr>
      <vt:lpstr>'5号棟'!Print_Area</vt:lpstr>
      <vt:lpstr>'7号棟'!Print_Area</vt:lpstr>
      <vt:lpstr>'8号棟'!Print_Area</vt:lpstr>
      <vt:lpstr>'9号棟'!Print_Area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菜央 馬﨑</dc:creator>
  <cp:lastModifiedBy>宮川 聖人</cp:lastModifiedBy>
  <cp:lastPrinted>2024-10-02T04:44:07Z</cp:lastPrinted>
  <dcterms:created xsi:type="dcterms:W3CDTF">2024-10-02T04:41:14Z</dcterms:created>
  <dcterms:modified xsi:type="dcterms:W3CDTF">2025-04-25T08:46:27Z</dcterms:modified>
</cp:coreProperties>
</file>